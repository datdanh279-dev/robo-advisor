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🌐 BLOOMBERG SCREENER v27" sheetId="1" state="visible" r:id="rId1"/>
    <sheet xmlns:r="http://schemas.openxmlformats.org/officeDocument/2006/relationships" name="🎯 SÓI v42 — TRA CỨU &amp; DEEP DIV" sheetId="2" state="visible" r:id="rId2"/>
    <sheet xmlns:r="http://schemas.openxmlformats.org/officeDocument/2006/relationships" name="📚 NGUON DU LIEU THAT" sheetId="3" state="visible" r:id="rId3"/>
    <sheet xmlns:r="http://schemas.openxmlformats.org/officeDocument/2006/relationships" name="📋 NGUỒN DỮ LIỆU" sheetId="4" state="visible" r:id="rId4"/>
    <sheet xmlns:r="http://schemas.openxmlformats.org/officeDocument/2006/relationships" name="📚 HƯỚNG DẪN TOÀN TẬP v19" sheetId="5" state="visible" r:id="rId5"/>
    <sheet xmlns:r="http://schemas.openxmlformats.org/officeDocument/2006/relationships" name="🔍 Bộ Lọc Tổng Hợp" sheetId="6" state="visible" r:id="rId6"/>
    <sheet xmlns:r="http://schemas.openxmlformats.org/officeDocument/2006/relationships" name="📊 DASHBOARD CÁ NHÂN v20" sheetId="7" state="visible" r:id="rId7"/>
    <sheet xmlns:r="http://schemas.openxmlformats.org/officeDocument/2006/relationships" name="📓 NHẬT KÝ GIAO DỊCH v20" sheetId="8" state="visible" r:id="rId8"/>
    <sheet xmlns:r="http://schemas.openxmlformats.org/officeDocument/2006/relationships" name="💰 THEO DÕI CỔ TỨC v20" sheetId="9" state="visible" r:id="rId9"/>
    <sheet xmlns:r="http://schemas.openxmlformats.org/officeDocument/2006/relationships" name="🌍 SUPER FILTER v19" sheetId="10" state="visible" r:id="rId10"/>
    <sheet xmlns:r="http://schemas.openxmlformats.org/officeDocument/2006/relationships" name="📊 PHÂN TÍCH QUỸ v25" sheetId="11" state="visible" r:id="rId11"/>
    <sheet xmlns:r="http://schemas.openxmlformats.org/officeDocument/2006/relationships" name="🔮 AI SCORING v25" sheetId="12" state="visible" r:id="rId12"/>
    <sheet xmlns:r="http://schemas.openxmlformats.org/officeDocument/2006/relationships" name="🐋 BỘ LỌC CÁ VOI v13" sheetId="13" state="visible" r:id="rId13"/>
    <sheet xmlns:r="http://schemas.openxmlformats.org/officeDocument/2006/relationships" name="🎯 ĐỊNH GIÁ•BÁN•REBALANCE v14" sheetId="14" state="visible" r:id="rId14"/>
    <sheet xmlns:r="http://schemas.openxmlformats.org/officeDocument/2006/relationships" name="🏛 INSTITUTIONAL v15" sheetId="15" state="visible" r:id="rId15"/>
    <sheet xmlns:r="http://schemas.openxmlformats.org/officeDocument/2006/relationships" name="📊 AUDIT v18" sheetId="16" state="visible" r:id="rId16"/>
    <sheet xmlns:r="http://schemas.openxmlformats.org/officeDocument/2006/relationships" name="📋 AUDIT REPORT v15" sheetId="17" state="visible" r:id="rId17"/>
    <sheet xmlns:r="http://schemas.openxmlformats.org/officeDocument/2006/relationships" name="📖 Cách Dùng Bộ Lọc" sheetId="18" state="visible" r:id="rId18"/>
    <sheet xmlns:r="http://schemas.openxmlformats.org/officeDocument/2006/relationships" name="🗂 ĐIỀU HƯỚNG" sheetId="19" state="visible" r:id="rId19"/>
    <sheet xmlns:r="http://schemas.openxmlformats.org/officeDocument/2006/relationships" name="📊 Dashboard Ngành" sheetId="20" state="visible" r:id="rId20"/>
    <sheet xmlns:r="http://schemas.openxmlformats.org/officeDocument/2006/relationships" name="🔍 Bộ Lọc Cổ Phiếu" sheetId="21" state="visible" r:id="rId21"/>
    <sheet xmlns:r="http://schemas.openxmlformats.org/officeDocument/2006/relationships" name="📡 LIVE PRICE FEED" sheetId="22" state="visible" r:id="rId22"/>
    <sheet xmlns:r="http://schemas.openxmlformats.org/officeDocument/2006/relationships" name="📈 Cổ Phiếu VN 🔍" sheetId="23" state="visible" r:id="rId23"/>
    <sheet xmlns:r="http://schemas.openxmlformats.org/officeDocument/2006/relationships" name="🌐 Cổ Phiếu TG 🔍" sheetId="24" state="visible" r:id="rId24"/>
    <sheet xmlns:r="http://schemas.openxmlformats.org/officeDocument/2006/relationships" name="HỆ THỐNG QUẢN LÝ " sheetId="25" state="visible" r:id="rId25"/>
    <sheet xmlns:r="http://schemas.openxmlformats.org/officeDocument/2006/relationships" name="📈 Dashboard KPI" sheetId="26" state="visible" r:id="rId26"/>
    <sheet xmlns:r="http://schemas.openxmlformats.org/officeDocument/2006/relationships" name="📊 Performance" sheetId="27" state="visible" r:id="rId27"/>
    <sheet xmlns:r="http://schemas.openxmlformats.org/officeDocument/2006/relationships" name="💧 Thanh Khoản ADTV" sheetId="28" state="visible" r:id="rId28"/>
    <sheet xmlns:r="http://schemas.openxmlformats.org/officeDocument/2006/relationships" name="🌱 ESG Scoring" sheetId="29" state="visible" r:id="rId29"/>
    <sheet xmlns:r="http://schemas.openxmlformats.org/officeDocument/2006/relationships" name="🌪️ Macro Stress" sheetId="30" state="visible" r:id="rId30"/>
    <sheet xmlns:r="http://schemas.openxmlformats.org/officeDocument/2006/relationships" name="🏭 Ngành &amp; Tỷ Trọng" sheetId="31" state="visible" r:id="rId31"/>
    <sheet xmlns:r="http://schemas.openxmlformats.org/officeDocument/2006/relationships" name="⚡ POWER QUERY GUIDE" sheetId="32" state="visible" r:id="rId32"/>
    <sheet xmlns:r="http://schemas.openxmlformats.org/officeDocument/2006/relationships" name="🐍 PYTHON AUTO" sheetId="33" state="visible" r:id="rId33"/>
    <sheet xmlns:r="http://schemas.openxmlformats.org/officeDocument/2006/relationships" name="🌐 API SOURCES" sheetId="34" state="visible" r:id="rId34"/>
    <sheet xmlns:r="http://schemas.openxmlformats.org/officeDocument/2006/relationships" name="🏦 Trái Phiếu VN 🔍" sheetId="35" state="visible" r:id="rId35"/>
    <sheet xmlns:r="http://schemas.openxmlformats.org/officeDocument/2006/relationships" name="💵 Trái Phiếu TG 🔍" sheetId="36" state="visible" r:id="rId36"/>
    <sheet xmlns:r="http://schemas.openxmlformats.org/officeDocument/2006/relationships" name="🥇 Vàng &amp; Kim Loại 🔍" sheetId="37" state="visible" r:id="rId37"/>
    <sheet xmlns:r="http://schemas.openxmlformats.org/officeDocument/2006/relationships" name="🏛 Quỹ Lớn 🔍" sheetId="38" state="visible" r:id="rId38"/>
    <sheet xmlns:r="http://schemas.openxmlformats.org/officeDocument/2006/relationships" name="📊 Dashboard 🔍" sheetId="39" state="visible" r:id="rId39"/>
    <sheet xmlns:r="http://schemas.openxmlformats.org/officeDocument/2006/relationships" name="📈 Lịch Sử Tài Sản" sheetId="40" state="visible" r:id="rId40"/>
    <sheet xmlns:r="http://schemas.openxmlformats.org/officeDocument/2006/relationships" name="🔮 Tích Sản Dài Hạn" sheetId="41" state="visible" r:id="rId41"/>
    <sheet xmlns:r="http://schemas.openxmlformats.org/officeDocument/2006/relationships" name="💰 Cổ Tức &amp; Thuế" sheetId="42" state="visible" r:id="rId42"/>
    <sheet xmlns:r="http://schemas.openxmlformats.org/officeDocument/2006/relationships" name="💵 Tiền Chờ Giải Ngân" sheetId="43" state="visible" r:id="rId43"/>
    <sheet xmlns:r="http://schemas.openxmlformats.org/officeDocument/2006/relationships" name="💛 Quỹ Tâm Sáng" sheetId="44" state="visible" r:id="rId44"/>
    <sheet xmlns:r="http://schemas.openxmlformats.org/officeDocument/2006/relationships" name="🥇 Vàng Phòng Vệ" sheetId="45" state="visible" r:id="rId45"/>
    <sheet xmlns:r="http://schemas.openxmlformats.org/officeDocument/2006/relationships" name="🏆 FIRE Countdown" sheetId="46" state="visible" r:id="rId46"/>
    <sheet xmlns:r="http://schemas.openxmlformats.org/officeDocument/2006/relationships" name="🌍 Vĩ Mô &amp; Chiến Lược" sheetId="47" state="visible" r:id="rId47"/>
    <sheet xmlns:r="http://schemas.openxmlformats.org/officeDocument/2006/relationships" name="📅 Quyền CĐ &amp; ĐHCĐ" sheetId="48" state="visible" r:id="rId48"/>
    <sheet xmlns:r="http://schemas.openxmlformats.org/officeDocument/2006/relationships" name="🧮 DCF &amp; Định Giá" sheetId="49" state="visible" r:id="rId49"/>
    <sheet xmlns:r="http://schemas.openxmlformats.org/officeDocument/2006/relationships" name="👁 Watchlist &amp; Nghĩa Trang" sheetId="50" state="visible" r:id="rId50"/>
    <sheet xmlns:r="http://schemas.openxmlformats.org/officeDocument/2006/relationships" name="🔍 FORENSIC 198 MÃ" sheetId="51" state="visible" r:id="rId51"/>
    <sheet xmlns:r="http://schemas.openxmlformats.org/officeDocument/2006/relationships" name="🧮 WACC + BETA AUTO" sheetId="52" state="visible" r:id="rId52"/>
    <sheet xmlns:r="http://schemas.openxmlformats.org/officeDocument/2006/relationships" name="🔀 SENSITIVITY DCF" sheetId="53" state="visible" r:id="rId53"/>
    <sheet xmlns:r="http://schemas.openxmlformats.org/officeDocument/2006/relationships" name="🎯 SCENARIO 3-CASE" sheetId="54" state="visible" r:id="rId54"/>
    <sheet xmlns:r="http://schemas.openxmlformats.org/officeDocument/2006/relationships" name="🎲 MONTE CARLO + CVaR" sheetId="55" state="visible" r:id="rId55"/>
    <sheet xmlns:r="http://schemas.openxmlformats.org/officeDocument/2006/relationships" name="📈 MARKOWITZ FRONTIER" sheetId="56" state="visible" r:id="rId56"/>
    <sheet xmlns:r="http://schemas.openxmlformats.org/officeDocument/2006/relationships" name="🛡 HEDGING + SLIPPAGE" sheetId="57" state="visible" r:id="rId57"/>
    <sheet xmlns:r="http://schemas.openxmlformats.org/officeDocument/2006/relationships" name="🌦 MACRO REGIME 4MÙA" sheetId="58" state="visible" r:id="rId58"/>
    <sheet xmlns:r="http://schemas.openxmlformats.org/officeDocument/2006/relationships" name="📊 BRINSON ATTRIBUTION" sheetId="59" state="visible" r:id="rId59"/>
    <sheet xmlns:r="http://schemas.openxmlformats.org/officeDocument/2006/relationships" name="📐 FAMA-FRENCH 5F" sheetId="60" state="visible" r:id="rId60"/>
    <sheet xmlns:r="http://schemas.openxmlformats.org/officeDocument/2006/relationships" name="💧 LIQUIDITY LCR SHOCK" sheetId="61" state="visible" r:id="rId61"/>
    <sheet xmlns:r="http://schemas.openxmlformats.org/officeDocument/2006/relationships" name="📉 ATR TRAILING STOP" sheetId="62" state="visible" r:id="rId62"/>
    <sheet xmlns:r="http://schemas.openxmlformats.org/officeDocument/2006/relationships" name="💸 TAX-LOSS HARVEST" sheetId="63" state="visible" r:id="rId63"/>
    <sheet xmlns:r="http://schemas.openxmlformats.org/officeDocument/2006/relationships" name="💰 Crypto Bitcoin" sheetId="64" state="visible" r:id="rId64"/>
    <sheet xmlns:r="http://schemas.openxmlformats.org/officeDocument/2006/relationships" name="💱 Tỷ giá FX" sheetId="65" state="visible" r:id="rId65"/>
    <sheet xmlns:r="http://schemas.openxmlformats.org/officeDocument/2006/relationships" name="🔥 Khối Ngoại NetFlow" sheetId="66" state="visible" r:id="rId66"/>
    <sheet xmlns:r="http://schemas.openxmlformats.org/officeDocument/2006/relationships" name="🐋 Insider Trading" sheetId="67" state="visible" r:id="rId67"/>
    <sheet xmlns:r="http://schemas.openxmlformats.org/officeDocument/2006/relationships" name="📊 Margin &amp; T+" sheetId="68" state="visible" r:id="rId68"/>
    <sheet xmlns:r="http://schemas.openxmlformats.org/officeDocument/2006/relationships" name="📰 News Sentiment" sheetId="69" state="visible" r:id="rId69"/>
    <sheet xmlns:r="http://schemas.openxmlformats.org/officeDocument/2006/relationships" name="🔄 Sector Rotation" sheetId="70" state="visible" r:id="rId70"/>
    <sheet xmlns:r="http://schemas.openxmlformats.org/officeDocument/2006/relationships" name="🔬 BACKTEST 5Y" sheetId="71" state="visible" r:id="rId71"/>
    <sheet xmlns:r="http://schemas.openxmlformats.org/officeDocument/2006/relationships" name="🔔 AUTO-ALERT" sheetId="72" state="visible" r:id="rId72"/>
    <sheet xmlns:r="http://schemas.openxmlformats.org/officeDocument/2006/relationships" name="🎲 OPTIONS GREEKS" sheetId="73" state="visible" r:id="rId73"/>
    <sheet xmlns:r="http://schemas.openxmlformats.org/officeDocument/2006/relationships" name="🎯 PORTFOLIO OPT" sheetId="74" state="visible" r:id="rId74"/>
    <sheet xmlns:r="http://schemas.openxmlformats.org/officeDocument/2006/relationships" name="🐦 X SENTIMENT" sheetId="75" state="visible" r:id="rId75"/>
    <sheet xmlns:r="http://schemas.openxmlformats.org/officeDocument/2006/relationships" name="📊 POWER BI GUIDE" sheetId="76" state="visible" r:id="rId76"/>
    <sheet xmlns:r="http://schemas.openxmlformats.org/officeDocument/2006/relationships" name="🌐 CROSS-ASSET MATRIX" sheetId="77" state="visible" r:id="rId77"/>
    <sheet xmlns:r="http://schemas.openxmlformats.org/officeDocument/2006/relationships" name="📅 CALENDAR EVENTS" sheetId="78" state="visible" r:id="rId78"/>
    <sheet xmlns:r="http://schemas.openxmlformats.org/officeDocument/2006/relationships" name="🌡 MARKET BREADTH" sheetId="79" state="visible" r:id="rId79"/>
    <sheet xmlns:r="http://schemas.openxmlformats.org/officeDocument/2006/relationships" name="🐋 FLOW &amp; POSITIONING" sheetId="80" state="visible" r:id="rId80"/>
    <sheet xmlns:r="http://schemas.openxmlformats.org/officeDocument/2006/relationships" name="🔬 EARNINGS QUALITY" sheetId="81" state="visible" r:id="rId81"/>
    <sheet xmlns:r="http://schemas.openxmlformats.org/officeDocument/2006/relationships" name="🧠 ML AI DEEP LEARNING" sheetId="82" state="visible" r:id="rId82"/>
    <sheet xmlns:r="http://schemas.openxmlformats.org/officeDocument/2006/relationships" name="⚡ REAL-TIME INTRADAY" sheetId="83" state="visible" r:id="rId83"/>
    <sheet xmlns:r="http://schemas.openxmlformats.org/officeDocument/2006/relationships" name="💹 ORDER EXECUTION" sheetId="84" state="visible" r:id="rId84"/>
  </sheets>
  <definedNames>
    <definedName name="_xlnm._FilterDatabase" localSheetId="5" hidden="1">'🔍 Bộ Lọc Tổng Hợp'!$A$4:$M$45</definedName>
    <definedName name="_xlnm._FilterDatabase" localSheetId="20" hidden="1">'🔍 Bộ Lọc Cổ Phiếu'!$B$3:$Q$237</definedName>
    <definedName name="_xlnm._FilterDatabase" localSheetId="34" hidden="1">'🏦 Trái Phiếu VN 🔍'!$A$4:$I$29</definedName>
    <definedName name="_xlnm._FilterDatabase" localSheetId="35" hidden="1">'💵 Trái Phiếu TG 🔍'!$A$4:$H$29</definedName>
    <definedName name="_xlnm._FilterDatabase" localSheetId="36" hidden="1">'🥇 Vàng &amp; Kim Loại 🔍'!$A$4:$I$17</definedName>
    <definedName name="_xlnm._FilterDatabase" localSheetId="37" hidden="1">'🏛 Quỹ Lớn 🔍'!$A$4:$J$50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0.000"/>
    <numFmt numFmtId="167" formatCode="yyyy\-mm\-dd\ h:mm:ss"/>
    <numFmt numFmtId="168" formatCode="#,##0;[Red]\(#,##0\)"/>
    <numFmt numFmtId="169" formatCode="0.000%"/>
  </numFmts>
  <fonts count="346">
    <font>
      <name val="Calibri"/>
      <charset val="1"/>
      <family val="2"/>
      <color theme="1"/>
      <sz val="11"/>
    </font>
    <font>
      <name val="Calibri"/>
      <charset val="1"/>
      <b val="1"/>
      <color rgb="FFFFFFFF"/>
      <sz val="22"/>
    </font>
    <font>
      <name val="Arial"/>
      <charset val="1"/>
      <color rgb="FF000000"/>
      <sz val="11"/>
    </font>
    <font>
      <name val="Calibri"/>
      <charset val="1"/>
      <i val="1"/>
      <color rgb="FF555555"/>
      <sz val="9"/>
    </font>
    <font>
      <name val="Calibri"/>
      <charset val="1"/>
      <b val="1"/>
      <color rgb="FFFFFFFF"/>
      <sz val="13"/>
    </font>
    <font>
      <name val="Calibri"/>
      <charset val="1"/>
      <b val="1"/>
      <color rgb="FF000000"/>
      <sz val="10"/>
    </font>
    <font>
      <name val="Calibri"/>
      <charset val="1"/>
      <b val="1"/>
      <color rgb="FFB45F06"/>
      <sz val="13"/>
    </font>
    <font>
      <name val="Calibri"/>
      <charset val="1"/>
      <b val="1"/>
      <color rgb="FFC00000"/>
      <sz val="14"/>
    </font>
    <font>
      <name val="Calibri"/>
      <charset val="1"/>
      <b val="1"/>
      <color rgb="FFFFFFFF"/>
      <sz val="10"/>
    </font>
    <font>
      <name val="Calibri"/>
      <charset val="1"/>
      <b val="1"/>
      <color rgb="FF1F3864"/>
      <sz val="12"/>
    </font>
    <font>
      <name val="Calibri"/>
      <charset val="1"/>
      <color rgb="FF000000"/>
      <sz val="10"/>
    </font>
    <font>
      <name val="Times New Roman"/>
      <charset val="1"/>
      <family val="1"/>
      <b val="1"/>
      <color rgb="FFFFD700"/>
      <sz val="12"/>
    </font>
    <font>
      <name val="Cambria"/>
      <charset val="1"/>
      <b val="1"/>
      <color rgb="FFC00000"/>
      <sz val="14"/>
    </font>
    <font>
      <name val="Times New Roman"/>
      <charset val="1"/>
      <family val="1"/>
      <i val="1"/>
      <color rgb="FF555555"/>
      <sz val="9"/>
    </font>
    <font>
      <name val="Times New Roman"/>
      <charset val="1"/>
      <family val="1"/>
      <i val="1"/>
      <color rgb="FF8B0000"/>
      <sz val="10"/>
    </font>
    <font>
      <name val="Times New Roman"/>
      <charset val="1"/>
      <family val="1"/>
      <color rgb="FF000000"/>
      <sz val="11"/>
    </font>
    <font>
      <name val="Times New Roman"/>
      <charset val="1"/>
      <family val="1"/>
      <b val="1"/>
      <color rgb="FFFFFFFF"/>
      <sz val="14"/>
    </font>
    <font>
      <name val="Times New Roman"/>
      <charset val="1"/>
      <family val="1"/>
      <b val="1"/>
      <color rgb="FFB45F06"/>
      <sz val="24"/>
    </font>
    <font>
      <name val="Times New Roman"/>
      <charset val="1"/>
      <family val="1"/>
      <b val="1"/>
      <color rgb="FFFFD700"/>
      <sz val="18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rgb="FF8B0000"/>
      <sz val="12"/>
    </font>
    <font>
      <name val="Times New Roman"/>
      <charset val="1"/>
      <family val="1"/>
      <b val="1"/>
      <color rgb="FF1E3A5F"/>
      <sz val="11"/>
    </font>
    <font>
      <name val="Times New Roman"/>
      <charset val="1"/>
      <family val="1"/>
      <b val="1"/>
      <color rgb="FF006100"/>
      <sz val="11"/>
    </font>
    <font>
      <name val="Times New Roman"/>
      <charset val="1"/>
      <family val="1"/>
      <b val="1"/>
      <color rgb="FF8B0000"/>
      <sz val="11"/>
    </font>
    <font>
      <name val="Times New Roman"/>
      <charset val="1"/>
      <family val="1"/>
      <b val="1"/>
      <color rgb="FF0070C0"/>
      <sz val="10"/>
      <u val="single"/>
    </font>
    <font>
      <name val="Times New Roman"/>
      <charset val="1"/>
      <family val="1"/>
      <sz val="10"/>
    </font>
    <font>
      <name val="Arial"/>
      <charset val="1"/>
      <sz val="10"/>
    </font>
    <font>
      <name val="Times New Roman"/>
      <charset val="1"/>
      <family val="1"/>
      <i val="1"/>
      <color rgb="FFFFD700"/>
      <sz val="11"/>
    </font>
    <font>
      <name val="Arial"/>
      <charset val="1"/>
      <b val="1"/>
      <color rgb="FFC00000"/>
      <sz val="10"/>
    </font>
    <font>
      <name val="Times New Roman"/>
      <charset val="1"/>
      <family val="1"/>
      <b val="1"/>
      <color rgb="FFFFFFFF"/>
      <sz val="13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b val="1"/>
      <color rgb="FF7F6000"/>
      <sz val="10"/>
    </font>
    <font>
      <name val="Times New Roman"/>
      <charset val="1"/>
      <family val="1"/>
      <color rgb="FF7F6000"/>
      <sz val="10"/>
    </font>
    <font>
      <name val="Times New Roman"/>
      <charset val="1"/>
      <family val="1"/>
      <b val="1"/>
      <color rgb="FF375623"/>
      <sz val="10"/>
    </font>
    <font>
      <name val="Times New Roman"/>
      <charset val="1"/>
      <family val="1"/>
      <color rgb="FF1F4E79"/>
      <sz val="10"/>
    </font>
    <font>
      <name val="Times New Roman"/>
      <charset val="1"/>
      <family val="1"/>
      <b val="1"/>
      <color rgb="FFC00000"/>
      <sz val="10"/>
    </font>
    <font>
      <name val="Times New Roman"/>
      <charset val="1"/>
      <family val="1"/>
      <b val="1"/>
      <color rgb="FFFFFFFF"/>
      <sz val="10"/>
    </font>
    <font>
      <name val="Times New Roman"/>
      <charset val="1"/>
      <family val="1"/>
      <color rgb="FF375623"/>
      <sz val="10"/>
    </font>
    <font>
      <name val="Times New Roman"/>
      <charset val="1"/>
      <family val="1"/>
      <b val="1"/>
      <color rgb="FF0000FF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color rgb="FF008000"/>
      <sz val="10"/>
    </font>
    <font>
      <name val="Times New Roman"/>
      <charset val="1"/>
      <family val="1"/>
      <b val="1"/>
      <color rgb="FF1F3864"/>
      <sz val="14"/>
    </font>
    <font>
      <name val="Times New Roman"/>
      <charset val="1"/>
      <family val="1"/>
      <b val="1"/>
      <color rgb="FF1F4E79"/>
      <sz val="10"/>
    </font>
    <font>
      <name val="Times New Roman"/>
      <charset val="1"/>
      <family val="1"/>
      <b val="1"/>
      <color rgb="FF1F3864"/>
      <sz val="12"/>
    </font>
    <font>
      <name val="Times New Roman"/>
      <charset val="1"/>
      <family val="1"/>
      <b val="1"/>
      <color rgb="FF000000"/>
      <sz val="14"/>
    </font>
    <font>
      <name val="Times New Roman"/>
      <charset val="1"/>
      <family val="1"/>
      <b val="1"/>
      <color rgb="FFC00000"/>
      <sz val="14"/>
    </font>
    <font>
      <name val="Times New Roman"/>
      <charset val="1"/>
      <family val="1"/>
      <b val="1"/>
      <color rgb="FF1F3864"/>
      <sz val="13"/>
    </font>
    <font>
      <name val="Times New Roman"/>
      <charset val="1"/>
      <family val="1"/>
      <b val="1"/>
      <color rgb="FF13B5B1"/>
      <sz val="14"/>
    </font>
    <font>
      <name val="Times New Roman"/>
      <charset val="1"/>
      <family val="1"/>
      <b val="1"/>
      <color rgb="FFB45F06"/>
      <sz val="12"/>
    </font>
    <font>
      <name val="Times New Roman"/>
      <charset val="1"/>
      <family val="1"/>
      <b val="1"/>
      <color rgb="FF548235"/>
      <sz val="14"/>
    </font>
    <font>
      <name val="Times New Roman"/>
      <charset val="1"/>
      <family val="1"/>
      <b val="1"/>
      <color rgb="FFFFFFFF"/>
      <sz val="11"/>
    </font>
    <font>
      <name val="Times New Roman"/>
      <charset val="1"/>
      <family val="1"/>
      <b val="1"/>
      <color rgb="FF1F3864"/>
      <sz val="11"/>
    </font>
    <font>
      <name val="Times New Roman"/>
      <charset val="1"/>
      <family val="1"/>
      <b val="1"/>
      <color rgb="FF000000"/>
      <sz val="11"/>
    </font>
    <font>
      <name val="Times New Roman"/>
      <charset val="1"/>
      <family val="1"/>
      <color rgb="FF000000"/>
      <sz val="18"/>
    </font>
    <font>
      <name val="Times New Roman"/>
      <charset val="1"/>
      <family val="1"/>
      <b val="1"/>
      <color rgb="FFFFFFFF"/>
      <sz val="18"/>
    </font>
    <font>
      <name val="Times New Roman"/>
      <charset val="1"/>
      <family val="1"/>
      <b val="1"/>
      <color rgb="FF000000"/>
      <sz val="18"/>
    </font>
    <font>
      <name val="Times New Roman"/>
      <charset val="1"/>
      <family val="1"/>
      <b val="1"/>
      <color rgb="FFC00000"/>
      <sz val="22"/>
    </font>
    <font>
      <name val="Times New Roman"/>
      <charset val="1"/>
      <family val="1"/>
      <b val="1"/>
      <color rgb="FFC00000"/>
      <sz val="11"/>
    </font>
    <font>
      <name val="Times New Roman"/>
      <charset val="1"/>
      <family val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1F4E78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color rgb="FF1F4E78"/>
      <sz val="11"/>
    </font>
    <font>
      <name val="Arial"/>
      <charset val="1"/>
      <b val="1"/>
      <color rgb="FFC00000"/>
      <sz val="14"/>
    </font>
    <font>
      <name val="Arial"/>
      <charset val="1"/>
      <b val="1"/>
      <color rgb="FFC00000"/>
      <sz val="12"/>
    </font>
    <font>
      <name val="Arial"/>
      <charset val="1"/>
      <i val="1"/>
      <sz val="10"/>
    </font>
    <font>
      <name val="Calibri"/>
      <charset val="1"/>
      <b val="1"/>
      <color rgb="FFFFD700"/>
      <sz val="16"/>
    </font>
    <font>
      <name val="Calibri"/>
      <charset val="1"/>
      <b val="1"/>
      <color rgb="FF0070C0"/>
      <sz val="11"/>
      <u val="single"/>
    </font>
    <font>
      <name val="Calibri"/>
      <charset val="1"/>
      <sz val="10"/>
    </font>
    <font>
      <name val="Calibri"/>
      <charset val="1"/>
      <b val="1"/>
      <color rgb="FF8B0000"/>
      <sz val="12"/>
      <u val="single"/>
    </font>
    <font>
      <name val="Calibri"/>
      <charset val="1"/>
      <b val="1"/>
      <color rgb="FFFFD700"/>
      <sz val="12"/>
    </font>
    <font>
      <name val="Cambria"/>
      <charset val="1"/>
      <b val="1"/>
      <color rgb="FF1F4E78"/>
      <sz val="16"/>
    </font>
    <font>
      <name val="Cambria"/>
      <charset val="1"/>
      <i val="1"/>
      <color rgb="FF666666"/>
      <sz val="10"/>
    </font>
    <font>
      <name val="Cambria"/>
      <charset val="1"/>
      <b val="1"/>
      <i val="1"/>
      <color rgb="FFC00000"/>
      <sz val="10"/>
    </font>
    <font>
      <name val="Cambria"/>
      <charset val="1"/>
      <b val="1"/>
      <color rgb="FFFFFFFF"/>
      <sz val="12"/>
    </font>
    <font>
      <name val="Cambria"/>
      <charset val="1"/>
      <b val="1"/>
      <sz val="11"/>
    </font>
    <font>
      <name val="Cambria"/>
      <charset val="1"/>
      <b val="1"/>
      <color rgb="FF1F4E78"/>
      <sz val="12"/>
    </font>
    <font>
      <name val="Cambria"/>
      <charset val="1"/>
      <sz val="10"/>
    </font>
    <font>
      <name val="Cambria"/>
      <charset val="1"/>
      <b val="1"/>
      <color rgb="FF1F4E78"/>
      <sz val="11"/>
    </font>
    <font>
      <name val="Cambria"/>
      <charset val="1"/>
      <b val="1"/>
      <color rgb="FFC00000"/>
      <sz val="11"/>
    </font>
    <font>
      <name val="Cambria"/>
      <charset val="1"/>
      <b val="1"/>
      <color rgb="FFFFFFFF"/>
      <sz val="14"/>
    </font>
    <font>
      <name val="Cambria"/>
      <charset val="1"/>
      <i val="1"/>
      <color rgb="FFC00000"/>
      <sz val="10"/>
    </font>
    <font>
      <name val="Cambria"/>
      <charset val="1"/>
      <i val="1"/>
      <color rgb="FF006400"/>
      <sz val="9"/>
    </font>
    <font>
      <name val="Cambria"/>
      <charset val="1"/>
      <b val="1"/>
      <color rgb="FFFFFFFF"/>
      <sz val="11"/>
    </font>
    <font>
      <name val="Calibri"/>
      <charset val="1"/>
      <b val="1"/>
      <color rgb="FFFFFFFF"/>
      <sz val="20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1"/>
    </font>
    <font>
      <name val="Calibri"/>
      <charset val="1"/>
      <b val="1"/>
      <color rgb="FF000000"/>
      <sz val="11"/>
    </font>
    <font>
      <name val="Cambria"/>
      <charset val="1"/>
      <b val="1"/>
      <color rgb="FFC0392B"/>
      <sz val="12"/>
    </font>
    <font>
      <name val="Arial"/>
      <charset val="1"/>
      <b val="1"/>
      <color rgb="FFFFFFFF"/>
      <sz val="10"/>
    </font>
    <font>
      <name val="Cambria"/>
      <charset val="1"/>
      <b val="1"/>
      <sz val="10"/>
    </font>
    <font>
      <name val="Arial"/>
      <charset val="1"/>
      <color rgb="FF000000"/>
      <sz val="10"/>
    </font>
    <font>
      <name val="Times New Roman"/>
      <charset val="1"/>
      <b val="1"/>
      <color rgb="FFF5C842"/>
      <sz val="18"/>
    </font>
    <font>
      <name val="Times New Roman"/>
      <charset val="1"/>
      <color rgb="FFC8D8E8"/>
      <sz val="9"/>
    </font>
    <font>
      <name val="Arial"/>
      <charset val="1"/>
      <b val="1"/>
      <color rgb="FF4FC3F7"/>
      <sz val="11"/>
    </font>
    <font>
      <name val="Times New Roman"/>
      <charset val="1"/>
      <b val="1"/>
      <color rgb="FF5A7A9A"/>
      <sz val="9"/>
    </font>
    <font>
      <name val="Arial"/>
      <charset val="1"/>
      <b val="1"/>
      <color rgb="FFF5C842"/>
      <sz val="9"/>
    </font>
    <font>
      <name val="Arial"/>
      <charset val="1"/>
      <color rgb="FF5A7A9A"/>
      <sz val="9"/>
    </font>
    <font>
      <name val="Arial"/>
      <charset val="1"/>
      <b val="1"/>
      <color rgb="FFF5C842"/>
      <sz val="11"/>
    </font>
    <font>
      <name val="Arial"/>
      <charset val="1"/>
      <b val="1"/>
      <color rgb="FFF5C842"/>
      <sz val="10"/>
    </font>
    <font>
      <name val="Arial"/>
      <charset val="1"/>
      <b val="1"/>
      <color rgb="FFE8F0F8"/>
      <sz val="10"/>
    </font>
    <font>
      <name val="Arial"/>
      <charset val="1"/>
      <color rgb="FF4FC3F7"/>
      <sz val="9"/>
    </font>
    <font>
      <name val="Arial"/>
      <charset val="1"/>
      <b val="1"/>
      <color rgb="FF00E676"/>
      <sz val="10"/>
    </font>
    <font>
      <name val="Arial"/>
      <charset val="1"/>
      <color rgb="FFC8D8E8"/>
      <sz val="9"/>
    </font>
    <font>
      <name val="Arial"/>
      <charset val="1"/>
      <color rgb="FF00E676"/>
      <sz val="9"/>
    </font>
    <font>
      <name val="Arial"/>
      <charset val="1"/>
      <b val="1"/>
      <color rgb="FF80E27E"/>
      <sz val="10"/>
    </font>
    <font>
      <name val="Arial"/>
      <charset val="1"/>
      <b val="1"/>
      <color rgb="FFC8D8E8"/>
      <sz val="10"/>
    </font>
    <font>
      <name val="Arial"/>
      <charset val="1"/>
      <b val="1"/>
      <color rgb="FFFF4444"/>
      <sz val="10"/>
    </font>
    <font>
      <name val="Arial"/>
      <charset val="1"/>
      <b val="1"/>
      <color rgb="FF5A7A9A"/>
      <sz val="10"/>
    </font>
    <font>
      <name val="Arial"/>
      <charset val="1"/>
      <b val="1"/>
      <color rgb="FF5A7A9A"/>
      <sz val="9"/>
    </font>
    <font>
      <name val="Arial"/>
      <charset val="1"/>
      <color rgb="FFF5C842"/>
      <sz val="9"/>
    </font>
    <font>
      <name val="Arial"/>
      <charset val="1"/>
      <b val="1"/>
      <color rgb="FF00E676"/>
      <sz val="9"/>
    </font>
    <font>
      <name val="Arial"/>
      <charset val="1"/>
      <b val="1"/>
      <color rgb="FFFF7043"/>
      <sz val="9"/>
    </font>
    <font>
      <name val="Calibri"/>
      <charset val="1"/>
      <b val="1"/>
      <color rgb="FF006400"/>
      <sz val="10"/>
    </font>
    <font>
      <name val="Arial"/>
      <charset val="1"/>
      <b val="1"/>
      <color rgb="FFFFD700"/>
      <sz val="14"/>
    </font>
    <font>
      <name val="Arial"/>
      <charset val="1"/>
      <color rgb="FF90CAF9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D1B2A"/>
      <sz val="12"/>
    </font>
    <font>
      <name val="Arial"/>
      <charset val="1"/>
      <b val="1"/>
      <color rgb="FF000000"/>
      <sz val="9"/>
    </font>
    <font>
      <name val="Arial"/>
      <charset val="1"/>
      <b val="1"/>
      <color rgb="FF1F4E79"/>
      <sz val="13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Calibri"/>
      <charset val="1"/>
      <color rgb="FF000000"/>
      <sz val="9"/>
    </font>
    <font>
      <name val="Calibri"/>
      <charset val="1"/>
      <color rgb="FF006400"/>
      <sz val="9"/>
    </font>
    <font>
      <name val="Calibri"/>
      <charset val="1"/>
      <b val="1"/>
      <color rgb="FF006400"/>
      <sz val="9"/>
    </font>
    <font>
      <name val="Calibri"/>
      <charset val="1"/>
      <color rgb="FF1F3864"/>
      <sz val="9"/>
    </font>
    <font>
      <name val="Calibri"/>
      <charset val="1"/>
      <b val="1"/>
      <color rgb="FF000000"/>
      <sz val="9"/>
    </font>
    <font>
      <name val="Calibri"/>
      <charset val="1"/>
      <color rgb="FF595959"/>
      <sz val="9"/>
    </font>
    <font>
      <name val="Calibri"/>
      <charset val="1"/>
      <color rgb="FF9C0006"/>
      <sz val="9"/>
    </font>
    <font>
      <name val="Calibri"/>
      <charset val="1"/>
      <color rgb="FFCC0000"/>
      <sz val="9"/>
    </font>
    <font>
      <name val="Calibri"/>
      <charset val="1"/>
      <b val="1"/>
      <color rgb="FF7F6000"/>
      <sz val="9"/>
    </font>
    <font>
      <name val="Calibri"/>
      <charset val="1"/>
      <color rgb="FF7F3F00"/>
      <sz val="9"/>
    </font>
    <font>
      <name val="Arial"/>
      <charset val="1"/>
      <b val="1"/>
      <color rgb="FF1F4E79"/>
      <sz val="10"/>
    </font>
    <font>
      <name val="Arial"/>
      <charset val="1"/>
      <b val="1"/>
      <color rgb="FF003366"/>
      <sz val="11"/>
    </font>
    <font>
      <name val="Arial"/>
      <charset val="1"/>
      <i val="1"/>
      <color rgb="FF666666"/>
      <sz val="9"/>
    </font>
    <font>
      <name val="Arial"/>
      <charset val="1"/>
      <b val="1"/>
      <color rgb="FF95D5B2"/>
      <sz val="13"/>
    </font>
    <font>
      <name val="Arial"/>
      <charset val="1"/>
      <color rgb="FFD8F3DC"/>
      <sz val="10"/>
    </font>
    <font>
      <name val="Arial"/>
      <charset val="1"/>
      <b val="1"/>
      <color rgb="FF1B4332"/>
      <sz val="12"/>
    </font>
    <font>
      <name val="Arial"/>
      <charset val="1"/>
      <b val="1"/>
      <color rgb="FFFFD700"/>
      <sz val="13"/>
    </font>
    <font>
      <name val="Arial"/>
      <charset val="1"/>
      <color rgb="FFFFECD2"/>
      <sz val="10"/>
    </font>
    <font>
      <name val="Arial"/>
      <charset val="1"/>
      <b val="1"/>
      <color rgb="FF7F3F00"/>
      <sz val="12"/>
    </font>
    <font>
      <name val="Arial"/>
      <charset val="1"/>
      <b val="1"/>
      <color rgb="FF7F3F00"/>
      <sz val="11"/>
    </font>
    <font>
      <name val="Arial"/>
      <charset val="1"/>
      <color rgb="FFFFFFFF"/>
      <sz val="10"/>
    </font>
    <font>
      <name val="Arial"/>
      <charset val="1"/>
      <color rgb="FFCCCCCC"/>
      <sz val="10"/>
    </font>
    <font>
      <name val="Arial"/>
      <charset val="1"/>
      <b val="1"/>
      <color rgb="FFFFD700"/>
      <sz val="10"/>
    </font>
    <font>
      <name val="Arial"/>
      <charset val="1"/>
      <color rgb="FFE8E8E8"/>
      <sz val="10"/>
    </font>
    <font>
      <name val="Calibri"/>
      <charset val="1"/>
      <b val="1"/>
      <color rgb="FF006400"/>
      <sz val="12"/>
    </font>
    <font>
      <name val="Calibri"/>
      <charset val="1"/>
      <b val="1"/>
      <color rgb="FF006400"/>
      <sz val="11"/>
    </font>
    <font>
      <name val="Calibri"/>
      <charset val="1"/>
      <b val="1"/>
      <color rgb="FF7F6000"/>
      <sz val="12"/>
    </font>
    <font>
      <name val="Calibri"/>
      <charset val="1"/>
      <b val="1"/>
      <color rgb="FF7F6000"/>
      <sz val="11"/>
    </font>
    <font>
      <name val="Calibri"/>
      <charset val="1"/>
      <color rgb="FF7F6000"/>
      <sz val="9"/>
    </font>
    <font>
      <name val="Calibri"/>
      <charset val="1"/>
      <b val="1"/>
      <color rgb="FF9C0006"/>
      <sz val="11"/>
    </font>
    <font>
      <name val="Calibri"/>
      <charset val="1"/>
      <b val="1"/>
      <color rgb="FF9C0006"/>
      <sz val="10"/>
    </font>
    <font>
      <name val="Calibri"/>
      <charset val="1"/>
      <b val="1"/>
      <color rgb="FF375623"/>
      <sz val="11"/>
    </font>
    <font>
      <name val="Calibri"/>
      <charset val="1"/>
      <b val="1"/>
      <color rgb="FF375623"/>
      <sz val="10"/>
    </font>
    <font>
      <name val="Calibri"/>
      <charset val="1"/>
      <b val="1"/>
      <color rgb="FFFFFFFF"/>
      <sz val="12"/>
    </font>
    <font>
      <name val="Calibri"/>
      <charset val="1"/>
      <b val="1"/>
      <color rgb="FFCC0000"/>
      <sz val="11"/>
    </font>
    <font>
      <name val="Calibri"/>
      <charset val="1"/>
      <b val="1"/>
      <color rgb="FFB45F06"/>
      <sz val="12"/>
    </font>
    <font>
      <name val="Calibri"/>
      <charset val="1"/>
      <color rgb="FF006400"/>
      <sz val="10"/>
    </font>
    <font>
      <name val="Calibri"/>
      <charset val="1"/>
      <b val="1"/>
      <color rgb="FF7F6000"/>
      <sz val="10"/>
    </font>
    <font>
      <name val="Calibri"/>
      <charset val="1"/>
      <color rgb="FF7F6000"/>
      <sz val="10"/>
    </font>
    <font>
      <name val="Calibri"/>
      <charset val="1"/>
      <b val="1"/>
      <color rgb="FFCC0000"/>
      <sz val="10"/>
    </font>
    <font>
      <name val="Calibri"/>
      <charset val="1"/>
      <b val="1"/>
      <color rgb="FF595959"/>
      <sz val="10"/>
    </font>
    <font>
      <name val="Calibri"/>
      <charset val="1"/>
      <color rgb="FF595959"/>
      <sz val="10"/>
    </font>
    <font>
      <name val="Calibri"/>
      <charset val="1"/>
      <b val="1"/>
      <color rgb="FF006400"/>
      <sz val="14"/>
    </font>
    <font>
      <name val="Calibri"/>
      <charset val="1"/>
      <b val="1"/>
      <color rgb="FF00703C"/>
      <sz val="11"/>
    </font>
    <font>
      <name val="Calibri"/>
      <charset val="1"/>
      <b val="1"/>
      <color rgb="FFC00000"/>
      <sz val="11"/>
    </font>
    <font>
      <name val="Calibri"/>
      <charset val="1"/>
      <b val="1"/>
      <color rgb="FF00703C"/>
      <sz val="10"/>
    </font>
    <font>
      <name val="Calibri"/>
      <charset val="1"/>
      <b val="1"/>
      <color rgb="FFFFFFFF"/>
      <sz val="18"/>
    </font>
    <font>
      <name val="Calibri"/>
      <charset val="1"/>
      <b val="1"/>
      <color rgb="FF808080"/>
      <sz val="11"/>
    </font>
    <font>
      <name val="Calibri"/>
      <charset val="1"/>
      <b val="1"/>
      <color rgb="FF00703C"/>
      <sz val="12"/>
    </font>
    <font>
      <name val="Arial"/>
      <charset val="1"/>
      <b val="1"/>
      <color rgb="FFF5C842"/>
      <sz val="14"/>
    </font>
    <font>
      <name val="Arial"/>
      <charset val="1"/>
      <b val="1"/>
      <color rgb="FFFF7043"/>
      <sz val="10"/>
    </font>
    <font>
      <name val="Arial"/>
      <charset val="1"/>
      <b val="1"/>
      <color rgb="FF4FC3F7"/>
      <sz val="9"/>
    </font>
    <font>
      <name val="Arial"/>
      <charset val="1"/>
      <b val="1"/>
      <color rgb="FF00E676"/>
      <sz val="11"/>
    </font>
    <font>
      <name val="Arial"/>
      <charset val="1"/>
      <b val="1"/>
      <color rgb="FFC00000"/>
      <sz val="13"/>
    </font>
    <font>
      <name val="Arial"/>
      <charset val="1"/>
      <b val="1"/>
      <color rgb="FFF5C842"/>
      <sz val="15"/>
    </font>
    <font>
      <name val="Arial"/>
      <charset val="1"/>
      <i val="1"/>
      <color rgb="FFC8D8E8"/>
      <sz val="9"/>
    </font>
    <font>
      <name val="Cambria"/>
      <charset val="1"/>
      <b val="1"/>
      <color rgb="FFF5C842"/>
      <sz val="12"/>
    </font>
    <font>
      <name val="Cambria"/>
      <charset val="1"/>
      <b val="1"/>
      <color rgb="FF4FC3F7"/>
      <sz val="12"/>
    </font>
    <font>
      <name val="Cambria"/>
      <charset val="1"/>
      <color rgb="FFC8D8E8"/>
      <sz val="12"/>
    </font>
    <font>
      <name val="Cambria"/>
      <charset val="1"/>
      <color rgb="FF4FC3F7"/>
      <sz val="12"/>
    </font>
    <font>
      <name val="Cambria"/>
      <charset val="1"/>
      <b val="1"/>
      <color rgb="FF80A8FF"/>
      <sz val="12"/>
    </font>
    <font>
      <name val="Cambria"/>
      <charset val="1"/>
      <color rgb="FF80A8FF"/>
      <sz val="12"/>
    </font>
    <font>
      <name val="Cambria"/>
      <charset val="1"/>
      <b val="1"/>
      <color rgb="FFFF7043"/>
      <sz val="12"/>
    </font>
    <font>
      <name val="Cambria"/>
      <charset val="1"/>
      <color rgb="FFFF7043"/>
      <sz val="12"/>
    </font>
    <font>
      <name val="Cambria"/>
      <charset val="1"/>
      <b val="1"/>
      <color rgb="FF00E676"/>
      <sz val="12"/>
    </font>
    <font>
      <name val="Cambria"/>
      <charset val="1"/>
      <color rgb="FF00E676"/>
      <sz val="12"/>
    </font>
    <font>
      <name val="Cambria"/>
      <charset val="1"/>
      <color rgb="FFF5C842"/>
      <sz val="12"/>
    </font>
    <font>
      <name val="Cambria"/>
      <charset val="1"/>
      <b val="1"/>
      <color rgb="FFFFD700"/>
      <sz val="12"/>
    </font>
    <font>
      <name val="Cambria"/>
      <charset val="1"/>
      <color rgb="FFFFD700"/>
      <sz val="12"/>
    </font>
    <font>
      <name val="Cambria"/>
      <charset val="1"/>
      <b val="1"/>
      <color rgb="FFFF8C42"/>
      <sz val="12"/>
    </font>
    <font>
      <name val="Cambria"/>
      <charset val="1"/>
      <color rgb="FFFF8C42"/>
      <sz val="12"/>
    </font>
    <font>
      <name val="Cambria"/>
      <charset val="1"/>
      <b val="1"/>
      <color rgb="FFE8A0F8"/>
      <sz val="12"/>
    </font>
    <font>
      <name val="Cambria"/>
      <charset val="1"/>
      <color rgb="FFE8A0F8"/>
      <sz val="12"/>
    </font>
    <font>
      <name val="Cambria"/>
      <charset val="1"/>
      <b val="1"/>
      <color rgb="FFC8A0F8"/>
      <sz val="12"/>
    </font>
    <font>
      <name val="Cambria"/>
      <charset val="1"/>
      <color rgb="FFC8A0F8"/>
      <sz val="12"/>
    </font>
    <font>
      <name val="Arial"/>
      <charset val="1"/>
      <b val="1"/>
      <color rgb="FF1B4F72"/>
      <sz val="10"/>
    </font>
    <font>
      <name val="Arial"/>
      <charset val="1"/>
      <b val="1"/>
      <color rgb="FF1F3864"/>
      <sz val="18"/>
    </font>
    <font>
      <name val="Arial"/>
      <charset val="1"/>
      <i val="1"/>
      <color rgb="FF7F7F7F"/>
      <sz val="10"/>
    </font>
    <font>
      <name val="Arial"/>
      <charset val="1"/>
      <i val="1"/>
      <color rgb="FF375623"/>
      <sz val="10"/>
    </font>
    <font>
      <name val="Cambria"/>
      <charset val="1"/>
      <i val="1"/>
      <color rgb="FFFFFFFF"/>
      <sz val="10"/>
    </font>
    <font>
      <name val="Cambria"/>
      <charset val="1"/>
      <b val="1"/>
      <color rgb="FFFFFFFF"/>
      <sz val="10"/>
    </font>
    <font>
      <name val="Cambria"/>
      <charset val="1"/>
      <b val="1"/>
      <color rgb="FF155724"/>
      <sz val="11"/>
    </font>
    <font>
      <name val="Cambria"/>
      <charset val="1"/>
      <color rgb="FF555555"/>
      <sz val="10"/>
    </font>
    <font>
      <name val="Cambria"/>
      <charset val="1"/>
      <i val="1"/>
      <color rgb="FF856404"/>
      <sz val="10"/>
    </font>
    <font>
      <name val="Calibri"/>
      <charset val="1"/>
      <b val="1"/>
      <color rgb="FFFFFFFF"/>
      <sz val="16"/>
    </font>
    <font>
      <name val="Calibri"/>
      <charset val="1"/>
      <i val="1"/>
      <color rgb="FF000000"/>
      <sz val="9"/>
    </font>
    <font>
      <name val="Calibri"/>
      <charset val="1"/>
      <i val="1"/>
      <color rgb="FFC00000"/>
      <sz val="9"/>
    </font>
    <font>
      <name val="Cambria"/>
      <charset val="1"/>
      <b val="1"/>
      <color rgb="FFFFFFFF"/>
      <sz val="9"/>
    </font>
    <font>
      <name val="Arial"/>
      <charset val="1"/>
      <color rgb="FF000000"/>
      <sz val="9"/>
    </font>
    <font>
      <name val="Cambria"/>
      <charset val="1"/>
      <b val="1"/>
      <color rgb="FFFFFFFF"/>
      <sz val="8"/>
    </font>
    <font>
      <name val="Calibri"/>
      <charset val="1"/>
      <b val="1"/>
      <color rgb="FFC00000"/>
      <sz val="10"/>
    </font>
    <font>
      <name val="Cambria"/>
      <charset val="1"/>
      <b val="1"/>
      <color rgb="FF1F3864"/>
      <sz val="9"/>
    </font>
    <font>
      <name val="Cambria"/>
      <charset val="1"/>
      <color rgb="FF000000"/>
      <sz val="9"/>
    </font>
    <font>
      <name val="Cambria"/>
      <charset val="1"/>
      <b val="1"/>
      <color rgb="FF7D6608"/>
      <sz val="9"/>
    </font>
    <font>
      <name val="Cambria"/>
      <charset val="1"/>
      <color rgb="FF595959"/>
      <sz val="9"/>
    </font>
    <font>
      <name val="Arial"/>
      <charset val="1"/>
      <b val="1"/>
      <color rgb="FFFFFFFF"/>
      <sz val="18"/>
    </font>
    <font>
      <name val="Arial"/>
      <charset val="1"/>
      <b val="1"/>
      <i val="1"/>
      <color rgb="FFC00000"/>
      <sz val="10"/>
    </font>
    <font>
      <name val="Arial"/>
      <charset val="1"/>
      <color rgb="FF1F4E78"/>
      <sz val="11"/>
    </font>
    <font>
      <name val="Times New Roman"/>
      <charset val="1"/>
      <b val="1"/>
      <color rgb="FF17365D"/>
      <sz val="12"/>
    </font>
    <font>
      <name val="Arial"/>
      <charset val="1"/>
      <b val="1"/>
      <color rgb="FF17365D"/>
      <sz val="12"/>
    </font>
    <font>
      <name val="Times New Roman"/>
      <charset val="1"/>
      <b val="1"/>
      <color rgb="FF000000"/>
      <sz val="12"/>
    </font>
    <font>
      <name val="Arial"/>
      <charset val="1"/>
      <b val="1"/>
      <color rgb="FF000000"/>
      <sz val="12"/>
    </font>
    <font>
      <name val="Cambria"/>
      <charset val="1"/>
      <b val="1"/>
      <color rgb="FF000000"/>
      <sz val="11"/>
    </font>
    <font>
      <name val="Times New Roman"/>
      <charset val="1"/>
      <b val="1"/>
      <color rgb="FFFFFFFF"/>
      <sz val="12"/>
    </font>
    <font>
      <name val="Times New Roman"/>
      <charset val="1"/>
      <b val="1"/>
      <color rgb="FF000000"/>
      <sz val="11"/>
    </font>
    <font>
      <name val="Times New Roman"/>
      <charset val="1"/>
      <color rgb="FF000000"/>
      <sz val="11"/>
    </font>
    <font>
      <name val="Arial"/>
      <charset val="1"/>
      <b val="1"/>
      <color rgb="FF0000FF"/>
      <sz val="9"/>
    </font>
    <font>
      <name val="Arial"/>
      <charset val="1"/>
      <color rgb="FF0000FF"/>
      <sz val="9"/>
    </font>
    <font>
      <name val="Arial"/>
      <charset val="1"/>
      <b val="1"/>
      <color rgb="FF0000FF"/>
      <sz val="10"/>
    </font>
    <font>
      <name val="Arial"/>
      <charset val="1"/>
      <color rgb="FF0000FF"/>
      <sz val="10"/>
    </font>
    <font>
      <name val="Arial"/>
      <charset val="1"/>
      <color rgb="FF555555"/>
      <sz val="9"/>
    </font>
    <font>
      <name val="Times New Roman"/>
      <charset val="1"/>
      <b val="1"/>
      <color rgb="FFFF0000"/>
      <sz val="12"/>
    </font>
    <font>
      <name val="Calibri"/>
      <charset val="1"/>
      <color rgb="FF000000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1F4E79"/>
      <sz val="11"/>
    </font>
    <font>
      <name val="Arial"/>
      <charset val="1"/>
      <b val="1"/>
      <color rgb="FF1F3864"/>
      <sz val="16"/>
    </font>
    <font>
      <name val="Arial"/>
      <charset val="1"/>
      <b val="1"/>
      <color rgb="FF1E5631"/>
      <sz val="16"/>
    </font>
    <font>
      <name val="Arial"/>
      <charset val="1"/>
      <b val="1"/>
      <color rgb="FF7B0000"/>
      <sz val="16"/>
    </font>
    <font>
      <name val="Arial"/>
      <charset val="1"/>
      <b val="1"/>
      <color rgb="FF7F6000"/>
      <sz val="16"/>
    </font>
    <font>
      <name val="Arial"/>
      <charset val="1"/>
      <color rgb="FF1F3864"/>
      <sz val="8"/>
    </font>
    <font>
      <name val="Arial"/>
      <charset val="1"/>
      <color rgb="FF1E5631"/>
      <sz val="8"/>
    </font>
    <font>
      <name val="Arial"/>
      <charset val="1"/>
      <color rgb="FF7F6000"/>
      <sz val="8"/>
    </font>
    <font>
      <name val="Arial"/>
      <charset val="1"/>
      <color rgb="FF7B0000"/>
      <sz val="8"/>
    </font>
    <font>
      <name val="Times New Roman"/>
      <charset val="1"/>
      <b val="1"/>
      <color rgb="FFFFFFFF"/>
      <sz val="9"/>
    </font>
    <font>
      <name val="Times New Roman"/>
      <charset val="1"/>
      <b val="1"/>
      <color rgb="FF1F3864"/>
      <sz val="10"/>
    </font>
    <font>
      <name val="Times New Roman"/>
      <charset val="1"/>
      <color rgb="FF000000"/>
      <sz val="10"/>
    </font>
    <font>
      <name val="Times New Roman"/>
      <charset val="1"/>
      <b val="1"/>
      <color rgb="FF000000"/>
      <sz val="10"/>
    </font>
    <font>
      <name val="Arial"/>
      <charset val="1"/>
      <color rgb="FF7F6000"/>
      <sz val="9"/>
    </font>
    <font>
      <name val="Arial"/>
      <charset val="1"/>
      <b val="1"/>
      <color rgb="FFFFFFFF"/>
      <sz val="13"/>
    </font>
    <font>
      <name val="Arial"/>
      <charset val="1"/>
      <color rgb="FF888888"/>
      <sz val="9"/>
    </font>
    <font>
      <name val="Arial"/>
      <charset val="1"/>
      <b val="1"/>
      <color rgb="FF1F4E79"/>
      <sz val="9"/>
    </font>
    <font>
      <name val="Arial"/>
      <charset val="1"/>
      <color rgb="FF444444"/>
      <sz val="9"/>
    </font>
    <font>
      <name val="Arial"/>
      <charset val="1"/>
      <b val="1"/>
      <color rgb="FF7F6000"/>
      <sz val="9"/>
    </font>
    <font>
      <name val="Arial"/>
      <charset val="1"/>
      <b val="1"/>
      <color rgb="FF375623"/>
      <sz val="9"/>
    </font>
    <font>
      <name val="Arial"/>
      <charset val="1"/>
      <color rgb="FF9C0006"/>
      <sz val="9"/>
    </font>
    <font>
      <name val="Calibri"/>
      <charset val="1"/>
      <color rgb="FF0000FF"/>
      <sz val="11"/>
    </font>
    <font>
      <name val="Calibri"/>
      <charset val="1"/>
      <b val="1"/>
      <color rgb="FF1F4E78"/>
      <sz val="12"/>
    </font>
    <font>
      <name val="Calibri"/>
      <charset val="1"/>
      <color rgb="FF008000"/>
      <sz val="11"/>
    </font>
    <font>
      <name val="Arial"/>
      <charset val="1"/>
      <i val="1"/>
      <color rgb="FF843C0C"/>
      <sz val="9"/>
    </font>
    <font>
      <name val="Arial"/>
      <charset val="1"/>
      <b val="1"/>
      <i val="1"/>
      <color rgb="FF9C0006"/>
      <sz val="9"/>
    </font>
    <font>
      <name val="Arial"/>
      <charset val="1"/>
      <b val="1"/>
      <color rgb="FF6A1B9A"/>
      <sz val="9"/>
    </font>
    <font>
      <name val="Arial"/>
      <charset val="1"/>
      <color rgb="FF777777"/>
      <sz val="9"/>
    </font>
    <font>
      <name val="Arial"/>
      <charset val="1"/>
      <color rgb="FF843C0C"/>
      <sz val="9"/>
    </font>
    <font>
      <name val="Arial"/>
      <charset val="1"/>
      <b val="1"/>
      <color rgb="FF4527A0"/>
      <sz val="9"/>
    </font>
    <font>
      <name val="Arial"/>
      <charset val="1"/>
      <b val="1"/>
      <color rgb="FF9C0006"/>
      <sz val="9"/>
    </font>
    <font>
      <name val="Arial"/>
      <charset val="1"/>
      <b val="1"/>
      <color rgb="FF1B5E20"/>
      <sz val="9"/>
    </font>
    <font>
      <name val="Arial"/>
      <charset val="1"/>
      <b val="1"/>
      <color rgb="FFE65100"/>
      <sz val="9"/>
    </font>
    <font>
      <name val="Arial"/>
      <charset val="1"/>
      <b val="1"/>
      <color rgb="FFB71C1C"/>
      <sz val="9"/>
    </font>
    <font>
      <name val="Times New Roman"/>
      <charset val="1"/>
      <b val="1"/>
      <color rgb="FFFFFFFF"/>
      <sz val="10"/>
    </font>
    <font>
      <name val="Times New Roman"/>
      <charset val="1"/>
      <color rgb="FF1565C0"/>
      <sz val="10"/>
    </font>
    <font>
      <name val="Times New Roman"/>
      <charset val="1"/>
      <b val="1"/>
      <color rgb="FF14A085"/>
      <sz val="10"/>
    </font>
    <font>
      <name val="Times New Roman"/>
      <charset val="1"/>
      <b val="1"/>
      <color rgb="FF1B2A4A"/>
      <sz val="10"/>
    </font>
    <font>
      <name val="Times New Roman"/>
      <charset val="1"/>
      <b val="1"/>
      <color rgb="FFEF6C00"/>
      <sz val="10"/>
    </font>
    <font>
      <name val="Cambria"/>
      <charset val="1"/>
      <color rgb="FF000000"/>
      <sz val="10"/>
    </font>
    <font>
      <name val="Consolas"/>
      <charset val="1"/>
      <b val="1"/>
      <color rgb="FFC00000"/>
      <sz val="10"/>
    </font>
    <font>
      <name val="Consolas"/>
      <charset val="1"/>
      <color rgb="FF000080"/>
      <sz val="10"/>
    </font>
    <font>
      <name val="Consolas"/>
      <charset val="1"/>
      <b val="1"/>
      <color rgb="FFC00000"/>
      <sz val="11"/>
    </font>
    <font>
      <name val="Courier New"/>
      <charset val="1"/>
      <color rgb="FF1F497D"/>
      <sz val="9"/>
    </font>
    <font>
      <name val="Consolas"/>
      <charset val="1"/>
      <color rgb="FFC00000"/>
      <sz val="10"/>
    </font>
    <font>
      <name val="Arial"/>
      <charset val="1"/>
      <i val="1"/>
      <color rgb="FF666666"/>
      <sz val="10"/>
    </font>
    <font>
      <name val="Arial"/>
      <charset val="1"/>
      <b val="1"/>
      <color rgb="FFFF4444"/>
      <sz val="9"/>
    </font>
    <font>
      <name val="Arial"/>
      <charset val="1"/>
      <b val="1"/>
      <color rgb="FF00C853"/>
      <sz val="9"/>
    </font>
    <font>
      <name val="Arial"/>
      <charset val="1"/>
      <b val="1"/>
      <color rgb="FF00E5FF"/>
      <sz val="9"/>
    </font>
    <font>
      <name val="Arial"/>
      <charset val="1"/>
      <b val="1"/>
      <color rgb="FFED7D31"/>
      <sz val="11"/>
    </font>
    <font>
      <name val="Arial"/>
      <charset val="1"/>
      <b val="1"/>
      <color rgb="FFC00000"/>
      <sz val="11"/>
    </font>
    <font>
      <name val="Arial"/>
      <charset val="1"/>
      <color rgb="FFE8F0F8"/>
      <sz val="10"/>
    </font>
    <font>
      <name val="Arial"/>
      <charset val="1"/>
      <b val="1"/>
      <color rgb="FF00FFB3"/>
      <sz val="9"/>
    </font>
    <font>
      <name val="Arial"/>
      <charset val="1"/>
      <b val="1"/>
      <color rgb="FFF5C842"/>
      <sz val="13"/>
    </font>
    <font>
      <name val="Arial"/>
      <charset val="1"/>
      <i val="1"/>
      <color rgb="FFE8F0F8"/>
      <sz val="9"/>
    </font>
    <font>
      <name val="Arial"/>
      <charset val="1"/>
      <b val="1"/>
      <color rgb="FF00C853"/>
      <sz val="10"/>
    </font>
    <font>
      <name val="Arial"/>
      <charset val="1"/>
      <b val="1"/>
      <color rgb="FF4FC3F7"/>
      <sz val="10"/>
    </font>
    <font>
      <name val="Arial"/>
      <charset val="1"/>
      <b val="1"/>
      <color rgb="FF008000"/>
      <sz val="11"/>
    </font>
    <font>
      <name val="Arial"/>
      <charset val="1"/>
      <color rgb="FFE8F0F8"/>
      <sz val="9"/>
    </font>
    <font>
      <name val="Arial"/>
      <charset val="1"/>
      <b val="1"/>
      <color rgb="FFF5C842"/>
      <sz val="12"/>
    </font>
    <font>
      <name val="Arial"/>
      <charset val="1"/>
      <b val="1"/>
      <color rgb="FF4FC3F7"/>
      <sz val="12"/>
    </font>
    <font>
      <name val="Arial"/>
      <charset val="1"/>
      <b val="1"/>
      <color rgb="FF00C853"/>
      <sz val="12"/>
    </font>
    <font>
      <name val="Arial"/>
      <charset val="1"/>
      <b val="1"/>
      <color rgb="FF5A7A9A"/>
      <sz val="12"/>
    </font>
    <font>
      <name val="Arial"/>
      <charset val="1"/>
      <color rgb="FF5A7A9A"/>
      <sz val="10"/>
    </font>
    <font>
      <name val="Arial"/>
      <charset val="1"/>
      <color rgb="FFC8D8E8"/>
      <sz val="10"/>
    </font>
    <font>
      <name val="Arial"/>
      <charset val="1"/>
      <color rgb="FF1A2535"/>
      <sz val="9"/>
    </font>
    <font>
      <name val="Arial"/>
      <charset val="1"/>
      <color rgb="FF80E27E"/>
      <sz val="9"/>
    </font>
    <font>
      <name val="Calibri"/>
      <charset val="1"/>
      <b val="1"/>
      <color rgb="FF0000FF"/>
      <sz val="11"/>
    </font>
    <font>
      <name val="Arial"/>
      <charset val="1"/>
      <color rgb="FF00E676"/>
      <sz val="10"/>
    </font>
    <font>
      <name val="Arial"/>
      <charset val="1"/>
      <color rgb="FF8A8A5A"/>
      <sz val="10"/>
    </font>
    <font>
      <name val="Arial"/>
      <charset val="1"/>
      <color rgb="FF2A3A2A"/>
      <sz val="10"/>
    </font>
    <font>
      <name val="Arial"/>
      <charset val="1"/>
      <color rgb="FFF5C842"/>
      <sz val="10"/>
    </font>
    <font>
      <name val="Arial"/>
      <charset val="1"/>
      <color rgb="FF5A8A9A"/>
      <sz val="10"/>
    </font>
    <font>
      <name val="Arial"/>
      <charset val="1"/>
      <color rgb="FF4FC3F7"/>
      <sz val="10"/>
    </font>
    <font>
      <name val="Arial"/>
      <charset val="1"/>
      <color rgb="FFFFD700"/>
      <sz val="10"/>
    </font>
    <font>
      <name val="Arial"/>
      <charset val="1"/>
      <color rgb="FFFF4444"/>
      <sz val="10"/>
    </font>
    <font>
      <name val="Arial"/>
      <charset val="1"/>
      <color rgb="FF80E27E"/>
      <sz val="10"/>
    </font>
    <font>
      <name val="Arial"/>
      <charset val="1"/>
      <b val="1"/>
      <color rgb="FF80E27E"/>
      <sz val="11"/>
    </font>
    <font>
      <name val="Arial"/>
      <charset val="1"/>
      <color rgb="FFFF7043"/>
      <sz val="10"/>
    </font>
    <font>
      <name val="Arial"/>
      <charset val="1"/>
      <color rgb="FFFF4444"/>
      <sz val="9"/>
    </font>
    <font>
      <name val="Calibri"/>
      <charset val="1"/>
      <b val="1"/>
      <color rgb="FF1F3864"/>
      <sz val="10"/>
    </font>
    <font>
      <name val="Arial"/>
      <charset val="1"/>
      <color rgb="FF3A3A2A"/>
      <sz val="10"/>
    </font>
    <font>
      <name val="Calibri"/>
      <charset val="1"/>
      <b val="1"/>
      <color rgb="FF1F3864"/>
      <sz val="9"/>
    </font>
    <font>
      <name val="Arial"/>
      <charset val="1"/>
      <b val="1"/>
      <color rgb="FF00E676"/>
      <sz val="12"/>
    </font>
    <font>
      <name val="Arial"/>
      <charset val="1"/>
      <b val="1"/>
      <color rgb="FFE8A0F8"/>
      <sz val="11"/>
    </font>
    <font>
      <name val="Arial"/>
      <charset val="1"/>
      <b val="1"/>
      <sz val="10"/>
    </font>
    <font>
      <name val="Arial"/>
      <charset val="1"/>
      <color rgb="FF008000"/>
      <sz val="10"/>
    </font>
    <font>
      <name val="Arial"/>
      <charset val="1"/>
      <i val="1"/>
      <color rgb="FF8B0000"/>
      <sz val="10"/>
    </font>
    <font>
      <name val="Arial"/>
      <charset val="1"/>
      <b val="1"/>
      <color rgb="FFFFD700"/>
      <sz val="12"/>
    </font>
    <font>
      <name val="Arial"/>
      <charset val="1"/>
      <b val="1"/>
      <sz val="11"/>
    </font>
    <font>
      <name val="Arial"/>
      <charset val="1"/>
      <b val="1"/>
      <color rgb="FF0000FF"/>
      <sz val="12"/>
    </font>
    <font>
      <name val="Arial"/>
      <charset val="1"/>
      <b val="1"/>
      <color rgb="FF008000"/>
      <sz val="14"/>
    </font>
    <font>
      <name val="Arial"/>
      <charset val="1"/>
      <b val="1"/>
      <sz val="14"/>
    </font>
    <font>
      <name val="Arial"/>
      <charset val="1"/>
      <b val="1"/>
      <color rgb="FF8B0000"/>
      <sz val="14"/>
    </font>
    <font>
      <name val="Arial"/>
      <charset val="1"/>
      <b val="1"/>
      <color rgb="FF8B0000"/>
      <sz val="11"/>
    </font>
    <font>
      <name val="Arial"/>
      <charset val="1"/>
      <b val="1"/>
      <color rgb="FF008000"/>
      <sz val="12"/>
    </font>
    <font>
      <name val="Arial"/>
      <charset val="1"/>
      <b val="1"/>
      <sz val="12"/>
    </font>
    <font>
      <name val="Calibri"/>
      <charset val="1"/>
      <i val="1"/>
      <color rgb="FF8B0000"/>
      <sz val="9"/>
    </font>
    <font>
      <name val="Calibri"/>
      <charset val="1"/>
      <b val="1"/>
      <color rgb="FF006100"/>
      <sz val="11"/>
    </font>
    <font>
      <name val="Calibri"/>
      <charset val="1"/>
      <b val="1"/>
      <color rgb="FF1E3A5F"/>
      <sz val="11"/>
    </font>
    <font>
      <name val="Calibri"/>
      <charset val="1"/>
      <b val="1"/>
      <color rgb="FF8B0000"/>
      <sz val="11"/>
    </font>
    <font>
      <name val="Calibri"/>
      <charset val="1"/>
      <b val="1"/>
      <color rgb="FF8B0000"/>
      <sz val="12"/>
    </font>
    <font>
      <name val="Calibri"/>
      <charset val="1"/>
      <b val="1"/>
      <color rgb="FFF57C00"/>
      <sz val="11"/>
    </font>
    <font>
      <name val="Cambria"/>
      <charset val="1"/>
      <i val="1"/>
      <sz val="11"/>
    </font>
    <font>
      <name val="Cambria"/>
      <charset val="1"/>
      <i val="1"/>
      <color rgb="FF555555"/>
      <sz val="11"/>
    </font>
    <font>
      <name val="Cambria"/>
      <charset val="1"/>
      <b val="1"/>
      <sz val="14"/>
    </font>
    <font>
      <name val="Cambria"/>
      <charset val="1"/>
      <b val="1"/>
      <sz val="12"/>
    </font>
    <font>
      <name val="Calibri"/>
      <charset val="1"/>
      <b val="1"/>
      <color rgb="FFFFD700"/>
      <sz val="11"/>
    </font>
    <font>
      <name val="Calibri"/>
      <charset val="1"/>
      <b val="1"/>
      <color rgb="FF6A1B9A"/>
      <sz val="11"/>
    </font>
  </fonts>
  <fills count="69">
    <fill>
      <patternFill/>
    </fill>
    <fill>
      <patternFill patternType="gray125"/>
    </fill>
    <fill>
      <patternFill patternType="mediumGray">
        <fgColor rgb="FF152039"/>
        <bgColor rgb="FF0F173D"/>
      </patternFill>
    </fill>
    <fill>
      <patternFill patternType="solid">
        <fgColor rgb="FF541E8C"/>
        <bgColor rgb="FF1E3863"/>
      </patternFill>
    </fill>
    <fill>
      <patternFill patternType="solid">
        <fgColor rgb="FFF0F3F5"/>
        <bgColor rgb="FFEDF3FC"/>
      </patternFill>
    </fill>
    <fill>
      <patternFill patternType="solid">
        <fgColor rgb="FFE0EBF6"/>
        <bgColor rgb="FFEBF1F9"/>
      </patternFill>
    </fill>
    <fill>
      <patternFill patternType="solid">
        <fgColor rgb="FFFFEF9A"/>
        <bgColor rgb="FFFFF2CC"/>
      </patternFill>
    </fill>
    <fill>
      <patternFill patternType="solid">
        <fgColor rgb="FFFFF2CC"/>
        <bgColor rgb="FFFFF9CA"/>
      </patternFill>
    </fill>
    <fill>
      <patternFill patternType="solid">
        <fgColor rgb="FF5B6A6E"/>
        <bgColor rgb="FF81806E"/>
      </patternFill>
    </fill>
    <fill>
      <patternFill patternType="darkGray">
        <fgColor rgb="FF163863"/>
        <bgColor rgb="FF1E3863"/>
      </patternFill>
    </fill>
    <fill>
      <patternFill patternType="solid">
        <fgColor rgb="FFC9EECA"/>
        <bgColor rgb="FFCAEFCB"/>
      </patternFill>
    </fill>
    <fill>
      <patternFill patternType="solid">
        <fgColor rgb="FFFF680F"/>
        <bgColor rgb="FF885600"/>
      </patternFill>
    </fill>
    <fill>
      <patternFill patternType="darkGray">
        <fgColor rgb="FF920000"/>
        <bgColor rgb="FF8A0000"/>
      </patternFill>
    </fill>
    <fill>
      <patternFill patternType="solid">
        <fgColor rgb="FFFFFF00"/>
        <bgColor rgb="FFFFD901"/>
      </patternFill>
    </fill>
    <fill>
      <patternFill patternType="darkGray">
        <fgColor rgb="FFFFD901"/>
        <bgColor rgb="FFFBDB56"/>
      </patternFill>
    </fill>
    <fill>
      <patternFill patternType="darkGray">
        <fgColor rgb="FFEDF3FC"/>
        <bgColor rgb="FFEBF1F9"/>
      </patternFill>
    </fill>
    <fill>
      <patternFill patternType="solid">
        <fgColor rgb="FFD7F1DA"/>
        <bgColor rgb="FFE0F1DC"/>
      </patternFill>
    </fill>
    <fill>
      <patternFill patternType="solid">
        <fgColor rgb="FFFFF9D1"/>
        <bgColor rgb="FFFFF9CA"/>
      </patternFill>
    </fill>
    <fill>
      <patternFill patternType="solid">
        <fgColor rgb="FFFFFFFF"/>
        <bgColor rgb="FFF6F9FF"/>
      </patternFill>
    </fill>
    <fill>
      <patternFill patternType="mediumGray">
        <fgColor rgb="FF1576AE"/>
        <bgColor rgb="FF02E0A1"/>
      </patternFill>
    </fill>
    <fill>
      <patternFill patternType="solid">
        <fgColor rgb="FFE0F1DC"/>
        <bgColor rgb="FFE0F2DB"/>
      </patternFill>
    </fill>
    <fill>
      <patternFill patternType="solid">
        <fgColor rgb="FFEDF3FC"/>
        <bgColor rgb="FFEBF1F9"/>
      </patternFill>
    </fill>
    <fill>
      <patternFill patternType="solid">
        <fgColor rgb="FFFEE5DC"/>
        <bgColor rgb="FFFFE7E2"/>
      </patternFill>
    </fill>
    <fill>
      <patternFill patternType="solid">
        <fgColor rgb="FFC00000"/>
        <bgColor rgb="FF920000"/>
      </patternFill>
    </fill>
    <fill>
      <patternFill patternType="solid">
        <fgColor rgb="FF1E4E78"/>
        <bgColor rgb="FF1F4B7B"/>
      </patternFill>
    </fill>
    <fill>
      <patternFill patternType="solid">
        <fgColor rgb="FF885600"/>
        <bgColor rgb="FF5B6A6E"/>
      </patternFill>
    </fill>
    <fill>
      <patternFill patternType="solid">
        <fgColor rgb="FF1F3831"/>
        <bgColor rgb="FF0F2D10"/>
      </patternFill>
    </fill>
    <fill>
      <patternFill patternType="solid">
        <fgColor rgb="FF026404"/>
        <bgColor rgb="FF1F3831"/>
      </patternFill>
    </fill>
    <fill>
      <patternFill patternType="mediumGray">
        <fgColor rgb="FF1576AE"/>
        <bgColor rgb="FF0D74B4"/>
      </patternFill>
    </fill>
    <fill>
      <patternFill patternType="darkGray">
        <fgColor rgb="FFC00000"/>
        <bgColor rgb="FF920000"/>
      </patternFill>
    </fill>
    <fill>
      <patternFill patternType="darkGray">
        <fgColor rgb="FFFBDB56"/>
        <bgColor rgb="FFFFEF9A"/>
      </patternFill>
    </fill>
    <fill>
      <patternFill patternType="darkGray">
        <fgColor rgb="FF8A0000"/>
        <bgColor rgb="FF920000"/>
      </patternFill>
    </fill>
    <fill>
      <patternFill patternType="solid">
        <fgColor rgb="FFFFD901"/>
        <bgColor rgb="FFFBDB56"/>
      </patternFill>
    </fill>
    <fill>
      <patternFill patternType="darkGray">
        <fgColor rgb="FFF6F9FF"/>
        <bgColor rgb="FFF0F3F5"/>
      </patternFill>
    </fill>
    <fill>
      <patternFill patternType="solid">
        <fgColor rgb="FFFFE7E2"/>
        <bgColor rgb="FFFEE5DC"/>
      </patternFill>
    </fill>
    <fill>
      <patternFill patternType="mediumGray">
        <fgColor rgb="FFF6F9FF"/>
        <bgColor rgb="FFF0F3F5"/>
      </patternFill>
    </fill>
    <fill>
      <patternFill patternType="solid">
        <fgColor rgb="FFE0F2DB"/>
        <bgColor rgb="FFE0F1DC"/>
      </patternFill>
    </fill>
    <fill>
      <patternFill patternType="solid">
        <fgColor rgb="FFFEECEC"/>
        <bgColor rgb="FFFFE7E2"/>
      </patternFill>
    </fill>
    <fill>
      <patternFill patternType="solid">
        <fgColor rgb="FF152039"/>
        <bgColor rgb="FF0F1E2E"/>
      </patternFill>
    </fill>
    <fill>
      <patternFill patternType="solid">
        <fgColor rgb="FF181100"/>
        <bgColor rgb="FF0B1506"/>
      </patternFill>
    </fill>
    <fill>
      <patternFill patternType="solid">
        <fgColor rgb="FF0E2E0D"/>
        <bgColor rgb="FF0F2D10"/>
      </patternFill>
    </fill>
    <fill>
      <patternFill patternType="solid">
        <fgColor rgb="FF0D1A28"/>
        <bgColor rgb="FF0F1E2E"/>
      </patternFill>
    </fill>
    <fill>
      <patternFill patternType="solid">
        <fgColor rgb="FF0F1E2E"/>
        <bgColor rgb="FF0D1A28"/>
      </patternFill>
    </fill>
    <fill>
      <patternFill patternType="solid">
        <fgColor rgb="FFF6F9FF"/>
        <bgColor rgb="FFF0F3F5"/>
      </patternFill>
    </fill>
    <fill>
      <patternFill patternType="solid">
        <fgColor rgb="FFCAEFCB"/>
        <bgColor rgb="FFC9EECA"/>
      </patternFill>
    </fill>
    <fill>
      <patternFill patternType="mediumGray">
        <fgColor rgb="FF026404"/>
        <bgColor rgb="FF1F3831"/>
      </patternFill>
    </fill>
    <fill>
      <patternFill patternType="darkGray">
        <fgColor rgb="FF541E8C"/>
        <bgColor rgb="FF1E3863"/>
      </patternFill>
    </fill>
    <fill>
      <patternFill patternType="darkGray">
        <fgColor rgb="FFFFFFFF"/>
        <bgColor rgb="FFF6F9FF"/>
      </patternFill>
    </fill>
    <fill>
      <patternFill patternType="darkGray">
        <fgColor rgb="FF152039"/>
        <bgColor rgb="FF0F1E2E"/>
      </patternFill>
    </fill>
    <fill>
      <patternFill patternType="solid">
        <fgColor rgb="FF0A120F"/>
        <bgColor rgb="FF0B1506"/>
      </patternFill>
    </fill>
    <fill>
      <patternFill patternType="solid">
        <fgColor rgb="FF0B1506"/>
        <bgColor rgb="FF0A120F"/>
      </patternFill>
    </fill>
    <fill>
      <patternFill patternType="solid">
        <fgColor rgb="FF1576AE"/>
        <bgColor rgb="FF0D74B4"/>
      </patternFill>
    </fill>
    <fill>
      <patternFill patternType="solid">
        <fgColor rgb="FFFFF9CA"/>
        <bgColor rgb="FFFFF9D1"/>
      </patternFill>
    </fill>
    <fill>
      <patternFill patternType="darkGray">
        <fgColor rgb="FFFFF2CC"/>
        <bgColor rgb="FFFFF9CA"/>
      </patternFill>
    </fill>
    <fill>
      <patternFill patternType="solid">
        <fgColor rgb="FFEBF1F9"/>
        <bgColor rgb="FFEDF3FC"/>
      </patternFill>
    </fill>
    <fill>
      <patternFill patternType="solid">
        <fgColor rgb="FF1F4B7B"/>
        <bgColor rgb="FF1E4E78"/>
      </patternFill>
    </fill>
    <fill>
      <patternFill patternType="darkGray">
        <fgColor rgb="FFFFE7E2"/>
        <bgColor rgb="FFFEE5DC"/>
      </patternFill>
    </fill>
    <fill>
      <patternFill patternType="solid">
        <fgColor rgb="FFC4BFD6"/>
        <bgColor rgb="FFCBD3E2"/>
      </patternFill>
    </fill>
    <fill>
      <patternFill patternType="solid">
        <fgColor rgb="FFFF0000"/>
        <bgColor rgb="FFC00000"/>
      </patternFill>
    </fill>
    <fill>
      <patternFill patternType="solid">
        <fgColor rgb="FF0F2D10"/>
        <bgColor rgb="FF0E2E0D"/>
      </patternFill>
    </fill>
    <fill>
      <patternFill patternType="solid">
        <fgColor rgb="FF1E3863"/>
        <bgColor rgb="FF163863"/>
      </patternFill>
    </fill>
    <fill>
      <patternFill patternType="solid">
        <fgColor rgb="FFC3E0C6"/>
        <bgColor rgb="FFBFE0AD"/>
      </patternFill>
    </fill>
    <fill>
      <patternFill patternType="solid">
        <fgColor rgb="FFBFE0AD"/>
        <bgColor rgb="FFC3E0C6"/>
      </patternFill>
    </fill>
    <fill>
      <patternFill patternType="darkGray">
        <fgColor rgb="FF026404"/>
        <bgColor rgb="FF1F3831"/>
      </patternFill>
    </fill>
    <fill>
      <patternFill patternType="mediumGray">
        <fgColor rgb="FFC4BFD6"/>
        <bgColor rgb="FFCBD3E2"/>
      </patternFill>
    </fill>
    <fill>
      <patternFill patternType="mediumGray">
        <fgColor rgb="FF885600"/>
        <bgColor rgb="FF81806E"/>
      </patternFill>
    </fill>
    <fill>
      <patternFill patternType="darkGray">
        <fgColor rgb="FFFEECEC"/>
        <bgColor rgb="FFFFE7E2"/>
      </patternFill>
    </fill>
    <fill>
      <patternFill patternType="solid">
        <fgColor rgb="FFD5F5E3"/>
      </patternFill>
    </fill>
    <fill>
      <patternFill patternType="solid">
        <fgColor rgb="FFD6EAF8"/>
      </patternFill>
    </fill>
  </fills>
  <borders count="28">
    <border>
      <left/>
      <right/>
      <top/>
      <bottom/>
      <diagonal/>
    </border>
    <border>
      <left style="thin">
        <color rgb="FFC4BFD6"/>
      </left>
      <right style="thin">
        <color rgb="FFC4BFD6"/>
      </right>
      <top style="thin">
        <color rgb="FFC4BFD6"/>
      </top>
      <bottom style="thin">
        <color rgb="FFC4BFD6"/>
      </bottom>
      <diagonal/>
    </border>
    <border>
      <left style="thin">
        <color rgb="FFC4BFD6"/>
      </left>
      <right/>
      <top/>
      <bottom style="thin">
        <color rgb="FFC4BFD6"/>
      </bottom>
      <diagonal/>
    </border>
    <border>
      <left style="thin">
        <color rgb="FFC4BFD6"/>
      </left>
      <right/>
      <top style="thin">
        <color rgb="FFC4BFD6"/>
      </top>
      <bottom style="thin">
        <color rgb="FFC4BFD6"/>
      </bottom>
      <diagonal/>
    </border>
    <border>
      <left/>
      <right/>
      <top style="thin">
        <color rgb="FFC4BFD6"/>
      </top>
      <bottom style="thin">
        <color rgb="FFC4BFD6"/>
      </bottom>
      <diagonal/>
    </border>
    <border>
      <left/>
      <right style="thin">
        <color rgb="FFC4BFD6"/>
      </right>
      <top style="thin">
        <color rgb="FFC4BFD6"/>
      </top>
      <bottom style="thin">
        <color rgb="FFC4BFD6"/>
      </bottom>
      <diagonal/>
    </border>
    <border>
      <left/>
      <right/>
      <top/>
      <bottom style="thin">
        <color rgb="FF81806E"/>
      </bottom>
      <diagonal/>
    </border>
    <border>
      <left style="thin">
        <color rgb="FF81806E"/>
      </left>
      <right style="thin">
        <color rgb="FF81806E"/>
      </right>
      <top style="thin">
        <color rgb="FF81806E"/>
      </top>
      <bottom style="thin">
        <color rgb="FF81806E"/>
      </bottom>
      <diagonal/>
    </border>
    <border>
      <left style="thin">
        <color rgb="FFC4BFD6"/>
      </left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BD3E2"/>
      </left>
      <right style="thin">
        <color rgb="FFCBD3E2"/>
      </right>
      <top style="thin">
        <color rgb="FFCBD3E2"/>
      </top>
      <bottom style="thin">
        <color rgb="FFCBD3E2"/>
      </bottom>
      <diagonal/>
    </border>
    <border>
      <left style="thin">
        <color rgb="FF83AFDF"/>
      </left>
      <right style="thin">
        <color rgb="FF83AFDF"/>
      </right>
      <top style="thin">
        <color rgb="FF83AFDF"/>
      </top>
      <bottom style="thin">
        <color rgb="FF83AFD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4BFD6"/>
      </top>
      <bottom/>
      <diagonal/>
    </border>
    <border>
      <left/>
      <right style="thin">
        <color rgb="FFC4BFD6"/>
      </right>
      <top style="thin">
        <color rgb="FFC4BFD6"/>
      </top>
      <bottom/>
      <diagonal/>
    </border>
    <border>
      <left/>
      <right/>
      <top/>
      <bottom style="thin">
        <color rgb="FFC4BFD6"/>
      </bottom>
      <diagonal/>
    </border>
    <border>
      <left/>
      <right/>
      <top style="thin">
        <color rgb="FF81806E"/>
      </top>
      <bottom style="thin">
        <color rgb="FF81806E"/>
      </bottom>
      <diagonal/>
    </border>
    <border>
      <left/>
      <right style="thin">
        <color rgb="FF81806E"/>
      </right>
      <top style="thin">
        <color rgb="FF81806E"/>
      </top>
      <bottom style="thin">
        <color rgb="FF81806E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4BFD6"/>
      </left>
      <right style="thin">
        <color rgb="FFC4BFD6"/>
      </right>
      <top/>
      <bottom style="thin">
        <color rgb="FFC4BFD6"/>
      </bottom>
      <diagonal/>
    </border>
    <border>
      <left/>
      <right style="thin">
        <color rgb="FFC4BFD6"/>
      </right>
      <top/>
      <bottom style="thin">
        <color rgb="FFC4BFD6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1806E"/>
      </top>
      <bottom/>
      <diagonal/>
    </border>
    <border>
      <left/>
      <right style="thin">
        <color rgb="FF81806E"/>
      </right>
      <top style="thin">
        <color rgb="FF81806E"/>
      </top>
      <bottom/>
      <diagonal/>
    </border>
    <border>
      <left style="thin">
        <color rgb="FFC4BFD6"/>
      </left>
      <right style="thin">
        <color rgb="FFC4BFD6"/>
      </right>
      <top/>
      <bottom/>
      <diagonal/>
    </border>
    <border>
      <left/>
      <right style="thin">
        <color rgb="FFC4BFD6"/>
      </right>
      <top/>
      <bottom/>
      <diagonal/>
    </border>
  </borders>
  <cellStyleXfs count="1">
    <xf numFmtId="0" fontId="0" fillId="0" borderId="0"/>
  </cellStyleXfs>
  <cellXfs count="1245">
    <xf numFmtId="0" fontId="0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12" borderId="0" applyAlignment="1" pivotButton="0" quotePrefix="0" xfId="0">
      <alignment vertical="center"/>
    </xf>
    <xf numFmtId="0" fontId="12" fillId="13" borderId="3" applyAlignment="1" pivotButton="0" quotePrefix="0" xfId="0">
      <alignment vertical="center"/>
    </xf>
    <xf numFmtId="0" fontId="13" fillId="0" borderId="4" applyAlignment="1" pivotButton="0" quotePrefix="0" xfId="0">
      <alignment vertical="center"/>
    </xf>
    <xf numFmtId="0" fontId="13" fillId="0" borderId="5" applyAlignment="1" pivotButton="0" quotePrefix="0" xfId="0">
      <alignment vertical="center"/>
    </xf>
    <xf numFmtId="0" fontId="14" fillId="0" borderId="3" applyAlignment="1" pivotButton="0" quotePrefix="0" xfId="0">
      <alignment vertical="center"/>
    </xf>
    <xf numFmtId="0" fontId="14" fillId="0" borderId="4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vertical="center" wrapText="1"/>
    </xf>
    <xf numFmtId="0" fontId="20" fillId="0" borderId="0" pivotButton="0" quotePrefix="0" xfId="0"/>
    <xf numFmtId="0" fontId="22" fillId="15" borderId="7" applyAlignment="1" pivotButton="0" quotePrefix="0" xfId="0">
      <alignment horizontal="left" vertical="center"/>
    </xf>
    <xf numFmtId="0" fontId="22" fillId="15" borderId="7" pivotButton="0" quotePrefix="0" xfId="0"/>
    <xf numFmtId="0" fontId="23" fillId="16" borderId="7" applyAlignment="1" pivotButton="0" quotePrefix="0" xfId="0">
      <alignment horizontal="center" vertical="center" wrapText="1"/>
    </xf>
    <xf numFmtId="0" fontId="23" fillId="16" borderId="7" applyAlignment="1" pivotButton="0" quotePrefix="0" xfId="0">
      <alignment vertical="center" wrapText="1"/>
    </xf>
    <xf numFmtId="0" fontId="22" fillId="15" borderId="7" applyAlignment="1" pivotButton="0" quotePrefix="0" xfId="0">
      <alignment horizontal="center" vertical="center"/>
    </xf>
    <xf numFmtId="0" fontId="21" fillId="14" borderId="0" applyAlignment="1" pivotButton="0" quotePrefix="0" xfId="0">
      <alignment vertical="center" wrapText="1"/>
    </xf>
    <xf numFmtId="0" fontId="19" fillId="9" borderId="7" applyAlignment="1" pivotButton="0" quotePrefix="0" xfId="0">
      <alignment horizontal="center" vertical="center" wrapText="1"/>
    </xf>
    <xf numFmtId="0" fontId="19" fillId="9" borderId="7" applyAlignment="1" pivotButton="0" quotePrefix="0" xfId="0">
      <alignment vertical="center" wrapText="1"/>
    </xf>
    <xf numFmtId="0" fontId="24" fillId="17" borderId="7" applyAlignment="1" pivotButton="0" quotePrefix="0" xfId="0">
      <alignment horizontal="center" vertical="center" wrapText="1"/>
    </xf>
    <xf numFmtId="0" fontId="25" fillId="18" borderId="7" applyAlignment="1" pivotButton="0" quotePrefix="0" xfId="0">
      <alignment vertical="center" wrapText="1"/>
    </xf>
    <xf numFmtId="0" fontId="26" fillId="0" borderId="7" applyAlignment="1" pivotButton="0" quotePrefix="0" xfId="0">
      <alignment vertical="center" wrapText="1"/>
    </xf>
    <xf numFmtId="0" fontId="25" fillId="18" borderId="7" applyAlignment="1" pivotButton="0" quotePrefix="0" xfId="0">
      <alignment horizontal="left" vertical="center" wrapText="1"/>
    </xf>
    <xf numFmtId="0" fontId="27" fillId="12" borderId="7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left" vertical="center" wrapText="1"/>
    </xf>
    <xf numFmtId="0" fontId="28" fillId="12" borderId="0" applyAlignment="1" pivotButton="0" quotePrefix="0" xfId="0">
      <alignment vertical="center" wrapText="1"/>
    </xf>
    <xf numFmtId="0" fontId="27" fillId="0" borderId="7" applyAlignment="1" pivotButton="0" quotePrefix="0" xfId="0">
      <alignment horizontal="center" vertical="center" wrapText="1"/>
    </xf>
    <xf numFmtId="0" fontId="29" fillId="7" borderId="7" applyAlignment="1" pivotButton="0" quotePrefix="0" xfId="0">
      <alignment horizontal="center" vertical="center" wrapText="1"/>
    </xf>
    <xf numFmtId="0" fontId="29" fillId="7" borderId="7" applyAlignment="1" pivotButton="0" quotePrefix="0" xfId="0">
      <alignment horizontal="left" vertical="center" wrapText="1"/>
    </xf>
    <xf numFmtId="0" fontId="30" fillId="19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vertical="center" wrapText="1"/>
    </xf>
    <xf numFmtId="0" fontId="31" fillId="0" borderId="1" applyAlignment="1" pivotButton="0" quotePrefix="0" xfId="0">
      <alignment horizontal="left" vertical="center"/>
    </xf>
    <xf numFmtId="0" fontId="33" fillId="7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vertical="center" wrapText="1"/>
    </xf>
    <xf numFmtId="3" fontId="34" fillId="20" borderId="1" applyAlignment="1" pivotButton="0" quotePrefix="0" xfId="0">
      <alignment horizontal="center" vertical="center" wrapText="1"/>
    </xf>
    <xf numFmtId="164" fontId="35" fillId="21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vertical="center" wrapText="1"/>
    </xf>
    <xf numFmtId="0" fontId="37" fillId="3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2" fontId="35" fillId="21" borderId="1" applyAlignment="1" pivotButton="0" quotePrefix="0" xfId="0">
      <alignment horizontal="center" vertical="center" wrapText="1"/>
    </xf>
    <xf numFmtId="0" fontId="38" fillId="20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left" vertical="center" wrapText="1"/>
    </xf>
    <xf numFmtId="165" fontId="35" fillId="21" borderId="1" applyAlignment="1" pivotButton="0" quotePrefix="0" xfId="0">
      <alignment horizontal="center" vertical="center" wrapText="1"/>
    </xf>
    <xf numFmtId="3" fontId="35" fillId="21" borderId="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 wrapText="1"/>
    </xf>
    <xf numFmtId="2" fontId="40" fillId="21" borderId="1" applyAlignment="1" pivotButton="0" quotePrefix="0" xfId="0">
      <alignment horizontal="center" vertical="center" wrapText="1"/>
    </xf>
    <xf numFmtId="0" fontId="37" fillId="11" borderId="1" applyAlignment="1" pivotButton="0" quotePrefix="0" xfId="0">
      <alignment horizontal="center" vertical="center" wrapText="1"/>
    </xf>
    <xf numFmtId="0" fontId="40" fillId="21" borderId="1" applyAlignment="1" pivotButton="0" quotePrefix="0" xfId="0">
      <alignment horizontal="center" vertical="center" wrapText="1"/>
    </xf>
    <xf numFmtId="1" fontId="35" fillId="21" borderId="1" applyAlignment="1" pivotButton="0" quotePrefix="0" xfId="0">
      <alignment horizontal="center" vertical="center" wrapText="1"/>
    </xf>
    <xf numFmtId="2" fontId="41" fillId="21" borderId="1" applyAlignment="1" pivotButton="0" quotePrefix="0" xfId="0">
      <alignment horizontal="center" vertical="center" wrapText="1"/>
    </xf>
    <xf numFmtId="0" fontId="39" fillId="7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center" vertical="center" wrapText="1"/>
    </xf>
    <xf numFmtId="0" fontId="42" fillId="7" borderId="1" applyAlignment="1" pivotButton="0" quotePrefix="0" xfId="0">
      <alignment horizontal="center" vertical="center" wrapText="1"/>
    </xf>
    <xf numFmtId="0" fontId="37" fillId="19" borderId="1" applyAlignment="1" pivotButton="0" quotePrefix="0" xfId="0">
      <alignment horizontal="center" vertical="center" wrapText="1"/>
    </xf>
    <xf numFmtId="1" fontId="40" fillId="21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164" fontId="40" fillId="21" borderId="1" applyAlignment="1" pivotButton="0" quotePrefix="0" xfId="0">
      <alignment horizontal="center" vertical="center" wrapText="1"/>
    </xf>
    <xf numFmtId="3" fontId="40" fillId="21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vertical="center" wrapText="1"/>
    </xf>
    <xf numFmtId="165" fontId="43" fillId="21" borderId="1" applyAlignment="1" pivotButton="0" quotePrefix="0" xfId="0">
      <alignment horizontal="center" vertical="center" wrapText="1"/>
    </xf>
    <xf numFmtId="9" fontId="35" fillId="21" borderId="1" applyAlignment="1" pivotButton="0" quotePrefix="0" xfId="0">
      <alignment horizontal="center" vertical="center" wrapText="1"/>
    </xf>
    <xf numFmtId="0" fontId="35" fillId="21" borderId="1" applyAlignment="1" pivotButton="0" quotePrefix="0" xfId="0">
      <alignment vertical="center" wrapText="1"/>
    </xf>
    <xf numFmtId="0" fontId="16" fillId="23" borderId="1" applyAlignment="1" pivotButton="0" quotePrefix="0" xfId="0">
      <alignment horizontal="left" vertical="center" wrapText="1"/>
    </xf>
    <xf numFmtId="165" fontId="19" fillId="24" borderId="1" applyAlignment="1" pivotButton="0" quotePrefix="0" xfId="0">
      <alignment horizontal="center" vertical="center" wrapText="1"/>
    </xf>
    <xf numFmtId="9" fontId="37" fillId="24" borderId="1" applyAlignment="1" pivotButton="0" quotePrefix="0" xfId="0">
      <alignment horizontal="center" vertical="center" wrapText="1"/>
    </xf>
    <xf numFmtId="0" fontId="37" fillId="24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 wrapText="1"/>
    </xf>
    <xf numFmtId="0" fontId="44" fillId="5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0" fontId="40" fillId="10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vertical="center" wrapText="1"/>
    </xf>
    <xf numFmtId="3" fontId="37" fillId="24" borderId="1" applyAlignment="1" pivotButton="0" quotePrefix="0" xfId="0">
      <alignment horizontal="center" vertical="center" wrapText="1"/>
    </xf>
    <xf numFmtId="164" fontId="37" fillId="24" borderId="1" applyAlignment="1" pivotButton="0" quotePrefix="0" xfId="0">
      <alignment horizontal="center" vertical="center" wrapText="1"/>
    </xf>
    <xf numFmtId="0" fontId="37" fillId="23" borderId="1" applyAlignment="1" pivotButton="0" quotePrefix="0" xfId="0">
      <alignment horizontal="center" vertical="center" wrapText="1"/>
    </xf>
    <xf numFmtId="0" fontId="44" fillId="2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9" fillId="23" borderId="1" applyAlignment="1" pivotButton="0" quotePrefix="0" xfId="0">
      <alignment horizontal="left" vertical="center" wrapText="1"/>
    </xf>
    <xf numFmtId="0" fontId="19" fillId="23" borderId="1" applyAlignment="1" pivotButton="0" quotePrefix="0" xfId="0">
      <alignment vertical="center" wrapText="1"/>
    </xf>
    <xf numFmtId="0" fontId="46" fillId="7" borderId="1" applyAlignment="1" pivotButton="0" quotePrefix="0" xfId="0">
      <alignment horizontal="center" vertical="center" wrapText="1"/>
    </xf>
    <xf numFmtId="0" fontId="44" fillId="7" borderId="1" applyAlignment="1" pivotButton="0" quotePrefix="0" xfId="0">
      <alignment vertical="center" wrapText="1"/>
    </xf>
    <xf numFmtId="2" fontId="41" fillId="23" borderId="1" applyAlignment="1" pivotButton="0" quotePrefix="0" xfId="0">
      <alignment horizontal="center" vertical="center" wrapText="1"/>
    </xf>
    <xf numFmtId="0" fontId="43" fillId="21" borderId="1" applyAlignment="1" pivotButton="0" quotePrefix="0" xfId="0">
      <alignment horizontal="center" vertical="center" wrapText="1"/>
    </xf>
    <xf numFmtId="0" fontId="31" fillId="22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vertical="center" wrapText="1"/>
    </xf>
    <xf numFmtId="0" fontId="47" fillId="7" borderId="1" applyAlignment="1" pivotButton="0" quotePrefix="0" xfId="0">
      <alignment vertical="center" wrapText="1"/>
    </xf>
    <xf numFmtId="0" fontId="19" fillId="19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vertical="center" wrapText="1"/>
    </xf>
    <xf numFmtId="0" fontId="48" fillId="7" borderId="1" applyAlignment="1" pivotButton="0" quotePrefix="0" xfId="0">
      <alignment horizontal="center" vertical="center" wrapText="1"/>
    </xf>
    <xf numFmtId="0" fontId="49" fillId="6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vertical="center" wrapText="1"/>
    </xf>
    <xf numFmtId="0" fontId="50" fillId="10" borderId="1" applyAlignment="1" pivotButton="0" quotePrefix="0" xfId="0">
      <alignment horizontal="center" vertical="center" wrapText="1"/>
    </xf>
    <xf numFmtId="0" fontId="46" fillId="2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3" fontId="43" fillId="21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vertical="center" wrapText="1"/>
    </xf>
    <xf numFmtId="0" fontId="19" fillId="11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vertical="center" wrapText="1"/>
    </xf>
    <xf numFmtId="3" fontId="38" fillId="20" borderId="1" applyAlignment="1" pivotButton="0" quotePrefix="0" xfId="0">
      <alignment horizontal="center" vertical="center" wrapText="1"/>
    </xf>
    <xf numFmtId="1" fontId="38" fillId="20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vertical="center" wrapText="1"/>
    </xf>
    <xf numFmtId="0" fontId="51" fillId="9" borderId="1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center" vertical="center" wrapText="1"/>
    </xf>
    <xf numFmtId="0" fontId="37" fillId="2" borderId="1" applyAlignment="1" pivotButton="0" quotePrefix="0" xfId="0">
      <alignment vertical="center" wrapText="1"/>
    </xf>
    <xf numFmtId="9" fontId="40" fillId="21" borderId="1" applyAlignment="1" pivotButton="0" quotePrefix="0" xfId="0">
      <alignment horizontal="center" vertical="center" wrapText="1"/>
    </xf>
    <xf numFmtId="1" fontId="37" fillId="24" borderId="1" applyAlignment="1" pivotButton="0" quotePrefix="0" xfId="0">
      <alignment horizontal="center" vertical="center" wrapText="1"/>
    </xf>
    <xf numFmtId="0" fontId="37" fillId="4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/>
    </xf>
    <xf numFmtId="0" fontId="44" fillId="10" borderId="1" applyAlignment="1" pivotButton="0" quotePrefix="0" xfId="0">
      <alignment horizontal="center" vertical="center" wrapText="1"/>
    </xf>
    <xf numFmtId="0" fontId="19" fillId="25" borderId="1" applyAlignment="1" pivotButton="0" quotePrefix="0" xfId="0">
      <alignment horizontal="center" vertical="center" wrapText="1"/>
    </xf>
    <xf numFmtId="0" fontId="52" fillId="1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center" vertical="center" wrapText="1"/>
    </xf>
    <xf numFmtId="0" fontId="44" fillId="7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left" vertical="center" wrapText="1"/>
    </xf>
    <xf numFmtId="0" fontId="40" fillId="7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center" wrapText="1"/>
    </xf>
    <xf numFmtId="0" fontId="37" fillId="24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 wrapText="1"/>
    </xf>
    <xf numFmtId="0" fontId="42" fillId="10" borderId="1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 wrapText="1"/>
    </xf>
    <xf numFmtId="0" fontId="45" fillId="27" borderId="1" applyAlignment="1" pivotButton="0" quotePrefix="0" xfId="0">
      <alignment horizontal="center" vertical="center" wrapText="1"/>
    </xf>
    <xf numFmtId="0" fontId="51" fillId="27" borderId="1" applyAlignment="1" pivotButton="0" quotePrefix="0" xfId="0">
      <alignment horizontal="center" vertical="center" wrapText="1"/>
    </xf>
    <xf numFmtId="0" fontId="57" fillId="7" borderId="1" applyAlignment="1" pivotButton="0" quotePrefix="0" xfId="0">
      <alignment horizontal="center" vertical="center" wrapText="1"/>
    </xf>
    <xf numFmtId="0" fontId="58" fillId="10" borderId="1" applyAlignment="1" pivotButton="0" quotePrefix="0" xfId="0">
      <alignment horizontal="center" vertical="center" wrapText="1"/>
    </xf>
    <xf numFmtId="0" fontId="45" fillId="8" borderId="1" applyAlignment="1" pivotButton="0" quotePrefix="0" xfId="0">
      <alignment horizontal="center" vertical="center" wrapText="1"/>
    </xf>
    <xf numFmtId="0" fontId="51" fillId="8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center" vertical="center" wrapText="1"/>
    </xf>
    <xf numFmtId="0" fontId="51" fillId="28" borderId="1" applyAlignment="1" pivotButton="0" quotePrefix="0" xfId="0">
      <alignment horizontal="center" vertical="center" wrapText="1"/>
    </xf>
    <xf numFmtId="0" fontId="45" fillId="11" borderId="1" applyAlignment="1" pivotButton="0" quotePrefix="0" xfId="0">
      <alignment horizontal="center" vertical="center" wrapText="1"/>
    </xf>
    <xf numFmtId="0" fontId="51" fillId="11" borderId="1" applyAlignment="1" pivotButton="0" quotePrefix="0" xfId="0">
      <alignment horizontal="center" vertical="center" wrapText="1"/>
    </xf>
    <xf numFmtId="0" fontId="45" fillId="29" borderId="1" applyAlignment="1" pivotButton="0" quotePrefix="0" xfId="0">
      <alignment horizontal="center" vertical="center" wrapText="1"/>
    </xf>
    <xf numFmtId="0" fontId="51" fillId="29" borderId="1" applyAlignment="1" pivotButton="0" quotePrefix="0" xfId="0">
      <alignment horizontal="center" vertical="center" wrapText="1"/>
    </xf>
    <xf numFmtId="0" fontId="55" fillId="2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 wrapText="1"/>
    </xf>
    <xf numFmtId="1" fontId="34" fillId="20" borderId="1" applyAlignment="1" pivotButton="0" quotePrefix="0" xfId="0">
      <alignment horizontal="center" vertical="center" wrapText="1"/>
    </xf>
    <xf numFmtId="0" fontId="57" fillId="10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3" fontId="33" fillId="7" borderId="1" applyAlignment="1" pivotButton="0" quotePrefix="0" xfId="0">
      <alignment horizontal="center" vertical="center" wrapText="1"/>
    </xf>
    <xf numFmtId="3" fontId="33" fillId="7" borderId="1" applyAlignment="1" pivotButton="0" quotePrefix="0" xfId="0">
      <alignment vertical="center" wrapText="1"/>
    </xf>
    <xf numFmtId="0" fontId="42" fillId="5" borderId="1" applyAlignment="1" pivotButton="0" quotePrefix="0" xfId="0">
      <alignment vertical="center" wrapTex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wrapText="1"/>
    </xf>
    <xf numFmtId="0" fontId="61" fillId="5" borderId="7" applyAlignment="1" pivotButton="0" quotePrefix="0" xfId="0">
      <alignment horizontal="center" vertical="center" wrapText="1"/>
    </xf>
    <xf numFmtId="0" fontId="61" fillId="5" borderId="7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center" vertical="center"/>
    </xf>
    <xf numFmtId="0" fontId="61" fillId="5" borderId="0" applyAlignment="1" pivotButton="0" quotePrefix="0" xfId="0">
      <alignment horizontal="left" vertical="center"/>
    </xf>
    <xf numFmtId="0" fontId="61" fillId="0" borderId="0" pivotButton="0" quotePrefix="0" xfId="0"/>
    <xf numFmtId="0" fontId="62" fillId="0" borderId="7" applyAlignment="1" pivotButton="0" quotePrefix="0" xfId="0">
      <alignment horizontal="left" vertical="center" wrapText="1"/>
    </xf>
    <xf numFmtId="0" fontId="63" fillId="5" borderId="0" applyAlignment="1" pivotButton="0" quotePrefix="0" xfId="0">
      <alignment horizontal="left"/>
    </xf>
    <xf numFmtId="0" fontId="61" fillId="5" borderId="0" applyAlignment="1" pivotButton="0" quotePrefix="0" xfId="0">
      <alignment horizontal="left"/>
    </xf>
    <xf numFmtId="164" fontId="27" fillId="0" borderId="7" applyAlignment="1" pivotButton="0" quotePrefix="0" xfId="0">
      <alignment horizontal="center" vertical="center" wrapText="1"/>
    </xf>
    <xf numFmtId="10" fontId="27" fillId="0" borderId="7" applyAlignment="1" pivotButton="0" quotePrefix="0" xfId="0">
      <alignment horizontal="center" vertical="center" wrapText="1"/>
    </xf>
    <xf numFmtId="2" fontId="27" fillId="0" borderId="7" applyAlignment="1" pivotButton="0" quotePrefix="0" xfId="0">
      <alignment horizontal="center" vertical="center" wrapText="1"/>
    </xf>
    <xf numFmtId="10" fontId="0" fillId="0" borderId="0" pivotButton="0" quotePrefix="0" xfId="0"/>
    <xf numFmtId="2" fontId="0" fillId="0" borderId="0" pivotButton="0" quotePrefix="0" xfId="0"/>
    <xf numFmtId="166" fontId="27" fillId="0" borderId="7" applyAlignment="1" pivotButton="0" quotePrefix="0" xfId="0">
      <alignment horizontal="center" vertical="center" wrapText="1"/>
    </xf>
    <xf numFmtId="3" fontId="27" fillId="0" borderId="7" applyAlignment="1" pivotButton="0" quotePrefix="0" xfId="0">
      <alignment horizontal="center" vertical="center" wrapText="1"/>
    </xf>
    <xf numFmtId="3" fontId="61" fillId="0" borderId="0" pivotButton="0" quotePrefix="0" xfId="0"/>
    <xf numFmtId="9" fontId="0" fillId="0" borderId="0" pivotButton="0" quotePrefix="0" xfId="0"/>
    <xf numFmtId="2" fontId="61" fillId="0" borderId="0" pivotButton="0" quotePrefix="0" xfId="0"/>
    <xf numFmtId="164" fontId="0" fillId="0" borderId="0" pivotButton="0" quotePrefix="0" xfId="0"/>
    <xf numFmtId="9" fontId="27" fillId="0" borderId="7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0" fontId="64" fillId="0" borderId="7" applyAlignment="1" pivotButton="0" quotePrefix="0" xfId="0">
      <alignment horizontal="center" vertical="center" wrapText="1"/>
    </xf>
    <xf numFmtId="0" fontId="64" fillId="30" borderId="7" applyAlignment="1" pivotButton="0" quotePrefix="0" xfId="0">
      <alignment horizontal="left" vertical="center" wrapText="1"/>
    </xf>
    <xf numFmtId="0" fontId="64" fillId="30" borderId="7" applyAlignment="1" pivotButton="0" quotePrefix="0" xfId="0">
      <alignment horizontal="center" vertical="center" wrapText="1"/>
    </xf>
    <xf numFmtId="0" fontId="0" fillId="30" borderId="7" applyAlignment="1" pivotButton="0" quotePrefix="0" xfId="0">
      <alignment horizontal="center" vertical="center" wrapText="1"/>
    </xf>
    <xf numFmtId="9" fontId="64" fillId="3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6" fillId="0" borderId="0" pivotButton="0" quotePrefix="0" xfId="0"/>
    <xf numFmtId="0" fontId="69" fillId="0" borderId="9" applyAlignment="1" pivotButton="0" quotePrefix="0" xfId="0">
      <alignment horizontal="left" vertical="center" wrapText="1"/>
    </xf>
    <xf numFmtId="0" fontId="75" fillId="24" borderId="10" applyAlignment="1" pivotButton="0" quotePrefix="0" xfId="0">
      <alignment horizontal="center" vertical="center"/>
    </xf>
    <xf numFmtId="0" fontId="76" fillId="33" borderId="10" applyAlignment="1" pivotButton="0" quotePrefix="0" xfId="0">
      <alignment horizontal="center" vertical="center"/>
    </xf>
    <xf numFmtId="0" fontId="0" fillId="33" borderId="10" applyAlignment="1" pivotButton="0" quotePrefix="0" xfId="0">
      <alignment horizontal="left" vertical="center"/>
    </xf>
    <xf numFmtId="3" fontId="0" fillId="33" borderId="10" applyAlignment="1" pivotButton="0" quotePrefix="0" xfId="0">
      <alignment horizontal="center" vertical="center"/>
    </xf>
    <xf numFmtId="2" fontId="0" fillId="33" borderId="10" applyAlignment="1" pivotButton="0" quotePrefix="0" xfId="0">
      <alignment horizontal="center" vertical="center"/>
    </xf>
    <xf numFmtId="165" fontId="0" fillId="33" borderId="10" applyAlignment="1" pivotButton="0" quotePrefix="0" xfId="0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3" fontId="0" fillId="0" borderId="10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0" fontId="76" fillId="34" borderId="10" applyAlignment="1" pivotButton="0" quotePrefix="0" xfId="0">
      <alignment horizontal="center" vertical="center"/>
    </xf>
    <xf numFmtId="0" fontId="0" fillId="34" borderId="10" applyAlignment="1" pivotButton="0" quotePrefix="0" xfId="0">
      <alignment horizontal="left" vertical="center"/>
    </xf>
    <xf numFmtId="3" fontId="0" fillId="34" borderId="10" applyAlignment="1" pivotButton="0" quotePrefix="0" xfId="0">
      <alignment horizontal="center" vertical="center"/>
    </xf>
    <xf numFmtId="2" fontId="0" fillId="34" borderId="10" applyAlignment="1" pivotButton="0" quotePrefix="0" xfId="0">
      <alignment horizontal="center" vertical="center"/>
    </xf>
    <xf numFmtId="165" fontId="0" fillId="34" borderId="10" applyAlignment="1" pivotButton="0" quotePrefix="0" xfId="0">
      <alignment horizontal="center" vertical="center"/>
    </xf>
    <xf numFmtId="0" fontId="79" fillId="0" borderId="0" pivotButton="0" quotePrefix="0" xfId="0"/>
    <xf numFmtId="0" fontId="84" fillId="24" borderId="0" applyAlignment="1" pivotButton="0" quotePrefix="0" xfId="0">
      <alignment horizontal="center" vertical="center"/>
    </xf>
    <xf numFmtId="0" fontId="79" fillId="35" borderId="0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5" borderId="0" applyAlignment="1" pivotButton="0" quotePrefix="0" xfId="0">
      <alignment horizontal="left" vertical="center"/>
    </xf>
    <xf numFmtId="0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87" fillId="9" borderId="1" applyAlignment="1" pivotButton="0" quotePrefix="0" xfId="0">
      <alignment horizontal="center" vertical="center" wrapTex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0">
      <alignment horizontal="left" vertical="center" wrapText="1"/>
    </xf>
    <xf numFmtId="0" fontId="88" fillId="17" borderId="1" applyAlignment="1" pivotButton="0" quotePrefix="0" xfId="0">
      <alignment horizontal="left" vertical="center" wrapText="1"/>
    </xf>
    <xf numFmtId="0" fontId="87" fillId="0" borderId="1" applyAlignment="1" pivotButton="0" quotePrefix="0" xfId="0">
      <alignment horizontal="center" vertical="center" wrapText="1"/>
    </xf>
    <xf numFmtId="0" fontId="88" fillId="36" borderId="1" applyAlignment="1" pivotButton="0" quotePrefix="0" xfId="0">
      <alignment horizontal="center" vertical="center" wrapText="1"/>
    </xf>
    <xf numFmtId="0" fontId="87" fillId="3" borderId="1" applyAlignment="1" pivotButton="0" quotePrefix="0" xfId="0">
      <alignment horizontal="center" vertical="center" wrapText="1"/>
    </xf>
    <xf numFmtId="0" fontId="88" fillId="36" borderId="1" applyAlignment="1" pivotButton="0" quotePrefix="0" xfId="0">
      <alignment horizontal="left" vertical="center" wrapText="1"/>
    </xf>
    <xf numFmtId="0" fontId="87" fillId="29" borderId="1" applyAlignment="1" pivotButton="0" quotePrefix="0" xfId="0">
      <alignment horizontal="center" vertical="center" wrapText="1"/>
    </xf>
    <xf numFmtId="0" fontId="88" fillId="22" borderId="1" applyAlignment="1" pivotButton="0" quotePrefix="0" xfId="0">
      <alignment horizontal="left" vertical="center" wrapText="1"/>
    </xf>
    <xf numFmtId="0" fontId="88" fillId="17" borderId="1" applyAlignment="1" pivotButton="0" quotePrefix="0" xfId="0">
      <alignment horizontal="center" vertical="center" wrapText="1"/>
    </xf>
    <xf numFmtId="0" fontId="89" fillId="37" borderId="1" applyAlignment="1" pivotButton="0" quotePrefix="0" xfId="0">
      <alignment horizontal="left" vertical="center"/>
    </xf>
    <xf numFmtId="0" fontId="90" fillId="28" borderId="1" applyAlignment="1" pivotButton="0" quotePrefix="0" xfId="0">
      <alignment horizontal="left" vertical="center"/>
    </xf>
    <xf numFmtId="0" fontId="91" fillId="37" borderId="1" applyAlignment="1" pivotButton="0" quotePrefix="0" xfId="0">
      <alignment horizontal="left" vertical="center" wrapText="1"/>
    </xf>
    <xf numFmtId="0" fontId="78" fillId="21" borderId="1" applyAlignment="1" pivotButton="0" quotePrefix="0" xfId="0">
      <alignment vertical="top" wrapText="1"/>
    </xf>
    <xf numFmtId="0" fontId="92" fillId="21" borderId="1" applyAlignment="1" pivotButton="0" quotePrefix="0" xfId="0">
      <alignment horizontal="left" vertical="center" wrapText="1"/>
    </xf>
    <xf numFmtId="0" fontId="78" fillId="18" borderId="1" applyAlignment="1" pivotButton="0" quotePrefix="0" xfId="0">
      <alignment vertical="top" wrapText="1"/>
    </xf>
    <xf numFmtId="0" fontId="92" fillId="18" borderId="1" applyAlignment="1" pivotButton="0" quotePrefix="0" xfId="0">
      <alignment horizontal="left" vertical="center" wrapText="1"/>
    </xf>
    <xf numFmtId="0" fontId="95" fillId="0" borderId="1" applyAlignment="1" pivotButton="0" quotePrefix="0" xfId="0">
      <alignment horizontal="center" vertical="center"/>
    </xf>
    <xf numFmtId="0" fontId="97" fillId="0" borderId="1" applyAlignment="1" pivotButton="0" quotePrefix="0" xfId="0">
      <alignment horizontal="center" vertical="center"/>
    </xf>
    <xf numFmtId="0" fontId="99" fillId="39" borderId="1" applyAlignment="1" pivotButton="0" quotePrefix="0" xfId="0">
      <alignment horizontal="center" vertical="center"/>
    </xf>
    <xf numFmtId="0" fontId="100" fillId="40" borderId="1" applyAlignment="1" pivotButton="0" quotePrefix="0" xfId="0">
      <alignment horizontal="center" vertical="center"/>
    </xf>
    <xf numFmtId="0" fontId="101" fillId="40" borderId="1" applyAlignment="1" pivotButton="0" quotePrefix="0" xfId="0">
      <alignment horizontal="left" vertical="center"/>
    </xf>
    <xf numFmtId="0" fontId="102" fillId="40" borderId="1" applyAlignment="1" pivotButton="0" quotePrefix="0" xfId="0">
      <alignment horizontal="left" vertical="center"/>
    </xf>
    <xf numFmtId="0" fontId="103" fillId="40" borderId="1" applyAlignment="1" pivotButton="0" quotePrefix="0" xfId="0">
      <alignment horizontal="center" vertical="center"/>
    </xf>
    <xf numFmtId="0" fontId="104" fillId="40" borderId="1" applyAlignment="1" pivotButton="0" quotePrefix="0" xfId="0">
      <alignment horizontal="center" vertical="center"/>
    </xf>
    <xf numFmtId="0" fontId="98" fillId="40" borderId="1" applyAlignment="1" pivotButton="0" quotePrefix="0" xfId="0">
      <alignment horizontal="center" vertical="center"/>
    </xf>
    <xf numFmtId="0" fontId="105" fillId="4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/>
    </xf>
    <xf numFmtId="0" fontId="98" fillId="40" borderId="1" applyAlignment="1" pivotButton="0" quotePrefix="0" xfId="0">
      <alignment horizontal="left" vertical="center"/>
    </xf>
    <xf numFmtId="0" fontId="2" fillId="40" borderId="1" applyAlignment="1" pivotButton="0" quotePrefix="0" xfId="0">
      <alignment horizontal="left" vertical="center"/>
    </xf>
    <xf numFmtId="0" fontId="106" fillId="40" borderId="1" applyAlignment="1" pivotButton="0" quotePrefix="0" xfId="0">
      <alignment horizontal="center" vertical="center"/>
    </xf>
    <xf numFmtId="0" fontId="107" fillId="40" borderId="1" applyAlignment="1" pivotButton="0" quotePrefix="0" xfId="0">
      <alignment horizontal="center" vertical="center"/>
    </xf>
    <xf numFmtId="0" fontId="100" fillId="41" borderId="1" applyAlignment="1" pivotButton="0" quotePrefix="0" xfId="0">
      <alignment horizontal="center" vertical="center"/>
    </xf>
    <xf numFmtId="0" fontId="101" fillId="41" borderId="1" applyAlignment="1" pivotButton="0" quotePrefix="0" xfId="0">
      <alignment horizontal="left" vertical="center"/>
    </xf>
    <xf numFmtId="0" fontId="102" fillId="41" borderId="1" applyAlignment="1" pivotButton="0" quotePrefix="0" xfId="0">
      <alignment horizontal="left" vertical="center"/>
    </xf>
    <xf numFmtId="0" fontId="104" fillId="41" borderId="1" applyAlignment="1" pivotButton="0" quotePrefix="0" xfId="0">
      <alignment horizontal="center" vertical="center"/>
    </xf>
    <xf numFmtId="0" fontId="103" fillId="41" borderId="1" applyAlignment="1" pivotButton="0" quotePrefix="0" xfId="0">
      <alignment horizontal="center" vertical="center"/>
    </xf>
    <xf numFmtId="0" fontId="98" fillId="41" borderId="1" applyAlignment="1" pivotButton="0" quotePrefix="0" xfId="0">
      <alignment horizontal="center" vertical="center"/>
    </xf>
    <xf numFmtId="0" fontId="98" fillId="41" borderId="1" applyAlignment="1" pivotButton="0" quotePrefix="0" xfId="0">
      <alignment horizontal="left" vertical="center"/>
    </xf>
    <xf numFmtId="0" fontId="2" fillId="41" borderId="1" applyAlignment="1" pivotButton="0" quotePrefix="0" xfId="0">
      <alignment horizontal="left" vertical="center"/>
    </xf>
    <xf numFmtId="0" fontId="100" fillId="42" borderId="1" applyAlignment="1" pivotButton="0" quotePrefix="0" xfId="0">
      <alignment horizontal="center" vertical="center"/>
    </xf>
    <xf numFmtId="0" fontId="101" fillId="42" borderId="1" applyAlignment="1" pivotButton="0" quotePrefix="0" xfId="0">
      <alignment horizontal="left" vertical="center"/>
    </xf>
    <xf numFmtId="0" fontId="102" fillId="42" borderId="1" applyAlignment="1" pivotButton="0" quotePrefix="0" xfId="0">
      <alignment horizontal="left" vertical="center"/>
    </xf>
    <xf numFmtId="0" fontId="108" fillId="42" borderId="1" applyAlignment="1" pivotButton="0" quotePrefix="0" xfId="0">
      <alignment horizontal="center" vertical="center"/>
    </xf>
    <xf numFmtId="0" fontId="104" fillId="42" borderId="1" applyAlignment="1" pivotButton="0" quotePrefix="0" xfId="0">
      <alignment horizontal="center" vertical="center"/>
    </xf>
    <xf numFmtId="0" fontId="103" fillId="42" borderId="1" applyAlignment="1" pivotButton="0" quotePrefix="0" xfId="0">
      <alignment horizontal="center" vertical="center"/>
    </xf>
    <xf numFmtId="0" fontId="98" fillId="42" borderId="1" applyAlignment="1" pivotButton="0" quotePrefix="0" xfId="0">
      <alignment horizontal="center" vertical="center"/>
    </xf>
    <xf numFmtId="0" fontId="105" fillId="42" borderId="1" applyAlignment="1" pivotButton="0" quotePrefix="0" xfId="0">
      <alignment horizontal="center" vertical="center"/>
    </xf>
    <xf numFmtId="0" fontId="100" fillId="39" borderId="1" applyAlignment="1" pivotButton="0" quotePrefix="0" xfId="0">
      <alignment horizontal="center" vertical="center"/>
    </xf>
    <xf numFmtId="0" fontId="98" fillId="42" borderId="1" applyAlignment="1" pivotButton="0" quotePrefix="0" xfId="0">
      <alignment horizontal="left" vertical="center"/>
    </xf>
    <xf numFmtId="0" fontId="2" fillId="42" borderId="1" applyAlignment="1" pivotButton="0" quotePrefix="0" xfId="0">
      <alignment horizontal="left" vertical="center"/>
    </xf>
    <xf numFmtId="0" fontId="107" fillId="41" borderId="1" applyAlignment="1" pivotButton="0" quotePrefix="0" xfId="0">
      <alignment horizontal="center" vertical="center"/>
    </xf>
    <xf numFmtId="0" fontId="109" fillId="41" borderId="1" applyAlignment="1" pivotButton="0" quotePrefix="0" xfId="0">
      <alignment horizontal="center" vertical="center"/>
    </xf>
    <xf numFmtId="0" fontId="109" fillId="42" borderId="1" applyAlignment="1" pivotButton="0" quotePrefix="0" xfId="0">
      <alignment horizontal="center" vertical="center"/>
    </xf>
    <xf numFmtId="0" fontId="108" fillId="41" borderId="1" applyAlignment="1" pivotButton="0" quotePrefix="0" xfId="0">
      <alignment horizontal="center" vertical="center"/>
    </xf>
    <xf numFmtId="0" fontId="107" fillId="42" borderId="1" applyAlignment="1" pivotButton="0" quotePrefix="0" xfId="0">
      <alignment horizontal="center" vertical="center"/>
    </xf>
    <xf numFmtId="0" fontId="110" fillId="0" borderId="1" applyAlignment="1" pivotButton="0" quotePrefix="0" xfId="0">
      <alignment horizontal="center" vertical="center" wrapText="1"/>
    </xf>
    <xf numFmtId="0" fontId="111" fillId="42" borderId="1" applyAlignment="1" pivotButton="0" quotePrefix="0" xfId="0">
      <alignment horizontal="center" vertical="center"/>
    </xf>
    <xf numFmtId="0" fontId="110" fillId="42" borderId="1" applyAlignment="1" pivotButton="0" quotePrefix="0" xfId="0">
      <alignment horizontal="center" vertical="center"/>
    </xf>
    <xf numFmtId="0" fontId="105" fillId="42" borderId="1" applyAlignment="1" pivotButton="0" quotePrefix="0" xfId="0">
      <alignment horizontal="left" vertical="center"/>
    </xf>
    <xf numFmtId="0" fontId="112" fillId="42" borderId="1" applyAlignment="1" pivotButton="0" quotePrefix="0" xfId="0">
      <alignment horizontal="center" vertical="center"/>
    </xf>
    <xf numFmtId="0" fontId="112" fillId="0" borderId="1" applyAlignment="1" pivotButton="0" quotePrefix="0" xfId="0">
      <alignment horizontal="center" vertical="center"/>
    </xf>
    <xf numFmtId="0" fontId="111" fillId="41" borderId="1" applyAlignment="1" pivotButton="0" quotePrefix="0" xfId="0">
      <alignment horizontal="center" vertical="center"/>
    </xf>
    <xf numFmtId="0" fontId="110" fillId="41" borderId="1" applyAlignment="1" pivotButton="0" quotePrefix="0" xfId="0">
      <alignment horizontal="center" vertical="center"/>
    </xf>
    <xf numFmtId="0" fontId="105" fillId="41" borderId="1" applyAlignment="1" pivotButton="0" quotePrefix="0" xfId="0">
      <alignment horizontal="left" vertical="center"/>
    </xf>
    <xf numFmtId="0" fontId="105" fillId="41" borderId="1" applyAlignment="1" pivotButton="0" quotePrefix="0" xfId="0">
      <alignment horizontal="center" vertical="center"/>
    </xf>
    <xf numFmtId="0" fontId="112" fillId="41" borderId="1" applyAlignment="1" pivotButton="0" quotePrefix="0" xfId="0">
      <alignment horizontal="center" vertical="center"/>
    </xf>
    <xf numFmtId="0" fontId="97" fillId="39" borderId="1" applyAlignment="1" pivotButton="0" quotePrefix="0" xfId="0">
      <alignment horizontal="center" vertical="center"/>
    </xf>
    <xf numFmtId="0" fontId="104" fillId="42" borderId="1" applyAlignment="1" pivotButton="0" quotePrefix="0" xfId="0">
      <alignment horizontal="left" vertical="center"/>
    </xf>
    <xf numFmtId="0" fontId="97" fillId="42" borderId="1" applyAlignment="1" pivotButton="0" quotePrefix="0" xfId="0">
      <alignment horizontal="center" vertical="center"/>
    </xf>
    <xf numFmtId="0" fontId="104" fillId="41" borderId="1" applyAlignment="1" pivotButton="0" quotePrefix="0" xfId="0">
      <alignment horizontal="left" vertical="center"/>
    </xf>
    <xf numFmtId="0" fontId="97" fillId="41" borderId="1" applyAlignment="1" pivotButton="0" quotePrefix="0" xfId="0">
      <alignment horizontal="center" vertical="center"/>
    </xf>
    <xf numFmtId="0" fontId="113" fillId="42" borderId="1" applyAlignment="1" pivotButton="0" quotePrefix="0" xfId="0">
      <alignment horizontal="center" vertical="center"/>
    </xf>
    <xf numFmtId="0" fontId="113" fillId="39" borderId="1" applyAlignment="1" pivotButton="0" quotePrefix="0" xfId="0">
      <alignment horizontal="center" vertical="center"/>
    </xf>
    <xf numFmtId="0" fontId="97" fillId="42" borderId="1" applyAlignment="1" pivotButton="0" quotePrefix="0" xfId="0">
      <alignment horizontal="left" vertical="center" wrapText="1"/>
    </xf>
    <xf numFmtId="0" fontId="97" fillId="41" borderId="1" applyAlignment="1" pivotButton="0" quotePrefix="0" xfId="0">
      <alignment horizontal="left" vertical="center" wrapText="1"/>
    </xf>
    <xf numFmtId="0" fontId="104" fillId="41" borderId="1" applyAlignment="1" pivotButton="0" quotePrefix="0" xfId="0">
      <alignment horizontal="left" vertical="center" wrapText="1"/>
    </xf>
    <xf numFmtId="0" fontId="114" fillId="36" borderId="1" applyAlignment="1" pivotButton="0" quotePrefix="0" xfId="0">
      <alignment horizontal="center" vertical="center" wrapText="1"/>
    </xf>
    <xf numFmtId="0" fontId="117" fillId="24" borderId="1" applyAlignment="1" pivotButton="0" quotePrefix="0" xfId="0">
      <alignment horizontal="center" vertical="center" wrapText="1"/>
    </xf>
    <xf numFmtId="0" fontId="117" fillId="0" borderId="1" applyAlignment="1" pivotButton="0" quotePrefix="0" xfId="0">
      <alignment horizontal="center" vertical="center" wrapText="1"/>
    </xf>
    <xf numFmtId="0" fontId="122" fillId="43" borderId="1" applyAlignment="1" pivotButton="0" quotePrefix="0" xfId="0">
      <alignment horizontal="center" vertical="center" wrapText="1"/>
    </xf>
    <xf numFmtId="0" fontId="92" fillId="43" borderId="1" applyAlignment="1" pivotButton="0" quotePrefix="0" xfId="0">
      <alignment horizontal="center" vertical="center" wrapText="1"/>
    </xf>
    <xf numFmtId="0" fontId="123" fillId="43" borderId="1" applyAlignment="1" pivotButton="0" quotePrefix="0" xfId="0">
      <alignment horizontal="center" vertical="center"/>
    </xf>
    <xf numFmtId="0" fontId="123" fillId="5" borderId="1" applyAlignment="1" pivotButton="0" quotePrefix="0" xfId="0">
      <alignment horizontal="center" vertical="center"/>
    </xf>
    <xf numFmtId="0" fontId="124" fillId="10" borderId="1" applyAlignment="1" pivotButton="0" quotePrefix="0" xfId="0">
      <alignment horizontal="center" vertical="center"/>
    </xf>
    <xf numFmtId="0" fontId="124" fillId="20" borderId="1" applyAlignment="1" pivotButton="0" quotePrefix="0" xfId="0">
      <alignment horizontal="center" vertical="center"/>
    </xf>
    <xf numFmtId="0" fontId="125" fillId="10" borderId="1" applyAlignment="1" pivotButton="0" quotePrefix="0" xfId="0">
      <alignment horizontal="center" vertical="center"/>
    </xf>
    <xf numFmtId="0" fontId="126" fillId="5" borderId="1" applyAlignment="1" pivotButton="0" quotePrefix="0" xfId="0">
      <alignment horizontal="center" vertical="center"/>
    </xf>
    <xf numFmtId="0" fontId="127" fillId="43" borderId="1" applyAlignment="1" pivotButton="0" quotePrefix="0" xfId="0">
      <alignment horizontal="center" vertical="center"/>
    </xf>
    <xf numFmtId="0" fontId="128" fillId="4" borderId="1" applyAlignment="1" pivotButton="0" quotePrefix="0" xfId="0">
      <alignment horizontal="center" vertical="center"/>
    </xf>
    <xf numFmtId="0" fontId="129" fillId="22" borderId="1" applyAlignment="1" pivotButton="0" quotePrefix="0" xfId="0">
      <alignment horizontal="center" vertical="center"/>
    </xf>
    <xf numFmtId="0" fontId="122" fillId="18" borderId="1" applyAlignment="1" pivotButton="0" quotePrefix="0" xfId="0">
      <alignment horizontal="center" vertical="center" wrapText="1"/>
    </xf>
    <xf numFmtId="0" fontId="92" fillId="18" borderId="1" applyAlignment="1" pivotButton="0" quotePrefix="0" xfId="0">
      <alignment horizontal="center" vertical="center" wrapText="1"/>
    </xf>
    <xf numFmtId="0" fontId="123" fillId="18" borderId="1" applyAlignment="1" pivotButton="0" quotePrefix="0" xfId="0">
      <alignment horizontal="center" vertical="center"/>
    </xf>
    <xf numFmtId="0" fontId="127" fillId="18" borderId="1" applyAlignment="1" pivotButton="0" quotePrefix="0" xfId="0">
      <alignment horizontal="center" vertical="center"/>
    </xf>
    <xf numFmtId="0" fontId="130" fillId="22" borderId="1" applyAlignment="1" pivotButton="0" quotePrefix="0" xfId="0">
      <alignment horizontal="center" vertical="center"/>
    </xf>
    <xf numFmtId="0" fontId="131" fillId="7" borderId="1" applyAlignment="1" pivotButton="0" quotePrefix="0" xfId="0">
      <alignment horizontal="center" vertical="center"/>
    </xf>
    <xf numFmtId="0" fontId="132" fillId="7" borderId="1" applyAlignment="1" pivotButton="0" quotePrefix="0" xfId="0">
      <alignment horizontal="center" vertical="center"/>
    </xf>
    <xf numFmtId="0" fontId="130" fillId="20" borderId="1" applyAlignment="1" pivotButton="0" quotePrefix="0" xfId="0">
      <alignment horizontal="center" vertical="center"/>
    </xf>
    <xf numFmtId="0" fontId="130" fillId="7" borderId="1" applyAlignment="1" pivotButton="0" quotePrefix="0" xfId="0">
      <alignment horizontal="center" vertical="center"/>
    </xf>
    <xf numFmtId="0" fontId="124" fillId="7" borderId="1" applyAlignment="1" pivotButton="0" quotePrefix="0" xfId="0">
      <alignment horizontal="center" vertical="center"/>
    </xf>
    <xf numFmtId="0" fontId="124" fillId="22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0" fontId="133" fillId="21" borderId="1" applyAlignment="1" pivotButton="0" quotePrefix="0" xfId="0">
      <alignment horizontal="center" vertical="center" wrapText="1"/>
    </xf>
    <xf numFmtId="0" fontId="122" fillId="5" borderId="1" applyAlignment="1" pivotButton="0" quotePrefix="0" xfId="0">
      <alignment horizontal="left" vertical="center"/>
    </xf>
    <xf numFmtId="0" fontId="134" fillId="21" borderId="1" applyAlignment="1" pivotButton="0" quotePrefix="0" xfId="0">
      <alignment horizontal="left" vertical="center"/>
    </xf>
    <xf numFmtId="0" fontId="117" fillId="26" borderId="1" applyAlignment="1" pivotButton="0" quotePrefix="0" xfId="0">
      <alignment horizontal="center" vertical="center" wrapText="1"/>
    </xf>
    <xf numFmtId="0" fontId="2" fillId="43" borderId="1" applyAlignment="1" pivotButton="0" quotePrefix="0" xfId="0">
      <alignment horizontal="center" vertical="center" wrapText="1"/>
    </xf>
    <xf numFmtId="0" fontId="2" fillId="43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117" fillId="25" borderId="1" applyAlignment="1" pivotButton="0" quotePrefix="0" xfId="0">
      <alignment horizontal="center" vertical="center" wrapText="1"/>
    </xf>
    <xf numFmtId="0" fontId="122" fillId="0" borderId="1" applyAlignment="1" pivotButton="0" quotePrefix="0" xfId="0">
      <alignment horizontal="center" vertical="center" wrapText="1"/>
    </xf>
    <xf numFmtId="0" fontId="92" fillId="0" borderId="1" applyAlignment="1" pivotButton="0" quotePrefix="0" xfId="0">
      <alignment horizontal="center" vertical="center" wrapText="1"/>
    </xf>
    <xf numFmtId="0" fontId="142" fillId="17" borderId="1" applyAlignment="1" pivotButton="0" quotePrefix="0" xfId="0">
      <alignment horizontal="center" vertical="center" wrapText="1"/>
    </xf>
    <xf numFmtId="0" fontId="88" fillId="4" borderId="1" applyAlignment="1" pivotButton="0" quotePrefix="0" xfId="0">
      <alignment horizontal="center" vertical="center" wrapText="1"/>
    </xf>
    <xf numFmtId="0" fontId="123" fillId="0" borderId="1" applyAlignment="1" pivotButton="0" quotePrefix="0" xfId="0">
      <alignment horizontal="center" vertical="center" wrapText="1"/>
    </xf>
    <xf numFmtId="0" fontId="123" fillId="0" borderId="1" applyAlignment="1" pivotButton="0" quotePrefix="0" xfId="0">
      <alignment horizontal="left" vertical="center" wrapText="1"/>
    </xf>
    <xf numFmtId="0" fontId="125" fillId="10" borderId="1" applyAlignment="1" pivotButton="0" quotePrefix="0" xfId="0">
      <alignment horizontal="center" vertical="center" wrapText="1"/>
    </xf>
    <xf numFmtId="0" fontId="125" fillId="20" borderId="1" applyAlignment="1" pivotButton="0" quotePrefix="0" xfId="0">
      <alignment horizontal="center" vertical="center" wrapText="1"/>
    </xf>
    <xf numFmtId="0" fontId="131" fillId="7" borderId="1" applyAlignment="1" pivotButton="0" quotePrefix="0" xfId="0">
      <alignment horizontal="center" vertical="center" wrapText="1"/>
    </xf>
    <xf numFmtId="0" fontId="6" fillId="4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60" fillId="24" borderId="1" applyAlignment="1" pivotButton="0" quotePrefix="0" xfId="0">
      <alignment horizontal="center" vertical="center" wrapText="1"/>
    </xf>
    <xf numFmtId="0" fontId="92" fillId="18" borderId="1" applyAlignment="1" pivotButton="0" quotePrefix="0" xfId="0">
      <alignment horizontal="left" vertical="center"/>
    </xf>
    <xf numFmtId="0" fontId="92" fillId="21" borderId="1" applyAlignment="1" pivotButton="0" quotePrefix="0" xfId="0">
      <alignment horizontal="left" vertical="center"/>
    </xf>
    <xf numFmtId="0" fontId="90" fillId="28" borderId="1" applyAlignment="1" pivotButton="0" quotePrefix="0" xfId="0">
      <alignment horizontal="center" vertical="center" wrapText="1"/>
    </xf>
    <xf numFmtId="0" fontId="122" fillId="36" borderId="1" applyAlignment="1" pivotButton="0" quotePrefix="0" xfId="0">
      <alignment horizontal="left" vertical="center" wrapText="1"/>
    </xf>
    <xf numFmtId="0" fontId="92" fillId="36" borderId="1" applyAlignment="1" pivotButton="0" quotePrefix="0" xfId="0">
      <alignment horizontal="left" vertical="center" wrapText="1"/>
    </xf>
    <xf numFmtId="0" fontId="122" fillId="5" borderId="1" applyAlignment="1" pivotButton="0" quotePrefix="0" xfId="0">
      <alignment horizontal="left" vertical="center" wrapText="1"/>
    </xf>
    <xf numFmtId="0" fontId="92" fillId="5" borderId="1" applyAlignment="1" pivotButton="0" quotePrefix="0" xfId="0">
      <alignment horizontal="left" vertical="center" wrapText="1"/>
    </xf>
    <xf numFmtId="0" fontId="122" fillId="47" borderId="1" applyAlignment="1" pivotButton="0" quotePrefix="0" xfId="0">
      <alignment horizontal="left" vertical="center" wrapText="1"/>
    </xf>
    <xf numFmtId="0" fontId="92" fillId="47" borderId="1" applyAlignment="1" pivotButton="0" quotePrefix="0" xfId="0">
      <alignment horizontal="left" vertical="center" wrapText="1"/>
    </xf>
    <xf numFmtId="0" fontId="122" fillId="37" borderId="1" applyAlignment="1" pivotButton="0" quotePrefix="0" xfId="0">
      <alignment horizontal="left" vertical="center" wrapText="1"/>
    </xf>
    <xf numFmtId="0" fontId="92" fillId="37" borderId="1" applyAlignment="1" pivotButton="0" quotePrefix="0" xfId="0">
      <alignment horizontal="left" vertical="center" wrapText="1"/>
    </xf>
    <xf numFmtId="0" fontId="145" fillId="9" borderId="1" applyAlignment="1" pivotButton="0" quotePrefix="0" xfId="0">
      <alignment horizontal="center" vertical="center" wrapText="1"/>
    </xf>
    <xf numFmtId="0" fontId="146" fillId="38" borderId="1" applyAlignment="1" pivotButton="0" quotePrefix="0" xfId="0">
      <alignment horizontal="left" vertical="center"/>
    </xf>
    <xf numFmtId="0" fontId="146" fillId="38" borderId="1" applyAlignment="1" pivotButton="0" quotePrefix="0" xfId="0">
      <alignment horizontal="center" vertical="center"/>
    </xf>
    <xf numFmtId="0" fontId="146" fillId="10" borderId="1" applyAlignment="1" pivotButton="0" quotePrefix="0" xfId="0">
      <alignment horizontal="center" vertical="center"/>
    </xf>
    <xf numFmtId="0" fontId="146" fillId="7" borderId="1" applyAlignment="1" pivotButton="0" quotePrefix="0" xfId="0">
      <alignment horizontal="center" vertical="center"/>
    </xf>
    <xf numFmtId="0" fontId="147" fillId="10" borderId="1" applyAlignment="1" pivotButton="0" quotePrefix="0" xfId="0">
      <alignment horizontal="center" vertical="center"/>
    </xf>
    <xf numFmtId="0" fontId="148" fillId="10" borderId="1" applyAlignment="1" pivotButton="0" quotePrefix="0" xfId="0">
      <alignment horizontal="left" vertical="center"/>
    </xf>
    <xf numFmtId="0" fontId="124" fillId="38" borderId="1" applyAlignment="1" pivotButton="0" quotePrefix="0" xfId="0">
      <alignment horizontal="left" vertical="center" wrapText="1"/>
    </xf>
    <xf numFmtId="0" fontId="146" fillId="22" borderId="1" applyAlignment="1" pivotButton="0" quotePrefix="0" xfId="0">
      <alignment horizontal="center" vertical="center"/>
    </xf>
    <xf numFmtId="0" fontId="149" fillId="7" borderId="1" applyAlignment="1" pivotButton="0" quotePrefix="0" xfId="0">
      <alignment horizontal="center" vertical="center"/>
    </xf>
    <xf numFmtId="0" fontId="150" fillId="7" borderId="1" applyAlignment="1" pivotButton="0" quotePrefix="0" xfId="0">
      <alignment horizontal="left" vertical="center"/>
    </xf>
    <xf numFmtId="0" fontId="151" fillId="38" borderId="1" applyAlignment="1" pivotButton="0" quotePrefix="0" xfId="0">
      <alignment horizontal="left" vertical="center" wrapText="1"/>
    </xf>
    <xf numFmtId="0" fontId="144" fillId="38" borderId="1" applyAlignment="1" pivotButton="0" quotePrefix="0" xfId="0">
      <alignment horizontal="left" vertical="center"/>
    </xf>
    <xf numFmtId="0" fontId="9" fillId="48" borderId="1" applyAlignment="1" pivotButton="0" quotePrefix="0" xfId="0">
      <alignment horizontal="center" vertical="center"/>
    </xf>
    <xf numFmtId="0" fontId="87" fillId="24" borderId="1" applyAlignment="1" pivotButton="0" quotePrefix="0" xfId="0">
      <alignment horizontal="center" vertical="center" wrapText="1"/>
    </xf>
    <xf numFmtId="0" fontId="10" fillId="36" borderId="1" applyAlignment="1" pivotButton="0" quotePrefix="0" xfId="0">
      <alignment horizontal="center" vertical="center" wrapText="1"/>
    </xf>
    <xf numFmtId="0" fontId="148" fillId="44" borderId="1" applyAlignment="1" pivotButton="0" quotePrefix="0" xfId="0">
      <alignment horizontal="center" vertical="center"/>
    </xf>
    <xf numFmtId="0" fontId="114" fillId="44" borderId="1" applyAlignment="1" pivotButton="0" quotePrefix="0" xfId="0">
      <alignment horizontal="left" vertical="center"/>
    </xf>
    <xf numFmtId="0" fontId="114" fillId="44" borderId="1" applyAlignment="1" pivotButton="0" quotePrefix="0" xfId="0">
      <alignment horizontal="right" vertical="center"/>
    </xf>
    <xf numFmtId="0" fontId="10" fillId="22" borderId="1" applyAlignment="1" pivotButton="0" quotePrefix="0" xfId="0">
      <alignment horizontal="center" vertical="center" wrapText="1"/>
    </xf>
    <xf numFmtId="0" fontId="152" fillId="22" borderId="1" applyAlignment="1" pivotButton="0" quotePrefix="0" xfId="0">
      <alignment horizontal="center" vertical="center"/>
    </xf>
    <xf numFmtId="0" fontId="153" fillId="22" borderId="1" applyAlignment="1" pivotButton="0" quotePrefix="0" xfId="0">
      <alignment horizontal="left" vertical="center"/>
    </xf>
    <xf numFmtId="0" fontId="153" fillId="4" borderId="1" applyAlignment="1" pivotButton="0" quotePrefix="0" xfId="0">
      <alignment horizontal="right" vertical="center"/>
    </xf>
    <xf numFmtId="0" fontId="154" fillId="36" borderId="1" applyAlignment="1" pivotButton="0" quotePrefix="0" xfId="0">
      <alignment horizontal="center" vertical="center"/>
    </xf>
    <xf numFmtId="0" fontId="155" fillId="36" borderId="1" applyAlignment="1" pivotButton="0" quotePrefix="0" xfId="0">
      <alignment horizontal="left" vertical="center"/>
    </xf>
    <xf numFmtId="0" fontId="155" fillId="36" borderId="1" applyAlignment="1" pivotButton="0" quotePrefix="0" xfId="0">
      <alignment horizontal="right" vertical="center"/>
    </xf>
    <xf numFmtId="0" fontId="87" fillId="14" borderId="1" applyAlignment="1" pivotButton="0" quotePrefix="0" xfId="0">
      <alignment horizontal="center" vertical="center" wrapText="1"/>
    </xf>
    <xf numFmtId="0" fontId="156" fillId="0" borderId="1" applyAlignment="1" pivotButton="0" quotePrefix="0" xfId="0">
      <alignment horizontal="right" vertical="center"/>
    </xf>
    <xf numFmtId="0" fontId="6" fillId="36" borderId="1" applyAlignment="1" pivotButton="0" quotePrefix="0" xfId="0">
      <alignment horizontal="center" vertical="center" wrapText="1"/>
    </xf>
    <xf numFmtId="0" fontId="148" fillId="36" borderId="1" applyAlignment="1" pivotButton="0" quotePrefix="0" xfId="0">
      <alignment horizontal="left" vertical="center"/>
    </xf>
    <xf numFmtId="0" fontId="158" fillId="6" borderId="1" applyAlignment="1" pivotButton="0" quotePrefix="0" xfId="0">
      <alignment horizontal="center" vertical="center" wrapText="1"/>
    </xf>
    <xf numFmtId="0" fontId="114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4" fillId="44" borderId="1" applyAlignment="1" pivotButton="0" quotePrefix="0" xfId="0">
      <alignment horizontal="center" vertical="center" wrapText="1"/>
    </xf>
    <xf numFmtId="0" fontId="159" fillId="0" borderId="1" applyAlignment="1" pivotButton="0" quotePrefix="0" xfId="0">
      <alignment horizontal="left" vertical="center" wrapText="1"/>
    </xf>
    <xf numFmtId="0" fontId="160" fillId="17" borderId="1" applyAlignment="1" pivotButton="0" quotePrefix="0" xfId="0">
      <alignment horizontal="center" vertical="center" wrapText="1"/>
    </xf>
    <xf numFmtId="0" fontId="161" fillId="0" borderId="1" applyAlignment="1" pivotButton="0" quotePrefix="0" xfId="0">
      <alignment horizontal="left" vertical="center" wrapText="1"/>
    </xf>
    <xf numFmtId="0" fontId="162" fillId="0" borderId="1" applyAlignment="1" pivotButton="0" quotePrefix="0" xfId="0">
      <alignment horizontal="center" vertical="center" wrapText="1"/>
    </xf>
    <xf numFmtId="0" fontId="163" fillId="4" borderId="1" applyAlignment="1" pivotButton="0" quotePrefix="0" xfId="0">
      <alignment horizontal="center" vertical="center" wrapText="1"/>
    </xf>
    <xf numFmtId="0" fontId="164" fillId="0" borderId="1" applyAlignment="1" pivotButton="0" quotePrefix="0" xfId="0">
      <alignment horizontal="left" vertical="center" wrapText="1"/>
    </xf>
    <xf numFmtId="0" fontId="165" fillId="36" borderId="1" applyAlignment="1" pivotButton="0" quotePrefix="0" xfId="0">
      <alignment horizontal="center" vertical="center" wrapText="1"/>
    </xf>
    <xf numFmtId="0" fontId="114" fillId="3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60" fillId="17" borderId="1" applyAlignment="1" pivotButton="0" quotePrefix="0" xfId="0">
      <alignment horizontal="left" vertical="center" wrapText="1"/>
    </xf>
    <xf numFmtId="0" fontId="158" fillId="3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166" fillId="36" borderId="1" applyAlignment="1" pivotButton="0" quotePrefix="0" xfId="0">
      <alignment horizontal="center" vertical="center" wrapText="1"/>
    </xf>
    <xf numFmtId="0" fontId="167" fillId="2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68" fillId="0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62" fillId="4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4" fillId="4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48" fillId="36" borderId="1" applyAlignment="1" pivotButton="0" quotePrefix="0" xfId="0">
      <alignment horizontal="center" vertical="center" wrapText="1"/>
    </xf>
    <xf numFmtId="0" fontId="147" fillId="36" borderId="1" applyAlignment="1" pivotButton="0" quotePrefix="0" xfId="0">
      <alignment horizontal="center" vertical="center" wrapText="1"/>
    </xf>
    <xf numFmtId="0" fontId="87" fillId="2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166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70" fillId="0" borderId="1" applyAlignment="1" pivotButton="0" quotePrefix="0" xfId="0">
      <alignment horizontal="center" vertical="center"/>
    </xf>
    <xf numFmtId="0" fontId="156" fillId="24" borderId="1" applyAlignment="1" pivotButton="0" quotePrefix="0" xfId="0">
      <alignment horizontal="center" vertical="center"/>
    </xf>
    <xf numFmtId="0" fontId="171" fillId="44" borderId="1" applyAlignment="1" pivotButton="0" quotePrefix="0" xfId="0">
      <alignment horizontal="center" vertical="center"/>
    </xf>
    <xf numFmtId="0" fontId="171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center" vertical="center"/>
    </xf>
    <xf numFmtId="0" fontId="101" fillId="0" borderId="1" applyAlignment="1" pivotButton="0" quotePrefix="0" xfId="0">
      <alignment horizontal="left" vertical="center"/>
    </xf>
    <xf numFmtId="0" fontId="173" fillId="0" borderId="1" applyAlignment="1" pivotButton="0" quotePrefix="0" xfId="0">
      <alignment horizontal="center" vertical="center"/>
    </xf>
    <xf numFmtId="0" fontId="98" fillId="0" borderId="1" applyAlignment="1" pivotButton="0" quotePrefix="0" xfId="0">
      <alignment horizontal="left" vertical="center" wrapText="1"/>
    </xf>
    <xf numFmtId="0" fontId="98" fillId="40" borderId="1" applyAlignment="1" pivotButton="0" quotePrefix="0" xfId="0">
      <alignment horizontal="left" vertical="center" wrapText="1"/>
    </xf>
    <xf numFmtId="0" fontId="174" fillId="38" borderId="1" applyAlignment="1" pivotButton="0" quotePrefix="0" xfId="0">
      <alignment horizontal="center" vertical="center"/>
    </xf>
    <xf numFmtId="0" fontId="111" fillId="41" borderId="1" applyAlignment="1" pivotButton="0" quotePrefix="0" xfId="0">
      <alignment horizontal="left" vertical="center" wrapText="1"/>
    </xf>
    <xf numFmtId="0" fontId="112" fillId="0" borderId="1" applyAlignment="1" pivotButton="0" quotePrefix="0" xfId="0">
      <alignment horizontal="center" vertical="center" wrapText="1"/>
    </xf>
    <xf numFmtId="0" fontId="174" fillId="0" borderId="1" applyAlignment="1" pivotButton="0" quotePrefix="0" xfId="0">
      <alignment horizontal="center" vertical="center" wrapText="1"/>
    </xf>
    <xf numFmtId="0" fontId="100" fillId="50" borderId="1" applyAlignment="1" pivotButton="0" quotePrefix="0" xfId="0">
      <alignment horizontal="center" vertical="center"/>
    </xf>
    <xf numFmtId="0" fontId="103" fillId="50" borderId="1" applyAlignment="1" pivotButton="0" quotePrefix="0" xfId="0">
      <alignment horizontal="center" vertical="center"/>
    </xf>
    <xf numFmtId="0" fontId="104" fillId="50" borderId="1" applyAlignment="1" pivotButton="0" quotePrefix="0" xfId="0">
      <alignment horizontal="left" vertical="center"/>
    </xf>
    <xf numFmtId="0" fontId="108" fillId="39" borderId="1" applyAlignment="1" pivotButton="0" quotePrefix="0" xfId="0">
      <alignment horizontal="center" vertical="center"/>
    </xf>
    <xf numFmtId="0" fontId="104" fillId="39" borderId="1" applyAlignment="1" pivotButton="0" quotePrefix="0" xfId="0">
      <alignment horizontal="left" vertical="center"/>
    </xf>
    <xf numFmtId="0" fontId="97" fillId="49" borderId="1" applyAlignment="1" pivotButton="0" quotePrefix="0" xfId="0">
      <alignment horizontal="center" vertical="center"/>
    </xf>
    <xf numFmtId="0" fontId="179" fillId="41" borderId="1" applyAlignment="1" pivotButton="0" quotePrefix="0" xfId="0">
      <alignment horizontal="center" vertical="center"/>
    </xf>
    <xf numFmtId="0" fontId="180" fillId="41" borderId="1" applyAlignment="1" pivotButton="0" quotePrefix="0" xfId="0">
      <alignment horizontal="center" vertical="center"/>
    </xf>
    <xf numFmtId="0" fontId="181" fillId="41" borderId="1" applyAlignment="1" pivotButton="0" quotePrefix="0" xfId="0">
      <alignment horizontal="center" vertical="center"/>
    </xf>
    <xf numFmtId="0" fontId="182" fillId="41" borderId="1" applyAlignment="1" pivotButton="0" quotePrefix="0" xfId="0">
      <alignment horizontal="center" vertical="center"/>
    </xf>
    <xf numFmtId="0" fontId="179" fillId="42" borderId="1" applyAlignment="1" pivotButton="0" quotePrefix="0" xfId="0">
      <alignment horizontal="center" vertical="center"/>
    </xf>
    <xf numFmtId="0" fontId="180" fillId="42" borderId="1" applyAlignment="1" pivotButton="0" quotePrefix="0" xfId="0">
      <alignment horizontal="center" vertical="center"/>
    </xf>
    <xf numFmtId="0" fontId="181" fillId="42" borderId="1" applyAlignment="1" pivotButton="0" quotePrefix="0" xfId="0">
      <alignment horizontal="center" vertical="center"/>
    </xf>
    <xf numFmtId="0" fontId="182" fillId="42" borderId="1" applyAlignment="1" pivotButton="0" quotePrefix="0" xfId="0">
      <alignment horizontal="center" vertical="center"/>
    </xf>
    <xf numFmtId="0" fontId="183" fillId="42" borderId="1" applyAlignment="1" pivotButton="0" quotePrefix="0" xfId="0">
      <alignment horizontal="center" vertical="center"/>
    </xf>
    <xf numFmtId="0" fontId="184" fillId="42" borderId="1" applyAlignment="1" pivotButton="0" quotePrefix="0" xfId="0">
      <alignment horizontal="center" vertical="center"/>
    </xf>
    <xf numFmtId="0" fontId="183" fillId="41" borderId="1" applyAlignment="1" pivotButton="0" quotePrefix="0" xfId="0">
      <alignment horizontal="center" vertical="center"/>
    </xf>
    <xf numFmtId="0" fontId="184" fillId="41" borderId="1" applyAlignment="1" pivotButton="0" quotePrefix="0" xfId="0">
      <alignment horizontal="center" vertical="center"/>
    </xf>
    <xf numFmtId="0" fontId="185" fillId="42" borderId="1" applyAlignment="1" pivotButton="0" quotePrefix="0" xfId="0">
      <alignment horizontal="center" vertical="center"/>
    </xf>
    <xf numFmtId="0" fontId="186" fillId="42" borderId="1" applyAlignment="1" pivotButton="0" quotePrefix="0" xfId="0">
      <alignment horizontal="center" vertical="center"/>
    </xf>
    <xf numFmtId="0" fontId="185" fillId="41" borderId="1" applyAlignment="1" pivotButton="0" quotePrefix="0" xfId="0">
      <alignment horizontal="center" vertical="center"/>
    </xf>
    <xf numFmtId="0" fontId="186" fillId="41" borderId="1" applyAlignment="1" pivotButton="0" quotePrefix="0" xfId="0">
      <alignment horizontal="center" vertical="center"/>
    </xf>
    <xf numFmtId="0" fontId="187" fillId="42" borderId="1" applyAlignment="1" pivotButton="0" quotePrefix="0" xfId="0">
      <alignment horizontal="center" vertical="center"/>
    </xf>
    <xf numFmtId="0" fontId="188" fillId="42" borderId="1" applyAlignment="1" pivotButton="0" quotePrefix="0" xfId="0">
      <alignment horizontal="center" vertical="center"/>
    </xf>
    <xf numFmtId="0" fontId="187" fillId="41" borderId="1" applyAlignment="1" pivotButton="0" quotePrefix="0" xfId="0">
      <alignment horizontal="center" vertical="center"/>
    </xf>
    <xf numFmtId="0" fontId="188" fillId="41" borderId="1" applyAlignment="1" pivotButton="0" quotePrefix="0" xfId="0">
      <alignment horizontal="center" vertical="center"/>
    </xf>
    <xf numFmtId="0" fontId="189" fillId="42" borderId="1" applyAlignment="1" pivotButton="0" quotePrefix="0" xfId="0">
      <alignment horizontal="center" vertical="center"/>
    </xf>
    <xf numFmtId="0" fontId="189" fillId="41" borderId="1" applyAlignment="1" pivotButton="0" quotePrefix="0" xfId="0">
      <alignment horizontal="center" vertical="center"/>
    </xf>
    <xf numFmtId="0" fontId="190" fillId="41" borderId="1" applyAlignment="1" pivotButton="0" quotePrefix="0" xfId="0">
      <alignment horizontal="center" vertical="center"/>
    </xf>
    <xf numFmtId="0" fontId="191" fillId="41" borderId="1" applyAlignment="1" pivotButton="0" quotePrefix="0" xfId="0">
      <alignment horizontal="center" vertical="center"/>
    </xf>
    <xf numFmtId="0" fontId="192" fillId="41" borderId="1" applyAlignment="1" pivotButton="0" quotePrefix="0" xfId="0">
      <alignment horizontal="center" vertical="center"/>
    </xf>
    <xf numFmtId="0" fontId="193" fillId="41" borderId="1" applyAlignment="1" pivotButton="0" quotePrefix="0" xfId="0">
      <alignment horizontal="center" vertical="center"/>
    </xf>
    <xf numFmtId="0" fontId="192" fillId="42" borderId="1" applyAlignment="1" pivotButton="0" quotePrefix="0" xfId="0">
      <alignment horizontal="center" vertical="center"/>
    </xf>
    <xf numFmtId="0" fontId="193" fillId="42" borderId="1" applyAlignment="1" pivotButton="0" quotePrefix="0" xfId="0">
      <alignment horizontal="center" vertical="center"/>
    </xf>
    <xf numFmtId="0" fontId="194" fillId="41" borderId="1" applyAlignment="1" pivotButton="0" quotePrefix="0" xfId="0">
      <alignment horizontal="center" vertical="center"/>
    </xf>
    <xf numFmtId="0" fontId="195" fillId="41" borderId="1" applyAlignment="1" pivotButton="0" quotePrefix="0" xfId="0">
      <alignment horizontal="center" vertical="center"/>
    </xf>
    <xf numFmtId="0" fontId="194" fillId="42" borderId="1" applyAlignment="1" pivotButton="0" quotePrefix="0" xfId="0">
      <alignment horizontal="center" vertical="center"/>
    </xf>
    <xf numFmtId="0" fontId="195" fillId="42" borderId="1" applyAlignment="1" pivotButton="0" quotePrefix="0" xfId="0">
      <alignment horizontal="center" vertical="center"/>
    </xf>
    <xf numFmtId="0" fontId="196" fillId="41" borderId="1" applyAlignment="1" pivotButton="0" quotePrefix="0" xfId="0">
      <alignment horizontal="center" vertical="center"/>
    </xf>
    <xf numFmtId="0" fontId="197" fillId="41" borderId="1" applyAlignment="1" pivotButton="0" quotePrefix="0" xfId="0">
      <alignment horizontal="center" vertical="center"/>
    </xf>
    <xf numFmtId="0" fontId="196" fillId="42" borderId="1" applyAlignment="1" pivotButton="0" quotePrefix="0" xfId="0">
      <alignment horizontal="center" vertical="center"/>
    </xf>
    <xf numFmtId="0" fontId="197" fillId="42" borderId="1" applyAlignment="1" pivotButton="0" quotePrefix="0" xfId="0">
      <alignment horizontal="center" vertical="center"/>
    </xf>
    <xf numFmtId="0" fontId="61" fillId="17" borderId="1" applyAlignment="1" pivotButton="0" quotePrefix="0" xfId="0">
      <alignment horizontal="left" vertical="center" wrapText="1"/>
    </xf>
    <xf numFmtId="0" fontId="198" fillId="5" borderId="1" applyAlignment="1" pivotButton="0" quotePrefix="0" xfId="0">
      <alignment horizontal="left" vertical="center"/>
    </xf>
    <xf numFmtId="0" fontId="92" fillId="0" borderId="1" applyAlignment="1" pivotButton="0" quotePrefix="0" xfId="0">
      <alignment horizontal="left" vertical="center"/>
    </xf>
    <xf numFmtId="0" fontId="121" fillId="9" borderId="1" applyAlignment="1" pivotButton="0" quotePrefix="0" xfId="0">
      <alignment horizontal="center" vertical="center" wrapText="1"/>
    </xf>
    <xf numFmtId="0" fontId="92" fillId="18" borderId="1" applyAlignment="1" pivotButton="0" quotePrefix="0" xfId="0">
      <alignment horizontal="right" vertical="center"/>
    </xf>
    <xf numFmtId="0" fontId="92" fillId="20" borderId="1" applyAlignment="1" pivotButton="0" quotePrefix="0" xfId="0">
      <alignment horizontal="center" vertical="center" wrapText="1"/>
    </xf>
    <xf numFmtId="0" fontId="92" fillId="21" borderId="1" applyAlignment="1" pivotButton="0" quotePrefix="0" xfId="0">
      <alignment horizontal="center" vertical="center" wrapText="1"/>
    </xf>
    <xf numFmtId="0" fontId="92" fillId="21" borderId="1" applyAlignment="1" pivotButton="0" quotePrefix="0" xfId="0">
      <alignment horizontal="right" vertical="center"/>
    </xf>
    <xf numFmtId="0" fontId="92" fillId="22" borderId="1" applyAlignment="1" pivotButton="0" quotePrefix="0" xfId="0">
      <alignment horizontal="center" vertical="center" wrapText="1"/>
    </xf>
    <xf numFmtId="0" fontId="84" fillId="51" borderId="0" pivotButton="0" quotePrefix="0" xfId="0"/>
    <xf numFmtId="0" fontId="92" fillId="7" borderId="1" applyAlignment="1" pivotButton="0" quotePrefix="0" xfId="0">
      <alignment horizontal="center" vertical="center" wrapText="1"/>
    </xf>
    <xf numFmtId="0" fontId="84" fillId="9" borderId="1" applyAlignment="1" pivotButton="0" quotePrefix="0" xfId="0">
      <alignment horizontal="center" vertical="center"/>
    </xf>
    <xf numFmtId="0" fontId="202" fillId="24" borderId="1" applyAlignment="1" pivotButton="0" quotePrefix="0" xfId="0">
      <alignment horizontal="center" vertical="center"/>
    </xf>
    <xf numFmtId="0" fontId="203" fillId="9" borderId="1" applyAlignment="1" pivotButton="0" quotePrefix="0" xfId="0">
      <alignment horizontal="center" vertical="center"/>
    </xf>
    <xf numFmtId="0" fontId="78" fillId="67" borderId="1" applyAlignment="1" pivotButton="0" quotePrefix="0" xfId="0">
      <alignment vertical="center"/>
    </xf>
    <xf numFmtId="3" fontId="204" fillId="67" borderId="1" applyAlignment="1" pivotButton="0" quotePrefix="0" xfId="0">
      <alignment vertical="center"/>
    </xf>
    <xf numFmtId="0" fontId="205" fillId="52" borderId="1" applyAlignment="1" pivotButton="0" quotePrefix="0" xfId="0">
      <alignment vertical="center"/>
    </xf>
    <xf numFmtId="0" fontId="205" fillId="52" borderId="0" applyAlignment="1" pivotButton="0" quotePrefix="0" xfId="0">
      <alignment vertical="center"/>
    </xf>
    <xf numFmtId="3" fontId="204" fillId="16" borderId="0" applyAlignment="1" pivotButton="0" quotePrefix="0" xfId="0">
      <alignment vertical="center"/>
    </xf>
    <xf numFmtId="3" fontId="204" fillId="16" borderId="1" applyAlignment="1" pivotButton="0" quotePrefix="0" xfId="0">
      <alignment vertical="center"/>
    </xf>
    <xf numFmtId="3" fontId="205" fillId="52" borderId="0" applyAlignment="1" pivotButton="0" quotePrefix="0" xfId="0">
      <alignment vertical="center"/>
    </xf>
    <xf numFmtId="0" fontId="206" fillId="53" borderId="0" pivotButton="0" quotePrefix="0" xfId="0"/>
    <xf numFmtId="0" fontId="210" fillId="9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/>
    </xf>
    <xf numFmtId="0" fontId="211" fillId="0" borderId="1" applyAlignment="1" pivotButton="0" quotePrefix="0" xfId="0">
      <alignment horizontal="center" vertical="center" wrapText="1"/>
    </xf>
    <xf numFmtId="0" fontId="212" fillId="2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168" fillId="44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213" fillId="22" borderId="1" applyAlignment="1" pivotButton="0" quotePrefix="0" xfId="0">
      <alignment horizontal="center" vertical="center"/>
    </xf>
    <xf numFmtId="0" fontId="212" fillId="0" borderId="1" applyAlignment="1" pivotButton="0" quotePrefix="0" xfId="0">
      <alignment horizontal="center" vertical="center"/>
    </xf>
    <xf numFmtId="0" fontId="214" fillId="43" borderId="1" applyAlignment="1" pivotButton="0" quotePrefix="0" xfId="0">
      <alignment horizontal="left" vertical="center"/>
    </xf>
    <xf numFmtId="0" fontId="215" fillId="43" borderId="1" applyAlignment="1" pivotButton="0" quotePrefix="0" xfId="0">
      <alignment horizontal="left" vertical="center"/>
    </xf>
    <xf numFmtId="3" fontId="215" fillId="43" borderId="1" applyAlignment="1" pivotButton="0" quotePrefix="0" xfId="0">
      <alignment horizontal="center" vertical="center"/>
    </xf>
    <xf numFmtId="0" fontId="215" fillId="43" borderId="1" applyAlignment="1" pivotButton="0" quotePrefix="0" xfId="0">
      <alignment horizontal="center" vertical="center"/>
    </xf>
    <xf numFmtId="0" fontId="216" fillId="0" borderId="1" applyAlignment="1" pivotButton="0" quotePrefix="0" xfId="0">
      <alignment horizontal="center" vertical="center"/>
    </xf>
    <xf numFmtId="0" fontId="214" fillId="18" borderId="1" applyAlignment="1" pivotButton="0" quotePrefix="0" xfId="0">
      <alignment horizontal="left" vertical="center"/>
    </xf>
    <xf numFmtId="0" fontId="215" fillId="18" borderId="1" applyAlignment="1" pivotButton="0" quotePrefix="0" xfId="0">
      <alignment horizontal="left" vertical="center"/>
    </xf>
    <xf numFmtId="3" fontId="215" fillId="18" borderId="1" applyAlignment="1" pivotButton="0" quotePrefix="0" xfId="0">
      <alignment horizontal="center" vertical="center"/>
    </xf>
    <xf numFmtId="0" fontId="215" fillId="18" borderId="1" applyAlignment="1" pivotButton="0" quotePrefix="0" xfId="0">
      <alignment horizontal="center" vertical="center"/>
    </xf>
    <xf numFmtId="0" fontId="217" fillId="18" borderId="1" applyAlignment="1" pivotButton="0" quotePrefix="0" xfId="0">
      <alignment horizontal="center" vertical="center"/>
    </xf>
    <xf numFmtId="0" fontId="217" fillId="43" borderId="1" applyAlignment="1" pivotButton="0" quotePrefix="0" xfId="0">
      <alignment horizontal="center" vertical="center"/>
    </xf>
    <xf numFmtId="0" fontId="221" fillId="0" borderId="1" applyAlignment="1" pivotButton="0" quotePrefix="0" xfId="0">
      <alignment horizontal="left" vertical="center"/>
    </xf>
    <xf numFmtId="0" fontId="222" fillId="0" borderId="1" applyAlignment="1" pivotButton="0" quotePrefix="0" xfId="0">
      <alignment horizontal="left" vertical="center"/>
    </xf>
    <xf numFmtId="0" fontId="223" fillId="24" borderId="1" applyAlignment="1" pivotButton="0" quotePrefix="0" xfId="0">
      <alignment horizontal="center" vertical="center"/>
    </xf>
    <xf numFmtId="0" fontId="117" fillId="24" borderId="1" applyAlignment="1" pivotButton="0" quotePrefix="0" xfId="0">
      <alignment horizontal="center" vertical="center"/>
    </xf>
    <xf numFmtId="0" fontId="224" fillId="24" borderId="1" applyAlignment="1" pivotButton="0" quotePrefix="0" xfId="0">
      <alignment horizontal="center" vertical="center"/>
    </xf>
    <xf numFmtId="0" fontId="224" fillId="0" borderId="1" applyAlignment="1" pivotButton="0" quotePrefix="0" xfId="0">
      <alignment horizontal="center" vertical="center"/>
    </xf>
    <xf numFmtId="0" fontId="225" fillId="0" borderId="1" applyAlignment="1" pivotButton="0" quotePrefix="0" xfId="0">
      <alignment horizontal="center" vertical="center"/>
    </xf>
    <xf numFmtId="0" fontId="226" fillId="24" borderId="1" applyAlignment="1" pivotButton="0" quotePrefix="0" xfId="0">
      <alignment horizontal="center" vertical="center" wrapText="1"/>
    </xf>
    <xf numFmtId="0" fontId="117" fillId="28" borderId="1" applyAlignment="1" pivotButton="0" quotePrefix="0" xfId="0">
      <alignment horizontal="center" vertical="center"/>
    </xf>
    <xf numFmtId="0" fontId="227" fillId="17" borderId="1" applyAlignment="1" pivotButton="0" quotePrefix="0" xfId="0">
      <alignment horizontal="center" vertical="center"/>
    </xf>
    <xf numFmtId="0" fontId="228" fillId="17" borderId="1" applyAlignment="1" pivotButton="0" quotePrefix="0" xfId="0">
      <alignment horizontal="center" vertical="center"/>
    </xf>
    <xf numFmtId="0" fontId="228" fillId="17" borderId="1" applyAlignment="1" pivotButton="0" quotePrefix="0" xfId="0">
      <alignment horizontal="left" vertical="center"/>
    </xf>
    <xf numFmtId="0" fontId="229" fillId="52" borderId="1" applyAlignment="1" pivotButton="0" quotePrefix="0" xfId="0">
      <alignment horizontal="center" vertical="center"/>
    </xf>
    <xf numFmtId="0" fontId="230" fillId="17" borderId="1" applyAlignment="1" pivotButton="0" quotePrefix="0" xfId="0">
      <alignment horizontal="center" vertical="center"/>
    </xf>
    <xf numFmtId="0" fontId="231" fillId="52" borderId="1" applyAlignment="1" pivotButton="0" quotePrefix="0" xfId="0">
      <alignment horizontal="center" vertical="center"/>
    </xf>
    <xf numFmtId="0" fontId="232" fillId="17" borderId="1" applyAlignment="1" pivotButton="0" quotePrefix="0" xfId="0">
      <alignment horizontal="left" vertical="center"/>
    </xf>
    <xf numFmtId="0" fontId="148" fillId="17" borderId="1" applyAlignment="1" pivotButton="0" quotePrefix="0" xfId="0">
      <alignment horizontal="center" vertical="center"/>
    </xf>
    <xf numFmtId="0" fontId="211" fillId="18" borderId="1" applyAlignment="1" pivotButton="0" quotePrefix="0" xfId="0">
      <alignment horizontal="center" vertical="center"/>
    </xf>
    <xf numFmtId="0" fontId="21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32" fillId="17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28" fillId="0" borderId="1" applyAlignment="1" pivotButton="0" quotePrefix="0" xfId="0">
      <alignment horizontal="center" vertical="center"/>
    </xf>
    <xf numFmtId="0" fontId="233" fillId="17" borderId="1" applyAlignment="1" pivotButton="0" quotePrefix="0" xfId="0">
      <alignment horizontal="center" vertical="center"/>
    </xf>
    <xf numFmtId="0" fontId="223" fillId="55" borderId="1" applyAlignment="1" pivotButton="0" quotePrefix="0" xfId="0">
      <alignment horizontal="center" vertical="center"/>
    </xf>
    <xf numFmtId="0" fontId="226" fillId="3" borderId="1" applyAlignment="1" pivotButton="0" quotePrefix="0" xfId="0">
      <alignment horizontal="center" vertical="center"/>
    </xf>
    <xf numFmtId="0" fontId="223" fillId="0" borderId="1" applyAlignment="1" pivotButton="0" quotePrefix="0" xfId="0">
      <alignment horizontal="center" vertical="center"/>
    </xf>
    <xf numFmtId="0" fontId="228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27" fillId="21" borderId="1" applyAlignment="1" pivotButton="0" quotePrefix="0" xfId="0">
      <alignment horizontal="left" vertical="center"/>
    </xf>
    <xf numFmtId="0" fontId="228" fillId="0" borderId="1" applyAlignment="1" pivotButton="0" quotePrefix="0" xfId="0">
      <alignment horizontal="left" vertical="center"/>
    </xf>
    <xf numFmtId="0" fontId="228" fillId="4" borderId="1" applyAlignment="1" pivotButton="0" quotePrefix="0" xfId="0">
      <alignment horizontal="center" vertical="center"/>
    </xf>
    <xf numFmtId="0" fontId="234" fillId="0" borderId="1" applyAlignment="1" pivotButton="0" quotePrefix="0" xfId="0">
      <alignment horizontal="left" vertical="center"/>
    </xf>
    <xf numFmtId="0" fontId="226" fillId="55" borderId="1" applyAlignment="1" pivotButton="0" quotePrefix="0" xfId="0">
      <alignment horizontal="center" vertical="center"/>
    </xf>
    <xf numFmtId="0" fontId="226" fillId="55" borderId="1" applyAlignment="1" pivotButton="0" quotePrefix="0" xfId="0">
      <alignment horizontal="left" vertical="center"/>
    </xf>
    <xf numFmtId="0" fontId="228" fillId="6" borderId="1" applyAlignment="1" pivotButton="0" quotePrefix="0" xfId="0">
      <alignment horizontal="center" vertical="center"/>
    </xf>
    <xf numFmtId="0" fontId="235" fillId="0" borderId="1" applyAlignment="1" pivotButton="0" quotePrefix="0" xfId="0">
      <alignment horizontal="center" vertical="center"/>
    </xf>
    <xf numFmtId="0" fontId="237" fillId="5" borderId="1" applyAlignment="1" pivotButton="0" quotePrefix="0" xfId="0">
      <alignment horizontal="center" vertical="center"/>
    </xf>
    <xf numFmtId="0" fontId="233" fillId="57" borderId="1" applyAlignment="1" pivotButton="0" quotePrefix="0" xfId="0">
      <alignment horizontal="center" vertical="center" wrapText="1"/>
    </xf>
    <xf numFmtId="0" fontId="246" fillId="51" borderId="1" applyAlignment="1" pivotButton="0" quotePrefix="0" xfId="0">
      <alignment horizontal="center" vertical="center" wrapText="1"/>
    </xf>
    <xf numFmtId="0" fontId="247" fillId="5" borderId="1" applyAlignment="1" pivotButton="0" quotePrefix="0" xfId="0">
      <alignment horizontal="center" vertical="center"/>
    </xf>
    <xf numFmtId="0" fontId="248" fillId="5" borderId="1" applyAlignment="1" pivotButton="0" quotePrefix="0" xfId="0">
      <alignment horizontal="center" vertical="center"/>
    </xf>
    <xf numFmtId="0" fontId="249" fillId="5" borderId="1" applyAlignment="1" pivotButton="0" quotePrefix="0" xfId="0">
      <alignment horizontal="center" vertical="center"/>
    </xf>
    <xf numFmtId="0" fontId="247" fillId="18" borderId="1" applyAlignment="1" pivotButton="0" quotePrefix="0" xfId="0">
      <alignment horizontal="center" vertical="center"/>
    </xf>
    <xf numFmtId="0" fontId="248" fillId="18" borderId="1" applyAlignment="1" pivotButton="0" quotePrefix="0" xfId="0">
      <alignment horizontal="center" vertical="center"/>
    </xf>
    <xf numFmtId="0" fontId="249" fillId="18" borderId="1" applyAlignment="1" pivotButton="0" quotePrefix="0" xfId="0">
      <alignment horizontal="center" vertical="center"/>
    </xf>
    <xf numFmtId="0" fontId="247" fillId="0" borderId="1" applyAlignment="1" pivotButton="0" quotePrefix="0" xfId="0">
      <alignment horizontal="center" vertical="center"/>
    </xf>
    <xf numFmtId="0" fontId="248" fillId="0" borderId="1" applyAlignment="1" pivotButton="0" quotePrefix="0" xfId="0">
      <alignment horizontal="center" vertical="center"/>
    </xf>
    <xf numFmtId="0" fontId="92" fillId="54" borderId="1" applyAlignment="1" pivotButton="0" quotePrefix="0" xfId="0">
      <alignment horizontal="center" vertical="center"/>
    </xf>
    <xf numFmtId="0" fontId="92" fillId="18" borderId="1" applyAlignment="1" pivotButton="0" quotePrefix="0" xfId="0">
      <alignment horizontal="center" vertical="center"/>
    </xf>
    <xf numFmtId="0" fontId="215" fillId="0" borderId="1" applyAlignment="1" pivotButton="0" quotePrefix="0" xfId="0">
      <alignment horizontal="center" vertical="center"/>
    </xf>
    <xf numFmtId="0" fontId="252" fillId="0" borderId="1" applyAlignment="1" pivotButton="0" quotePrefix="0" xfId="0">
      <alignment horizontal="left" vertical="center"/>
    </xf>
    <xf numFmtId="0" fontId="235" fillId="52" borderId="1" applyAlignment="1" pivotButton="0" quotePrefix="0" xfId="0">
      <alignment horizontal="center" vertical="center"/>
    </xf>
    <xf numFmtId="0" fontId="253" fillId="43" borderId="1" applyAlignment="1" pivotButton="0" quotePrefix="0" xfId="0">
      <alignment horizontal="left" vertical="center"/>
    </xf>
    <xf numFmtId="0" fontId="133" fillId="5" borderId="1" applyAlignment="1" pivotButton="0" quotePrefix="0" xfId="0">
      <alignment horizontal="center" vertical="center"/>
    </xf>
    <xf numFmtId="0" fontId="233" fillId="0" borderId="1" applyAlignment="1" pivotButton="0" quotePrefix="0" xfId="0">
      <alignment horizontal="left" vertical="center"/>
    </xf>
    <xf numFmtId="0" fontId="254" fillId="0" borderId="1" applyAlignment="1" pivotButton="0" quotePrefix="0" xfId="0">
      <alignment horizontal="left" vertical="center" wrapText="1"/>
    </xf>
    <xf numFmtId="0" fontId="235" fillId="5" borderId="1" applyAlignment="1" pivotButton="0" quotePrefix="0" xfId="0">
      <alignment horizontal="center" vertical="center"/>
    </xf>
    <xf numFmtId="0" fontId="117" fillId="51" borderId="1" applyAlignment="1" pivotButton="0" quotePrefix="0" xfId="0">
      <alignment horizontal="center" vertical="center" wrapText="1"/>
    </xf>
    <xf numFmtId="0" fontId="119" fillId="43" borderId="1" applyAlignment="1" pivotButton="0" quotePrefix="0" xfId="0">
      <alignment horizontal="center" vertical="center"/>
    </xf>
    <xf numFmtId="0" fontId="211" fillId="43" borderId="1" applyAlignment="1" pivotButton="0" quotePrefix="0" xfId="0">
      <alignment horizontal="center" vertical="center"/>
    </xf>
    <xf numFmtId="0" fontId="255" fillId="0" borderId="1" applyAlignment="1" pivotButton="0" quotePrefix="0" xfId="0">
      <alignment horizontal="center" vertical="center"/>
    </xf>
    <xf numFmtId="0" fontId="256" fillId="54" borderId="1" applyAlignment="1" pivotButton="0" quotePrefix="0" xfId="0">
      <alignment horizontal="center" vertical="center"/>
    </xf>
    <xf numFmtId="0" fontId="257" fillId="56" borderId="1" applyAlignment="1" pivotButton="0" quotePrefix="0" xfId="0">
      <alignment horizontal="center" vertical="center"/>
    </xf>
    <xf numFmtId="0" fontId="119" fillId="18" borderId="1" applyAlignment="1" pivotButton="0" quotePrefix="0" xfId="0">
      <alignment horizontal="center" vertical="center"/>
    </xf>
    <xf numFmtId="0" fontId="258" fillId="5" borderId="1" applyAlignment="1" pivotButton="0" quotePrefix="0" xfId="0">
      <alignment horizontal="center" vertical="center"/>
    </xf>
    <xf numFmtId="0" fontId="235" fillId="0" borderId="1" applyAlignment="1" pivotButton="0" quotePrefix="0" xfId="0">
      <alignment horizontal="left" vertical="center"/>
    </xf>
    <xf numFmtId="0" fontId="87" fillId="55" borderId="1" applyAlignment="1" pivotButton="0" quotePrefix="0" xfId="0">
      <alignment horizontal="center" vertical="center" wrapText="1"/>
    </xf>
    <xf numFmtId="0" fontId="258" fillId="0" borderId="1" applyAlignment="1" pivotButton="0" quotePrefix="0" xfId="0">
      <alignment horizontal="center" vertical="center" wrapText="1"/>
    </xf>
    <xf numFmtId="0" fontId="258" fillId="17" borderId="1" applyAlignment="1" pivotButton="0" quotePrefix="0" xfId="0">
      <alignment horizontal="right" vertical="center"/>
    </xf>
    <xf numFmtId="0" fontId="260" fillId="0" borderId="1" applyAlignment="1" pivotButton="0" quotePrefix="0" xfId="0">
      <alignment horizontal="center" vertical="center"/>
    </xf>
    <xf numFmtId="0" fontId="88" fillId="0" borderId="1" applyAlignment="1" pivotButton="0" quotePrefix="0" xfId="0">
      <alignment horizontal="right" vertical="center"/>
    </xf>
    <xf numFmtId="0" fontId="119" fillId="43" borderId="1" applyAlignment="1" pivotButton="0" quotePrefix="0" xfId="0">
      <alignment horizontal="left" vertical="center"/>
    </xf>
    <xf numFmtId="0" fontId="229" fillId="52" borderId="1" applyAlignment="1" pivotButton="0" quotePrefix="0" xfId="0">
      <alignment horizontal="left" vertical="center"/>
    </xf>
    <xf numFmtId="0" fontId="211" fillId="43" borderId="1" applyAlignment="1" pivotButton="0" quotePrefix="0" xfId="0">
      <alignment horizontal="left" vertical="center"/>
    </xf>
    <xf numFmtId="0" fontId="255" fillId="17" borderId="1" applyAlignment="1" pivotButton="0" quotePrefix="0" xfId="0">
      <alignment horizontal="left" vertical="center"/>
    </xf>
    <xf numFmtId="0" fontId="256" fillId="54" borderId="1" applyAlignment="1" pivotButton="0" quotePrefix="0" xfId="0">
      <alignment horizontal="left" vertical="center"/>
    </xf>
    <xf numFmtId="0" fontId="233" fillId="43" borderId="1" applyAlignment="1" pivotButton="0" quotePrefix="0" xfId="0">
      <alignment horizontal="left" vertical="center"/>
    </xf>
    <xf numFmtId="0" fontId="252" fillId="43" borderId="1" applyAlignment="1" pivotButton="0" quotePrefix="0" xfId="0">
      <alignment horizontal="left" vertical="center"/>
    </xf>
    <xf numFmtId="0" fontId="119" fillId="18" borderId="1" applyAlignment="1" pivotButton="0" quotePrefix="0" xfId="0">
      <alignment horizontal="left" vertical="center"/>
    </xf>
    <xf numFmtId="0" fontId="211" fillId="18" borderId="1" applyAlignment="1" pivotButton="0" quotePrefix="0" xfId="0">
      <alignment horizontal="left" vertical="center"/>
    </xf>
    <xf numFmtId="0" fontId="233" fillId="18" borderId="1" applyAlignment="1" pivotButton="0" quotePrefix="0" xfId="0">
      <alignment horizontal="left" vertical="center"/>
    </xf>
    <xf numFmtId="0" fontId="252" fillId="18" borderId="1" applyAlignment="1" pivotButton="0" quotePrefix="0" xfId="0">
      <alignment horizontal="left" vertical="center"/>
    </xf>
    <xf numFmtId="0" fontId="119" fillId="0" borderId="1" applyAlignment="1" pivotButton="0" quotePrefix="0" xfId="0">
      <alignment horizontal="left" vertical="center"/>
    </xf>
    <xf numFmtId="0" fontId="229" fillId="0" borderId="1" applyAlignment="1" pivotButton="0" quotePrefix="0" xfId="0">
      <alignment horizontal="left" vertical="center"/>
    </xf>
    <xf numFmtId="0" fontId="211" fillId="0" borderId="1" applyAlignment="1" pivotButton="0" quotePrefix="0" xfId="0">
      <alignment horizontal="left" vertical="center"/>
    </xf>
    <xf numFmtId="0" fontId="255" fillId="0" borderId="1" applyAlignment="1" pivotButton="0" quotePrefix="0" xfId="0">
      <alignment horizontal="left" vertical="center"/>
    </xf>
    <xf numFmtId="0" fontId="256" fillId="0" borderId="1" applyAlignment="1" pivotButton="0" quotePrefix="0" xfId="0">
      <alignment horizontal="left" vertical="center"/>
    </xf>
    <xf numFmtId="0" fontId="117" fillId="8" borderId="1" applyAlignment="1" pivotButton="0" quotePrefix="0" xfId="0">
      <alignment horizontal="center" vertical="center" wrapText="1"/>
    </xf>
    <xf numFmtId="0" fontId="211" fillId="4" borderId="1" applyAlignment="1" pivotButton="0" quotePrefix="0" xfId="0">
      <alignment horizontal="left" vertical="center"/>
    </xf>
    <xf numFmtId="0" fontId="211" fillId="4" borderId="1" applyAlignment="1" pivotButton="0" quotePrefix="0" xfId="0">
      <alignment horizontal="center" vertical="center"/>
    </xf>
    <xf numFmtId="0" fontId="119" fillId="4" borderId="1" applyAlignment="1" pivotButton="0" quotePrefix="0" xfId="0">
      <alignment horizontal="center" vertical="center"/>
    </xf>
    <xf numFmtId="0" fontId="119" fillId="54" borderId="1" applyAlignment="1" pivotButton="0" quotePrefix="0" xfId="0">
      <alignment horizontal="center" vertical="center"/>
    </xf>
    <xf numFmtId="0" fontId="255" fillId="17" borderId="1" applyAlignment="1" pivotButton="0" quotePrefix="0" xfId="0">
      <alignment horizontal="center" vertical="center"/>
    </xf>
    <xf numFmtId="0" fontId="119" fillId="17" borderId="1" applyAlignment="1" pivotButton="0" quotePrefix="0" xfId="0">
      <alignment horizontal="center" vertical="center"/>
    </xf>
    <xf numFmtId="0" fontId="119" fillId="0" borderId="1" applyAlignment="1" pivotButton="0" quotePrefix="0" xfId="0">
      <alignment horizontal="center" vertical="center"/>
    </xf>
    <xf numFmtId="0" fontId="256" fillId="0" borderId="1" applyAlignment="1" pivotButton="0" quotePrefix="0" xfId="0">
      <alignment horizontal="center" vertical="center"/>
    </xf>
    <xf numFmtId="0" fontId="211" fillId="21" borderId="1" applyAlignment="1" pivotButton="0" quotePrefix="0" xfId="0">
      <alignment horizontal="left" vertical="center"/>
    </xf>
    <xf numFmtId="0" fontId="263" fillId="56" borderId="1" applyAlignment="1" pivotButton="0" quotePrefix="0" xfId="0">
      <alignment horizontal="center" vertical="center"/>
    </xf>
    <xf numFmtId="0" fontId="264" fillId="0" borderId="1" applyAlignment="1" pivotButton="0" quotePrefix="0" xfId="0">
      <alignment horizontal="left" vertical="center"/>
    </xf>
    <xf numFmtId="0" fontId="117" fillId="3" borderId="1" applyAlignment="1" pivotButton="0" quotePrefix="0" xfId="0">
      <alignment horizontal="center" vertical="center" wrapText="1"/>
    </xf>
    <xf numFmtId="0" fontId="265" fillId="0" borderId="1" applyAlignment="1" pivotButton="0" quotePrefix="0" xfId="0">
      <alignment horizontal="center" vertical="center"/>
    </xf>
    <xf numFmtId="0" fontId="266" fillId="21" borderId="1" applyAlignment="1" pivotButton="0" quotePrefix="0" xfId="0">
      <alignment horizontal="center" vertical="center"/>
    </xf>
    <xf numFmtId="0" fontId="267" fillId="56" borderId="1" applyAlignment="1" pivotButton="0" quotePrefix="0" xfId="0">
      <alignment horizontal="center" vertical="center"/>
    </xf>
    <xf numFmtId="0" fontId="250" fillId="0" borderId="1" applyAlignment="1" pivotButton="0" quotePrefix="0" xfId="0">
      <alignment horizontal="center" vertical="center"/>
    </xf>
    <xf numFmtId="0" fontId="250" fillId="18" borderId="1" applyAlignment="1" pivotButton="0" quotePrefix="0" xfId="0">
      <alignment horizontal="center" vertical="center"/>
    </xf>
    <xf numFmtId="0" fontId="266" fillId="0" borderId="1" applyAlignment="1" pivotButton="0" quotePrefix="0" xfId="0">
      <alignment horizontal="center" vertical="center"/>
    </xf>
    <xf numFmtId="0" fontId="267" fillId="0" borderId="1" applyAlignment="1" pivotButton="0" quotePrefix="0" xfId="0">
      <alignment horizontal="center" vertical="center"/>
    </xf>
    <xf numFmtId="0" fontId="268" fillId="4" borderId="1" applyAlignment="1" pivotButton="0" quotePrefix="0" xfId="0">
      <alignment horizontal="left" vertical="center"/>
    </xf>
    <xf numFmtId="0" fontId="268" fillId="4" borderId="1" applyAlignment="1" pivotButton="0" quotePrefix="0" xfId="0">
      <alignment horizontal="center" vertical="center"/>
    </xf>
    <xf numFmtId="0" fontId="269" fillId="0" borderId="1" applyAlignment="1" pivotButton="0" quotePrefix="0" xfId="0">
      <alignment horizontal="left" vertical="center"/>
    </xf>
    <xf numFmtId="0" fontId="269" fillId="0" borderId="1" applyAlignment="1" pivotButton="0" quotePrefix="0" xfId="0">
      <alignment horizontal="center" vertical="center"/>
    </xf>
    <xf numFmtId="0" fontId="270" fillId="37" borderId="1" applyAlignment="1" pivotButton="0" quotePrefix="0" xfId="0">
      <alignment horizontal="left" vertical="center"/>
    </xf>
    <xf numFmtId="0" fontId="270" fillId="37" borderId="1" applyAlignment="1" pivotButton="0" quotePrefix="0" xfId="0">
      <alignment horizontal="center" vertical="center"/>
    </xf>
    <xf numFmtId="0" fontId="90" fillId="51" borderId="1" applyAlignment="1" pivotButton="0" quotePrefix="0" xfId="0">
      <alignment horizontal="center" vertical="center" wrapText="1"/>
    </xf>
    <xf numFmtId="0" fontId="271" fillId="51" borderId="1" applyAlignment="1" pivotButton="0" quotePrefix="0" xfId="0">
      <alignment horizontal="center" vertical="center" wrapText="1"/>
    </xf>
    <xf numFmtId="0" fontId="271" fillId="0" borderId="1" applyAlignment="1" pivotButton="0" quotePrefix="0" xfId="0">
      <alignment horizontal="center" vertical="center" wrapText="1"/>
    </xf>
    <xf numFmtId="0" fontId="248" fillId="0" borderId="1" applyAlignment="1" pivotButton="0" quotePrefix="0" xfId="0">
      <alignment horizontal="right" vertical="center" wrapText="1"/>
    </xf>
    <xf numFmtId="0" fontId="272" fillId="0" borderId="1" applyAlignment="1" pivotButton="0" quotePrefix="0" xfId="0">
      <alignment horizontal="center" vertical="center" wrapText="1"/>
    </xf>
    <xf numFmtId="0" fontId="273" fillId="4" borderId="1" applyAlignment="1" pivotButton="0" quotePrefix="0" xfId="0">
      <alignment horizontal="center" vertical="center"/>
    </xf>
    <xf numFmtId="0" fontId="248" fillId="0" borderId="1" applyAlignment="1" pivotButton="0" quotePrefix="0" xfId="0">
      <alignment horizontal="center" vertical="center" wrapText="1"/>
    </xf>
    <xf numFmtId="0" fontId="274" fillId="52" borderId="1" applyAlignment="1" pivotButton="0" quotePrefix="0" xfId="0">
      <alignment horizontal="center" vertical="center" wrapText="1"/>
    </xf>
    <xf numFmtId="0" fontId="275" fillId="52" borderId="1" applyAlignment="1" pivotButton="0" quotePrefix="0" xfId="0">
      <alignment horizontal="center" vertical="center"/>
    </xf>
    <xf numFmtId="0" fontId="274" fillId="21" borderId="1" applyAlignment="1" pivotButton="0" quotePrefix="0" xfId="0">
      <alignment horizontal="center" vertical="center" wrapText="1"/>
    </xf>
    <xf numFmtId="0" fontId="271" fillId="58" borderId="1" applyAlignment="1" pivotButton="0" quotePrefix="0" xfId="0">
      <alignment horizontal="center" vertical="center" wrapText="1"/>
    </xf>
    <xf numFmtId="0" fontId="271" fillId="8" borderId="1" applyAlignment="1" pivotButton="0" quotePrefix="0" xfId="0">
      <alignment horizontal="center" vertical="center" wrapText="1"/>
    </xf>
    <xf numFmtId="0" fontId="273" fillId="0" borderId="1" applyAlignment="1" pivotButton="0" quotePrefix="0" xfId="0">
      <alignment horizontal="center" vertical="center"/>
    </xf>
    <xf numFmtId="0" fontId="246" fillId="38" borderId="1" applyAlignment="1" pivotButton="0" quotePrefix="0" xfId="0">
      <alignment horizontal="center" vertical="center" wrapText="1"/>
    </xf>
    <xf numFmtId="0" fontId="117" fillId="38" borderId="1" applyAlignment="1" pivotButton="0" quotePrefix="0" xfId="0">
      <alignment horizontal="center" vertical="center" wrapText="1"/>
    </xf>
    <xf numFmtId="0" fontId="235" fillId="0" borderId="1" applyAlignment="1" pivotButton="0" quotePrefix="0" xfId="0">
      <alignment horizontal="left" vertical="center" wrapText="1"/>
    </xf>
    <xf numFmtId="0" fontId="235" fillId="0" borderId="1" applyAlignment="1" pivotButton="0" quotePrefix="0" xfId="0">
      <alignment horizontal="right" vertical="center" wrapText="1"/>
    </xf>
    <xf numFmtId="0" fontId="235" fillId="0" borderId="1" applyAlignment="1" pivotButton="0" quotePrefix="0" xfId="0">
      <alignment horizontal="center" vertical="center" wrapText="1"/>
    </xf>
    <xf numFmtId="0" fontId="235" fillId="18" borderId="1" applyAlignment="1" pivotButton="0" quotePrefix="0" xfId="0">
      <alignment horizontal="left" vertical="center" wrapText="1"/>
    </xf>
    <xf numFmtId="0" fontId="235" fillId="18" borderId="1" applyAlignment="1" pivotButton="0" quotePrefix="0" xfId="0">
      <alignment horizontal="right" vertical="center" wrapText="1"/>
    </xf>
    <xf numFmtId="0" fontId="235" fillId="18" borderId="1" applyAlignment="1" pivotButton="0" quotePrefix="0" xfId="0">
      <alignment horizontal="center" vertical="center" wrapText="1"/>
    </xf>
    <xf numFmtId="0" fontId="276" fillId="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 wrapText="1"/>
    </xf>
    <xf numFmtId="0" fontId="281" fillId="0" borderId="1" applyAlignment="1" pivotButton="0" quotePrefix="0" xfId="0">
      <alignment horizontal="left" vertical="center" wrapText="1"/>
    </xf>
    <xf numFmtId="0" fontId="88" fillId="56" borderId="1" applyAlignment="1" pivotButton="0" quotePrefix="0" xfId="0">
      <alignment horizontal="center" vertical="center" wrapText="1"/>
    </xf>
    <xf numFmtId="0" fontId="88" fillId="54" borderId="1" applyAlignment="1" pivotButton="0" quotePrefix="0" xfId="0">
      <alignment horizontal="center" vertical="center" wrapText="1"/>
    </xf>
    <xf numFmtId="0" fontId="174" fillId="9" borderId="1" applyAlignment="1" pivotButton="0" quotePrefix="0" xfId="0">
      <alignment horizontal="center" vertical="center" wrapText="1"/>
    </xf>
    <xf numFmtId="0" fontId="97" fillId="39" borderId="1" applyAlignment="1" pivotButton="0" quotePrefix="0" xfId="0">
      <alignment horizontal="center" vertical="center" wrapText="1"/>
    </xf>
    <xf numFmtId="0" fontId="283" fillId="0" borderId="1" applyAlignment="1" pivotButton="0" quotePrefix="0" xfId="0">
      <alignment horizontal="center" vertical="center" wrapText="1"/>
    </xf>
    <xf numFmtId="0" fontId="284" fillId="40" borderId="1" applyAlignment="1" pivotButton="0" quotePrefix="0" xfId="0">
      <alignment horizontal="center" vertical="center" wrapText="1"/>
    </xf>
    <xf numFmtId="0" fontId="285" fillId="40" borderId="1" applyAlignment="1" pivotButton="0" quotePrefix="0" xfId="0">
      <alignment horizontal="center" vertical="center" wrapText="1"/>
    </xf>
    <xf numFmtId="0" fontId="97" fillId="0" borderId="1" applyAlignment="1" pivotButton="0" quotePrefix="0" xfId="0">
      <alignment horizontal="center" vertical="center" wrapText="1"/>
    </xf>
    <xf numFmtId="0" fontId="235" fillId="0" borderId="1" applyAlignment="1" pivotButton="0" quotePrefix="0" xfId="0">
      <alignment horizontal="right" vertical="center"/>
    </xf>
    <xf numFmtId="0" fontId="88" fillId="44" borderId="1" applyAlignment="1" pivotButton="0" quotePrefix="0" xfId="0">
      <alignment horizontal="center" vertical="center" wrapText="1"/>
    </xf>
    <xf numFmtId="0" fontId="104" fillId="0" borderId="1" applyAlignment="1" pivotButton="0" quotePrefix="0" xfId="0">
      <alignment horizontal="center" vertical="center"/>
    </xf>
    <xf numFmtId="0" fontId="104" fillId="0" borderId="1" applyAlignment="1" pivotButton="0" quotePrefix="0" xfId="0">
      <alignment horizontal="left" vertical="center"/>
    </xf>
    <xf numFmtId="0" fontId="286" fillId="0" borderId="1" applyAlignment="1" pivotButton="0" quotePrefix="0" xfId="0">
      <alignment horizontal="right" vertical="center"/>
    </xf>
    <xf numFmtId="0" fontId="88" fillId="5" borderId="1" applyAlignment="1" pivotButton="0" quotePrefix="0" xfId="0">
      <alignment horizontal="center" vertical="center" wrapText="1"/>
    </xf>
    <xf numFmtId="0" fontId="287" fillId="0" borderId="1" applyAlignment="1" pivotButton="0" quotePrefix="0" xfId="0">
      <alignment horizontal="right" vertical="center"/>
    </xf>
    <xf numFmtId="0" fontId="288" fillId="0" borderId="1" applyAlignment="1" pivotButton="0" quotePrefix="0" xfId="0">
      <alignment horizontal="left" vertical="center"/>
    </xf>
    <xf numFmtId="0" fontId="88" fillId="22" borderId="1" applyAlignment="1" pivotButton="0" quotePrefix="0" xfId="0">
      <alignment horizontal="center" vertical="center" wrapText="1"/>
    </xf>
    <xf numFmtId="0" fontId="108" fillId="0" borderId="1" applyAlignment="1" pivotButton="0" quotePrefix="0" xfId="0">
      <alignment horizontal="center" vertical="center"/>
    </xf>
    <xf numFmtId="0" fontId="289" fillId="26" borderId="1" applyAlignment="1" pivotButton="0" quotePrefix="0" xfId="0">
      <alignment horizontal="center" vertical="center" wrapText="1"/>
    </xf>
    <xf numFmtId="0" fontId="283" fillId="0" borderId="1" applyAlignment="1" pivotButton="0" quotePrefix="0" xfId="0">
      <alignment horizontal="center" vertical="center"/>
    </xf>
    <xf numFmtId="0" fontId="284" fillId="26" borderId="1" applyAlignment="1" pivotButton="0" quotePrefix="0" xfId="0">
      <alignment horizontal="center" vertical="center" wrapText="1"/>
    </xf>
    <xf numFmtId="0" fontId="100" fillId="0" borderId="1" applyAlignment="1" pivotButton="0" quotePrefix="0" xfId="0">
      <alignment horizontal="center" vertical="center" wrapText="1"/>
    </xf>
    <xf numFmtId="0" fontId="100" fillId="0" borderId="1" applyAlignment="1" pivotButton="0" quotePrefix="0" xfId="0">
      <alignment horizontal="left" vertical="center"/>
    </xf>
    <xf numFmtId="0" fontId="101" fillId="32" borderId="1" applyAlignment="1" pivotButton="0" quotePrefix="0" xfId="0">
      <alignment horizontal="right" vertical="center"/>
    </xf>
    <xf numFmtId="0" fontId="288" fillId="0" borderId="1" applyAlignment="1" pivotButton="0" quotePrefix="0" xfId="0">
      <alignment horizontal="right" vertical="center"/>
    </xf>
    <xf numFmtId="0" fontId="292" fillId="0" borderId="1" applyAlignment="1" pivotButton="0" quotePrefix="0" xfId="0">
      <alignment horizontal="right" vertical="center"/>
    </xf>
    <xf numFmtId="0" fontId="106" fillId="26" borderId="1" applyAlignment="1" pivotButton="0" quotePrefix="0" xfId="0">
      <alignment horizontal="center" vertical="center" wrapText="1"/>
    </xf>
    <xf numFmtId="0" fontId="100" fillId="39" borderId="1" applyAlignment="1" pivotButton="0" quotePrefix="0" xfId="0">
      <alignment horizontal="left" vertical="center"/>
    </xf>
    <xf numFmtId="0" fontId="288" fillId="39" borderId="1" applyAlignment="1" pivotButton="0" quotePrefix="0" xfId="0">
      <alignment horizontal="left" vertical="center"/>
    </xf>
    <xf numFmtId="0" fontId="101" fillId="39" borderId="1" applyAlignment="1" pivotButton="0" quotePrefix="0" xfId="0">
      <alignment horizontal="right" vertical="center"/>
    </xf>
    <xf numFmtId="0" fontId="288" fillId="39" borderId="1" applyAlignment="1" pivotButton="0" quotePrefix="0" xfId="0">
      <alignment horizontal="right" vertical="center"/>
    </xf>
    <xf numFmtId="0" fontId="292" fillId="39" borderId="1" applyAlignment="1" pivotButton="0" quotePrefix="0" xfId="0">
      <alignment horizontal="right" vertical="center"/>
    </xf>
    <xf numFmtId="0" fontId="100" fillId="39" borderId="1" applyAlignment="1" pivotButton="0" quotePrefix="0" xfId="0">
      <alignment horizontal="right" vertical="center"/>
    </xf>
    <xf numFmtId="0" fontId="101" fillId="0" borderId="1" applyAlignment="1" pivotButton="0" quotePrefix="0" xfId="0">
      <alignment horizontal="right" vertical="center"/>
    </xf>
    <xf numFmtId="0" fontId="100" fillId="0" borderId="1" applyAlignment="1" pivotButton="0" quotePrefix="0" xfId="0">
      <alignment horizontal="right" vertical="center"/>
    </xf>
    <xf numFmtId="0" fontId="293" fillId="0" borderId="1" applyAlignment="1" pivotButton="0" quotePrefix="0" xfId="0">
      <alignment horizontal="center" vertical="center" wrapText="1"/>
    </xf>
    <xf numFmtId="0" fontId="294" fillId="0" borderId="1" applyAlignment="1" pivotButton="0" quotePrefix="0" xfId="0">
      <alignment horizontal="right" vertical="center"/>
    </xf>
    <xf numFmtId="0" fontId="295" fillId="0" borderId="1" applyAlignment="1" pivotButton="0" quotePrefix="0" xfId="0">
      <alignment horizontal="left" vertical="center" wrapText="1"/>
    </xf>
    <xf numFmtId="0" fontId="292" fillId="0" borderId="1" applyAlignment="1" pivotButton="0" quotePrefix="0" xfId="0">
      <alignment horizontal="left" vertical="center" wrapText="1"/>
    </xf>
    <xf numFmtId="0" fontId="235" fillId="5" borderId="1" applyAlignment="1" pivotButton="0" quotePrefix="0" xfId="0">
      <alignment horizontal="center" vertical="center" wrapText="1"/>
    </xf>
    <xf numFmtId="0" fontId="235" fillId="17" borderId="1" applyAlignment="1" pivotButton="0" quotePrefix="0" xfId="0">
      <alignment horizontal="center" vertical="center" wrapText="1"/>
    </xf>
    <xf numFmtId="0" fontId="235" fillId="6" borderId="1" applyAlignment="1" pivotButton="0" quotePrefix="0" xfId="0">
      <alignment horizontal="center" vertical="center" wrapText="1"/>
    </xf>
    <xf numFmtId="0" fontId="235" fillId="44" borderId="1" applyAlignment="1" pivotButton="0" quotePrefix="0" xfId="0">
      <alignment horizontal="center" vertical="center" wrapText="1"/>
    </xf>
    <xf numFmtId="0" fontId="110" fillId="38" borderId="1" applyAlignment="1" pivotButton="0" quotePrefix="0" xfId="0">
      <alignment horizontal="center" vertical="center" wrapText="1"/>
    </xf>
    <xf numFmtId="0" fontId="292" fillId="49" borderId="1" applyAlignment="1" pivotButton="0" quotePrefix="0" xfId="0">
      <alignment horizontal="center" vertical="center" wrapText="1"/>
    </xf>
    <xf numFmtId="0" fontId="101" fillId="49" borderId="1" applyAlignment="1" pivotButton="0" quotePrefix="0" xfId="0">
      <alignment horizontal="center" vertical="center" wrapText="1"/>
    </xf>
    <xf numFmtId="0" fontId="293" fillId="49" borderId="1" applyAlignment="1" pivotButton="0" quotePrefix="0" xfId="0">
      <alignment horizontal="center" vertical="center" wrapText="1"/>
    </xf>
    <xf numFmtId="0" fontId="100" fillId="49" borderId="1" applyAlignment="1" pivotButton="0" quotePrefix="0" xfId="0">
      <alignment horizontal="center" vertical="center" wrapText="1"/>
    </xf>
    <xf numFmtId="0" fontId="108" fillId="49" borderId="1" applyAlignment="1" pivotButton="0" quotePrefix="0" xfId="0">
      <alignment horizontal="center" vertical="center" wrapText="1"/>
    </xf>
    <xf numFmtId="0" fontId="97" fillId="49" borderId="1" applyAlignment="1" pivotButton="0" quotePrefix="0" xfId="0">
      <alignment horizontal="center" vertical="center" wrapText="1"/>
    </xf>
    <xf numFmtId="0" fontId="288" fillId="41" borderId="1" applyAlignment="1" pivotButton="0" quotePrefix="0" xfId="0">
      <alignment horizontal="right" vertical="center"/>
    </xf>
    <xf numFmtId="0" fontId="300" fillId="41" borderId="1" applyAlignment="1" pivotButton="0" quotePrefix="0" xfId="0">
      <alignment horizontal="right" vertical="center"/>
    </xf>
    <xf numFmtId="0" fontId="103" fillId="41" borderId="1" applyAlignment="1" pivotButton="0" quotePrefix="0" xfId="0">
      <alignment horizontal="right" vertical="center"/>
    </xf>
    <xf numFmtId="0" fontId="301" fillId="41" borderId="1" applyAlignment="1" pivotButton="0" quotePrefix="0" xfId="0">
      <alignment horizontal="left" vertical="center"/>
    </xf>
    <xf numFmtId="0" fontId="288" fillId="42" borderId="1" applyAlignment="1" pivotButton="0" quotePrefix="0" xfId="0">
      <alignment horizontal="right" vertical="center"/>
    </xf>
    <xf numFmtId="0" fontId="300" fillId="42" borderId="1" applyAlignment="1" pivotButton="0" quotePrefix="0" xfId="0">
      <alignment horizontal="right" vertical="center"/>
    </xf>
    <xf numFmtId="0" fontId="103" fillId="42" borderId="1" applyAlignment="1" pivotButton="0" quotePrefix="0" xfId="0">
      <alignment horizontal="right" vertical="center"/>
    </xf>
    <xf numFmtId="0" fontId="301" fillId="42" borderId="1" applyAlignment="1" pivotButton="0" quotePrefix="0" xfId="0">
      <alignment horizontal="left" vertical="center"/>
    </xf>
    <xf numFmtId="0" fontId="293" fillId="41" borderId="1" applyAlignment="1" pivotButton="0" quotePrefix="0" xfId="0">
      <alignment horizontal="center" vertical="center"/>
    </xf>
    <xf numFmtId="0" fontId="106" fillId="59" borderId="1" applyAlignment="1" pivotButton="0" quotePrefix="0" xfId="0">
      <alignment horizontal="right" vertical="center"/>
    </xf>
    <xf numFmtId="0" fontId="300" fillId="59" borderId="1" applyAlignment="1" pivotButton="0" quotePrefix="0" xfId="0">
      <alignment horizontal="right" vertical="center"/>
    </xf>
    <xf numFmtId="0" fontId="103" fillId="59" borderId="1" applyAlignment="1" pivotButton="0" quotePrefix="0" xfId="0">
      <alignment horizontal="right" vertical="center"/>
    </xf>
    <xf numFmtId="0" fontId="301" fillId="59" borderId="1" applyAlignment="1" pivotButton="0" quotePrefix="0" xfId="0">
      <alignment horizontal="left" vertical="center"/>
    </xf>
    <xf numFmtId="0" fontId="100" fillId="59" borderId="1" applyAlignment="1" pivotButton="0" quotePrefix="0" xfId="0">
      <alignment horizontal="center" vertical="center"/>
    </xf>
    <xf numFmtId="0" fontId="302" fillId="0" borderId="1" applyAlignment="1" pivotButton="0" quotePrefix="0" xfId="0">
      <alignment horizontal="left" vertical="center"/>
    </xf>
    <xf numFmtId="0" fontId="304" fillId="17" borderId="1" applyAlignment="1" pivotButton="0" quotePrefix="0" xfId="0">
      <alignment horizontal="right" vertical="center"/>
    </xf>
    <xf numFmtId="0" fontId="99" fillId="0" borderId="1" applyAlignment="1" pivotButton="0" quotePrefix="0" xfId="0">
      <alignment horizontal="right" vertical="center"/>
    </xf>
    <xf numFmtId="0" fontId="301" fillId="42" borderId="1" applyAlignment="1" pivotButton="0" quotePrefix="0" xfId="0">
      <alignment horizontal="center" vertical="center"/>
    </xf>
    <xf numFmtId="0" fontId="235" fillId="42" borderId="1" applyAlignment="1" pivotButton="0" quotePrefix="0" xfId="0">
      <alignment horizontal="right" vertical="center"/>
    </xf>
    <xf numFmtId="0" fontId="305" fillId="42" borderId="1" applyAlignment="1" pivotButton="0" quotePrefix="0" xfId="0">
      <alignment horizontal="right" vertical="center"/>
    </xf>
    <xf numFmtId="0" fontId="306" fillId="42" borderId="1" applyAlignment="1" pivotButton="0" quotePrefix="0" xfId="0">
      <alignment horizontal="right" vertical="center"/>
    </xf>
    <xf numFmtId="0" fontId="300" fillId="42" borderId="1" applyAlignment="1" pivotButton="0" quotePrefix="0" xfId="0">
      <alignment horizontal="center" vertical="center"/>
    </xf>
    <xf numFmtId="0" fontId="307" fillId="42" borderId="1" applyAlignment="1" pivotButton="0" quotePrefix="0" xfId="0">
      <alignment horizontal="left" vertical="center"/>
    </xf>
    <xf numFmtId="0" fontId="301" fillId="41" borderId="1" applyAlignment="1" pivotButton="0" quotePrefix="0" xfId="0">
      <alignment horizontal="center" vertical="center"/>
    </xf>
    <xf numFmtId="0" fontId="235" fillId="41" borderId="1" applyAlignment="1" pivotButton="0" quotePrefix="0" xfId="0">
      <alignment horizontal="right" vertical="center"/>
    </xf>
    <xf numFmtId="0" fontId="305" fillId="41" borderId="1" applyAlignment="1" pivotButton="0" quotePrefix="0" xfId="0">
      <alignment horizontal="right" vertical="center"/>
    </xf>
    <xf numFmtId="0" fontId="306" fillId="41" borderId="1" applyAlignment="1" pivotButton="0" quotePrefix="0" xfId="0">
      <alignment horizontal="right" vertical="center"/>
    </xf>
    <xf numFmtId="0" fontId="300" fillId="41" borderId="1" applyAlignment="1" pivotButton="0" quotePrefix="0" xfId="0">
      <alignment horizontal="center" vertical="center"/>
    </xf>
    <xf numFmtId="0" fontId="307" fillId="41" borderId="1" applyAlignment="1" pivotButton="0" quotePrefix="0" xfId="0">
      <alignment horizontal="left" vertical="center"/>
    </xf>
    <xf numFmtId="0" fontId="301" fillId="40" borderId="1" applyAlignment="1" pivotButton="0" quotePrefix="0" xfId="0">
      <alignment horizontal="center" vertical="center"/>
    </xf>
    <xf numFmtId="0" fontId="235" fillId="40" borderId="1" applyAlignment="1" pivotButton="0" quotePrefix="0" xfId="0">
      <alignment horizontal="right" vertical="center"/>
    </xf>
    <xf numFmtId="0" fontId="103" fillId="40" borderId="1" applyAlignment="1" pivotButton="0" quotePrefix="0" xfId="0">
      <alignment horizontal="right" vertical="center"/>
    </xf>
    <xf numFmtId="0" fontId="306" fillId="40" borderId="1" applyAlignment="1" pivotButton="0" quotePrefix="0" xfId="0">
      <alignment horizontal="right" vertical="center"/>
    </xf>
    <xf numFmtId="0" fontId="308" fillId="40" borderId="1" applyAlignment="1" pivotButton="0" quotePrefix="0" xfId="0">
      <alignment horizontal="left" vertical="center"/>
    </xf>
    <xf numFmtId="0" fontId="309" fillId="41" borderId="1" applyAlignment="1" pivotButton="0" quotePrefix="0" xfId="0">
      <alignment horizontal="right" vertical="center"/>
    </xf>
    <xf numFmtId="0" fontId="310" fillId="41" borderId="1" applyAlignment="1" pivotButton="0" quotePrefix="0" xfId="0">
      <alignment horizontal="right" vertical="center"/>
    </xf>
    <xf numFmtId="0" fontId="311" fillId="41" borderId="1" applyAlignment="1" pivotButton="0" quotePrefix="0" xfId="0">
      <alignment horizontal="right" vertical="center"/>
    </xf>
    <xf numFmtId="0" fontId="309" fillId="42" borderId="1" applyAlignment="1" pivotButton="0" quotePrefix="0" xfId="0">
      <alignment horizontal="right" vertical="center"/>
    </xf>
    <xf numFmtId="0" fontId="310" fillId="42" borderId="1" applyAlignment="1" pivotButton="0" quotePrefix="0" xfId="0">
      <alignment horizontal="right" vertical="center"/>
    </xf>
    <xf numFmtId="0" fontId="311" fillId="42" borderId="1" applyAlignment="1" pivotButton="0" quotePrefix="0" xfId="0">
      <alignment horizontal="right" vertical="center"/>
    </xf>
    <xf numFmtId="0" fontId="309" fillId="40" borderId="1" applyAlignment="1" pivotButton="0" quotePrefix="0" xfId="0">
      <alignment horizontal="right" vertical="center"/>
    </xf>
    <xf numFmtId="0" fontId="106" fillId="40" borderId="1" applyAlignment="1" pivotButton="0" quotePrefix="0" xfId="0">
      <alignment horizontal="right" vertical="center"/>
    </xf>
    <xf numFmtId="0" fontId="310" fillId="40" borderId="1" applyAlignment="1" pivotButton="0" quotePrefix="0" xfId="0">
      <alignment horizontal="right" vertical="center"/>
    </xf>
    <xf numFmtId="0" fontId="100" fillId="40" borderId="1" applyAlignment="1" pivotButton="0" quotePrefix="0" xfId="0">
      <alignment horizontal="right" vertical="center"/>
    </xf>
    <xf numFmtId="0" fontId="310" fillId="50" borderId="1" applyAlignment="1" pivotButton="0" quotePrefix="0" xfId="0">
      <alignment horizontal="center" vertical="center"/>
    </xf>
    <xf numFmtId="0" fontId="305" fillId="50" borderId="1" applyAlignment="1" pivotButton="0" quotePrefix="0" xfId="0">
      <alignment horizontal="center" vertical="center"/>
    </xf>
    <xf numFmtId="0" fontId="100" fillId="42" borderId="1" applyAlignment="1" pivotButton="0" quotePrefix="0" xfId="0">
      <alignment horizontal="left" vertical="center"/>
    </xf>
    <xf numFmtId="167" fontId="301" fillId="42" borderId="1" applyAlignment="1" pivotButton="0" quotePrefix="0" xfId="0">
      <alignment horizontal="center" vertical="center"/>
    </xf>
    <xf numFmtId="0" fontId="310" fillId="42" borderId="1" applyAlignment="1" pivotButton="0" quotePrefix="0" xfId="0">
      <alignment horizontal="left" vertical="center"/>
    </xf>
    <xf numFmtId="0" fontId="308" fillId="42" borderId="1" applyAlignment="1" pivotButton="0" quotePrefix="0" xfId="0">
      <alignment horizontal="center" vertical="center"/>
    </xf>
    <xf numFmtId="0" fontId="305" fillId="42" borderId="1" applyAlignment="1" pivotButton="0" quotePrefix="0" xfId="0">
      <alignment horizontal="center" vertical="center"/>
    </xf>
    <xf numFmtId="0" fontId="312" fillId="42" borderId="1" applyAlignment="1" pivotButton="0" quotePrefix="0" xfId="0">
      <alignment horizontal="center" vertical="center"/>
    </xf>
    <xf numFmtId="0" fontId="313" fillId="42" borderId="1" applyAlignment="1" pivotButton="0" quotePrefix="0" xfId="0">
      <alignment horizontal="center" vertical="center"/>
    </xf>
    <xf numFmtId="0" fontId="300" fillId="42" borderId="1" applyAlignment="1" pivotButton="0" quotePrefix="0" xfId="0">
      <alignment horizontal="left" vertical="center"/>
    </xf>
    <xf numFmtId="0" fontId="305" fillId="42" borderId="1" applyAlignment="1" pivotButton="0" quotePrefix="0" xfId="0">
      <alignment horizontal="left" vertical="center"/>
    </xf>
    <xf numFmtId="0" fontId="100" fillId="41" borderId="1" applyAlignment="1" pivotButton="0" quotePrefix="0" xfId="0">
      <alignment horizontal="left" vertical="center"/>
    </xf>
    <xf numFmtId="167" fontId="301" fillId="41" borderId="1" applyAlignment="1" pivotButton="0" quotePrefix="0" xfId="0">
      <alignment horizontal="center" vertical="center"/>
    </xf>
    <xf numFmtId="0" fontId="310" fillId="41" borderId="1" applyAlignment="1" pivotButton="0" quotePrefix="0" xfId="0">
      <alignment horizontal="left" vertical="center"/>
    </xf>
    <xf numFmtId="0" fontId="308" fillId="41" borderId="1" applyAlignment="1" pivotButton="0" quotePrefix="0" xfId="0">
      <alignment horizontal="center" vertical="center"/>
    </xf>
    <xf numFmtId="0" fontId="305" fillId="41" borderId="1" applyAlignment="1" pivotButton="0" quotePrefix="0" xfId="0">
      <alignment horizontal="center" vertical="center"/>
    </xf>
    <xf numFmtId="0" fontId="312" fillId="41" borderId="1" applyAlignment="1" pivotButton="0" quotePrefix="0" xfId="0">
      <alignment horizontal="center" vertical="center"/>
    </xf>
    <xf numFmtId="0" fontId="313" fillId="41" borderId="1" applyAlignment="1" pivotButton="0" quotePrefix="0" xfId="0">
      <alignment horizontal="center" vertical="center"/>
    </xf>
    <xf numFmtId="0" fontId="300" fillId="41" borderId="1" applyAlignment="1" pivotButton="0" quotePrefix="0" xfId="0">
      <alignment horizontal="left" vertical="center"/>
    </xf>
    <xf numFmtId="0" fontId="305" fillId="41" borderId="1" applyAlignment="1" pivotButton="0" quotePrefix="0" xfId="0">
      <alignment horizontal="left" vertical="center"/>
    </xf>
    <xf numFmtId="0" fontId="308" fillId="41" borderId="1" applyAlignment="1" pivotButton="0" quotePrefix="0" xfId="0">
      <alignment horizontal="left" vertical="center"/>
    </xf>
    <xf numFmtId="0" fontId="308" fillId="42" borderId="1" applyAlignment="1" pivotButton="0" quotePrefix="0" xfId="0">
      <alignment horizontal="left" vertical="center"/>
    </xf>
    <xf numFmtId="0" fontId="175" fillId="0" borderId="1" applyAlignment="1" pivotButton="0" quotePrefix="0" xfId="0">
      <alignment horizontal="right" vertical="center"/>
    </xf>
    <xf numFmtId="0" fontId="288" fillId="42" borderId="1" applyAlignment="1" pivotButton="0" quotePrefix="0" xfId="0">
      <alignment horizontal="center" vertical="center"/>
    </xf>
    <xf numFmtId="0" fontId="288" fillId="41" borderId="1" applyAlignment="1" pivotButton="0" quotePrefix="0" xfId="0">
      <alignment horizontal="center" vertical="center"/>
    </xf>
    <xf numFmtId="0" fontId="95" fillId="38" borderId="1" applyAlignment="1" pivotButton="0" quotePrefix="0" xfId="0">
      <alignment horizontal="right" vertical="center"/>
    </xf>
    <xf numFmtId="0" fontId="315" fillId="41" borderId="1" applyAlignment="1" pivotButton="0" quotePrefix="0" xfId="0">
      <alignment horizontal="center" vertical="center"/>
    </xf>
    <xf numFmtId="0" fontId="315" fillId="42" borderId="1" applyAlignment="1" pivotButton="0" quotePrefix="0" xfId="0">
      <alignment horizontal="center" vertical="center"/>
    </xf>
    <xf numFmtId="0" fontId="107" fillId="50" borderId="1" applyAlignment="1" pivotButton="0" quotePrefix="0" xfId="0">
      <alignment horizontal="right" vertical="center"/>
    </xf>
    <xf numFmtId="0" fontId="101" fillId="50" borderId="1" applyAlignment="1" pivotButton="0" quotePrefix="0" xfId="0">
      <alignment horizontal="right" vertical="center"/>
    </xf>
    <xf numFmtId="0" fontId="103" fillId="50" borderId="1" applyAlignment="1" pivotButton="0" quotePrefix="0" xfId="0">
      <alignment horizontal="right" vertical="center"/>
    </xf>
    <xf numFmtId="0" fontId="104" fillId="49" borderId="1" applyAlignment="1" pivotButton="0" quotePrefix="0" xfId="0">
      <alignment horizontal="left" vertical="center"/>
    </xf>
    <xf numFmtId="0" fontId="235" fillId="44" borderId="1" applyAlignment="1" pivotButton="0" quotePrefix="0" xfId="0">
      <alignment horizontal="right" vertical="center"/>
    </xf>
    <xf numFmtId="0" fontId="235" fillId="42" borderId="1" applyAlignment="1" pivotButton="0" quotePrefix="0" xfId="0">
      <alignment horizontal="center" vertical="center"/>
    </xf>
    <xf numFmtId="0" fontId="317" fillId="42" borderId="1" applyAlignment="1" pivotButton="0" quotePrefix="0" xfId="0">
      <alignment horizontal="center" vertical="center" wrapText="1"/>
    </xf>
    <xf numFmtId="0" fontId="235" fillId="42" borderId="1" applyAlignment="1" pivotButton="0" quotePrefix="0" xfId="0">
      <alignment horizontal="center" vertical="center" wrapText="1"/>
    </xf>
    <xf numFmtId="0" fontId="235" fillId="20" borderId="1" applyAlignment="1" pivotButton="0" quotePrefix="0" xfId="0">
      <alignment horizontal="center" vertical="center" wrapText="1"/>
    </xf>
    <xf numFmtId="0" fontId="313" fillId="7" borderId="1" applyAlignment="1" pivotButton="0" quotePrefix="0" xfId="0">
      <alignment horizontal="center" vertical="center" wrapText="1"/>
    </xf>
    <xf numFmtId="0" fontId="308" fillId="5" borderId="1" applyAlignment="1" pivotButton="0" quotePrefix="0" xfId="0">
      <alignment horizontal="center" vertical="center" wrapText="1"/>
    </xf>
    <xf numFmtId="0" fontId="163" fillId="42" borderId="1" applyAlignment="1" pivotButton="0" quotePrefix="0" xfId="0">
      <alignment horizontal="left" vertical="center" wrapText="1"/>
    </xf>
    <xf numFmtId="0" fontId="308" fillId="42" borderId="1" applyAlignment="1" pivotButton="0" quotePrefix="0" xfId="0">
      <alignment horizontal="center" vertical="center" wrapText="1"/>
    </xf>
    <xf numFmtId="0" fontId="318" fillId="42" borderId="1" applyAlignment="1" pivotButton="0" quotePrefix="0" xfId="0">
      <alignment horizontal="left" vertical="center" wrapText="1"/>
    </xf>
    <xf numFmtId="0" fontId="308" fillId="59" borderId="1" applyAlignment="1" pivotButton="0" quotePrefix="0" xfId="0">
      <alignment horizontal="center" vertical="center"/>
    </xf>
    <xf numFmtId="0" fontId="235" fillId="59" borderId="1" applyAlignment="1" pivotButton="0" quotePrefix="0" xfId="0">
      <alignment horizontal="center" vertical="center"/>
    </xf>
    <xf numFmtId="0" fontId="301" fillId="59" borderId="1" applyAlignment="1" pivotButton="0" quotePrefix="0" xfId="0">
      <alignment horizontal="center" vertical="center"/>
    </xf>
    <xf numFmtId="0" fontId="317" fillId="59" borderId="1" applyAlignment="1" pivotButton="0" quotePrefix="0" xfId="0">
      <alignment horizontal="center" vertical="center" wrapText="1"/>
    </xf>
    <xf numFmtId="0" fontId="235" fillId="59" borderId="1" applyAlignment="1" pivotButton="0" quotePrefix="0" xfId="0">
      <alignment horizontal="center" vertical="center" wrapText="1"/>
    </xf>
    <xf numFmtId="0" fontId="305" fillId="7" borderId="1" applyAlignment="1" pivotButton="0" quotePrefix="0" xfId="0">
      <alignment horizontal="center" vertical="center" wrapText="1"/>
    </xf>
    <xf numFmtId="0" fontId="163" fillId="59" borderId="1" applyAlignment="1" pivotButton="0" quotePrefix="0" xfId="0">
      <alignment horizontal="left" vertical="center" wrapText="1"/>
    </xf>
    <xf numFmtId="0" fontId="319" fillId="7" borderId="1" applyAlignment="1" pivotButton="0" quotePrefix="0" xfId="0">
      <alignment horizontal="center" vertical="center"/>
    </xf>
    <xf numFmtId="0" fontId="308" fillId="59" borderId="1" applyAlignment="1" pivotButton="0" quotePrefix="0" xfId="0">
      <alignment horizontal="center" vertical="center" wrapText="1"/>
    </xf>
    <xf numFmtId="0" fontId="308" fillId="59" borderId="1" applyAlignment="1" pivotButton="0" quotePrefix="0" xfId="0">
      <alignment horizontal="left" vertical="center" wrapText="1"/>
    </xf>
    <xf numFmtId="0" fontId="317" fillId="5" borderId="1" applyAlignment="1" pivotButton="0" quotePrefix="0" xfId="0">
      <alignment horizontal="center" vertical="center" wrapText="1"/>
    </xf>
    <xf numFmtId="0" fontId="308" fillId="7" borderId="1" applyAlignment="1" pivotButton="0" quotePrefix="0" xfId="0">
      <alignment horizontal="center" vertical="center" wrapText="1"/>
    </xf>
    <xf numFmtId="0" fontId="114" fillId="10" borderId="1" applyAlignment="1" pivotButton="0" quotePrefix="0" xfId="0">
      <alignment horizontal="left" vertical="center" wrapText="1"/>
    </xf>
    <xf numFmtId="0" fontId="308" fillId="59" borderId="1" applyAlignment="1" pivotButton="0" quotePrefix="0" xfId="0">
      <alignment horizontal="left" vertical="center"/>
    </xf>
    <xf numFmtId="0" fontId="318" fillId="42" borderId="1" applyAlignment="1" pivotButton="0" quotePrefix="0" xfId="0">
      <alignment horizontal="left" vertical="center"/>
    </xf>
    <xf numFmtId="0" fontId="305" fillId="59" borderId="1" applyAlignment="1" pivotButton="0" quotePrefix="0" xfId="0">
      <alignment horizontal="center" vertical="center"/>
    </xf>
    <xf numFmtId="0" fontId="305" fillId="59" borderId="1" applyAlignment="1" pivotButton="0" quotePrefix="0" xfId="0">
      <alignment horizontal="left" vertical="center"/>
    </xf>
    <xf numFmtId="0" fontId="107" fillId="42" borderId="1" applyAlignment="1" pivotButton="0" quotePrefix="0" xfId="0">
      <alignment horizontal="left" vertical="center"/>
    </xf>
    <xf numFmtId="0" fontId="107" fillId="41" borderId="1" applyAlignment="1" pivotButton="0" quotePrefix="0" xfId="0">
      <alignment horizontal="left" vertical="center"/>
    </xf>
    <xf numFmtId="0" fontId="312" fillId="42" borderId="1" applyAlignment="1" pivotButton="0" quotePrefix="0" xfId="0">
      <alignment horizontal="left" vertical="center"/>
    </xf>
    <xf numFmtId="0" fontId="312" fillId="41" borderId="1" applyAlignment="1" pivotButton="0" quotePrefix="0" xfId="0">
      <alignment horizontal="left" vertical="center"/>
    </xf>
    <xf numFmtId="0" fontId="100" fillId="59" borderId="1" applyAlignment="1" pivotButton="0" quotePrefix="0" xfId="0">
      <alignment horizontal="left" vertical="center"/>
    </xf>
    <xf numFmtId="167" fontId="301" fillId="59" borderId="1" applyAlignment="1" pivotButton="0" quotePrefix="0" xfId="0">
      <alignment horizontal="center" vertical="center"/>
    </xf>
    <xf numFmtId="0" fontId="310" fillId="59" borderId="1" applyAlignment="1" pivotButton="0" quotePrefix="0" xfId="0">
      <alignment horizontal="left" vertical="center"/>
    </xf>
    <xf numFmtId="0" fontId="300" fillId="59" borderId="1" applyAlignment="1" pivotButton="0" quotePrefix="0" xfId="0">
      <alignment horizontal="left" vertical="center"/>
    </xf>
    <xf numFmtId="0" fontId="105" fillId="49" borderId="1" applyAlignment="1" pivotButton="0" quotePrefix="0" xfId="0">
      <alignment horizontal="center" vertical="center"/>
    </xf>
    <xf numFmtId="0" fontId="111" fillId="49" borderId="1" applyAlignment="1" pivotButton="0" quotePrefix="0" xfId="0">
      <alignment horizontal="center" vertical="center"/>
    </xf>
    <xf numFmtId="0" fontId="288" fillId="59" borderId="1" applyAlignment="1" pivotButton="0" quotePrefix="0" xfId="0">
      <alignment horizontal="center" vertical="center"/>
    </xf>
    <xf numFmtId="0" fontId="300" fillId="59" borderId="1" applyAlignment="1" pivotButton="0" quotePrefix="0" xfId="0">
      <alignment horizontal="center" vertical="center"/>
    </xf>
    <xf numFmtId="0" fontId="312" fillId="59" borderId="1" applyAlignment="1" pivotButton="0" quotePrefix="0" xfId="0">
      <alignment horizontal="center" vertical="center"/>
    </xf>
    <xf numFmtId="0" fontId="310" fillId="42" borderId="1" applyAlignment="1" pivotButton="0" quotePrefix="0" xfId="0">
      <alignment horizontal="center" vertical="center"/>
    </xf>
    <xf numFmtId="0" fontId="310" fillId="41" borderId="1" applyAlignment="1" pivotButton="0" quotePrefix="0" xfId="0">
      <alignment horizontal="center" vertical="center"/>
    </xf>
    <xf numFmtId="0" fontId="90" fillId="24" borderId="11" applyAlignment="1" pivotButton="0" quotePrefix="0" xfId="0">
      <alignment horizontal="center" vertical="center" wrapText="1"/>
    </xf>
    <xf numFmtId="0" fontId="322" fillId="0" borderId="0" pivotButton="0" quotePrefix="0" xfId="0"/>
    <xf numFmtId="0" fontId="323" fillId="0" borderId="0" pivotButton="0" quotePrefix="0" xfId="0"/>
    <xf numFmtId="3" fontId="323" fillId="0" borderId="0" pivotButton="0" quotePrefix="0" xfId="0"/>
    <xf numFmtId="3" fontId="232" fillId="6" borderId="0" pivotButton="0" quotePrefix="0" xfId="0"/>
    <xf numFmtId="164" fontId="232" fillId="6" borderId="0" pivotButton="0" quotePrefix="0" xfId="0"/>
    <xf numFmtId="10" fontId="323" fillId="0" borderId="0" pivotButton="0" quotePrefix="0" xfId="0"/>
    <xf numFmtId="3" fontId="92" fillId="10" borderId="0" pivotButton="0" quotePrefix="0" xfId="0"/>
    <xf numFmtId="164" fontId="92" fillId="0" borderId="0" pivotButton="0" quotePrefix="0" xfId="0"/>
    <xf numFmtId="0" fontId="92" fillId="0" borderId="0" pivotButton="0" quotePrefix="0" xfId="0"/>
    <xf numFmtId="0" fontId="173" fillId="42" borderId="1" applyAlignment="1" pivotButton="0" quotePrefix="0" xfId="0">
      <alignment horizontal="left" vertical="center"/>
    </xf>
    <xf numFmtId="0" fontId="173" fillId="41" borderId="1" applyAlignment="1" pivotButton="0" quotePrefix="0" xfId="0">
      <alignment horizontal="left" vertical="center"/>
    </xf>
    <xf numFmtId="0" fontId="293" fillId="41" borderId="1" applyAlignment="1" pivotButton="0" quotePrefix="0" xfId="0">
      <alignment horizontal="left" vertical="center"/>
    </xf>
    <xf numFmtId="0" fontId="293" fillId="42" borderId="1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/>
    </xf>
    <xf numFmtId="0" fontId="323" fillId="0" borderId="11" pivotButton="0" quotePrefix="0" xfId="0"/>
    <xf numFmtId="0" fontId="92" fillId="0" borderId="11" pivotButton="0" quotePrefix="0" xfId="0"/>
    <xf numFmtId="10" fontId="232" fillId="6" borderId="0" pivotButton="0" quotePrefix="0" xfId="0"/>
    <xf numFmtId="10" fontId="92" fillId="0" borderId="0" pivotButton="0" quotePrefix="0" xfId="0"/>
    <xf numFmtId="0" fontId="322" fillId="0" borderId="11" pivotButton="0" quotePrefix="0" xfId="0"/>
    <xf numFmtId="0" fontId="232" fillId="6" borderId="11" pivotButton="0" quotePrefix="0" xfId="0"/>
    <xf numFmtId="164" fontId="92" fillId="0" borderId="11" pivotButton="0" quotePrefix="0" xfId="0"/>
    <xf numFmtId="10" fontId="92" fillId="0" borderId="11" pivotButton="0" quotePrefix="0" xfId="0"/>
    <xf numFmtId="10" fontId="92" fillId="10" borderId="11" pivotButton="0" quotePrefix="0" xfId="0"/>
    <xf numFmtId="164" fontId="323" fillId="0" borderId="11" pivotButton="0" quotePrefix="0" xfId="0"/>
    <xf numFmtId="0" fontId="326" fillId="0" borderId="0" pivotButton="0" quotePrefix="0" xfId="0"/>
    <xf numFmtId="0" fontId="327" fillId="6" borderId="0" applyAlignment="1" pivotButton="0" quotePrefix="0" xfId="0">
      <alignment horizontal="center"/>
    </xf>
    <xf numFmtId="0" fontId="92" fillId="10" borderId="0" pivotButton="0" quotePrefix="0" xfId="0"/>
    <xf numFmtId="0" fontId="323" fillId="10" borderId="0" pivotButton="0" quotePrefix="0" xfId="0"/>
    <xf numFmtId="0" fontId="232" fillId="6" borderId="0" pivotButton="0" quotePrefix="0" xfId="0"/>
    <xf numFmtId="0" fontId="90" fillId="24" borderId="11" pivotButton="0" quotePrefix="0" xfId="0"/>
    <xf numFmtId="164" fontId="90" fillId="24" borderId="11" applyAlignment="1" pivotButton="0" quotePrefix="0" xfId="0">
      <alignment horizontal="center"/>
    </xf>
    <xf numFmtId="3" fontId="92" fillId="0" borderId="11" applyAlignment="1" pivotButton="0" quotePrefix="0" xfId="0">
      <alignment horizontal="right"/>
    </xf>
    <xf numFmtId="3" fontId="92" fillId="0" borderId="0" pivotButton="0" quotePrefix="0" xfId="0"/>
    <xf numFmtId="164" fontId="92" fillId="10" borderId="0" pivotButton="0" quotePrefix="0" xfId="0"/>
    <xf numFmtId="3" fontId="323" fillId="0" borderId="11" pivotButton="0" quotePrefix="0" xfId="0"/>
    <xf numFmtId="3" fontId="92" fillId="10" borderId="11" pivotButton="0" quotePrefix="0" xfId="0"/>
    <xf numFmtId="3" fontId="92" fillId="0" borderId="11" pivotButton="0" quotePrefix="0" xfId="0"/>
    <xf numFmtId="3" fontId="92" fillId="22" borderId="11" pivotButton="0" quotePrefix="0" xfId="0"/>
    <xf numFmtId="3" fontId="92" fillId="6" borderId="11" pivotButton="0" quotePrefix="0" xfId="0"/>
    <xf numFmtId="0" fontId="0" fillId="0" borderId="11" applyAlignment="1" pivotButton="0" quotePrefix="0" xfId="0">
      <alignment vertical="center" wrapText="1"/>
    </xf>
    <xf numFmtId="166" fontId="92" fillId="0" borderId="0" pivotButton="0" quotePrefix="0" xfId="0"/>
    <xf numFmtId="168" fontId="92" fillId="0" borderId="0" pivotButton="0" quotePrefix="0" xfId="0"/>
    <xf numFmtId="164" fontId="92" fillId="6" borderId="11" pivotButton="0" quotePrefix="0" xfId="0"/>
    <xf numFmtId="164" fontId="232" fillId="6" borderId="11" pivotButton="0" quotePrefix="0" xfId="0"/>
    <xf numFmtId="0" fontId="121" fillId="28" borderId="0" pivotButton="0" quotePrefix="0" xfId="0"/>
    <xf numFmtId="10" fontId="92" fillId="10" borderId="0" pivotButton="0" quotePrefix="0" xfId="0"/>
    <xf numFmtId="2" fontId="92" fillId="0" borderId="0" pivotButton="0" quotePrefix="0" xfId="0"/>
    <xf numFmtId="0" fontId="328" fillId="10" borderId="0" pivotButton="0" quotePrefix="0" xfId="0"/>
    <xf numFmtId="164" fontId="0" fillId="6" borderId="0" pivotButton="0" quotePrefix="0" xfId="0"/>
    <xf numFmtId="168" fontId="92" fillId="10" borderId="0" pivotButton="0" quotePrefix="0" xfId="0"/>
    <xf numFmtId="0" fontId="0" fillId="0" borderId="0" applyAlignment="1" pivotButton="0" quotePrefix="0" xfId="0">
      <alignment horizontal="center"/>
    </xf>
    <xf numFmtId="0" fontId="329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/>
    </xf>
    <xf numFmtId="164" fontId="92" fillId="10" borderId="0" applyAlignment="1" pivotButton="0" quotePrefix="0" xfId="0">
      <alignment horizontal="center"/>
    </xf>
    <xf numFmtId="0" fontId="331" fillId="6" borderId="0" pivotButton="0" quotePrefix="0" xfId="0"/>
    <xf numFmtId="2" fontId="232" fillId="6" borderId="0" pivotButton="0" quotePrefix="0" xfId="0"/>
    <xf numFmtId="10" fontId="332" fillId="10" borderId="0" pivotButton="0" quotePrefix="0" xfId="0"/>
    <xf numFmtId="0" fontId="333" fillId="0" borderId="0" pivotButton="0" quotePrefix="0" xfId="0"/>
    <xf numFmtId="164" fontId="332" fillId="10" borderId="0" pivotButton="0" quotePrefix="0" xfId="0"/>
    <xf numFmtId="3" fontId="92" fillId="22" borderId="0" pivotButton="0" quotePrefix="0" xfId="0"/>
    <xf numFmtId="169" fontId="232" fillId="6" borderId="0" pivotButton="0" quotePrefix="0" xfId="0"/>
    <xf numFmtId="168" fontId="92" fillId="22" borderId="0" pivotButton="0" quotePrefix="0" xfId="0"/>
    <xf numFmtId="0" fontId="87" fillId="60" borderId="9" applyAlignment="1" pivotButton="0" quotePrefix="0" xfId="0">
      <alignment horizontal="center" vertical="center" wrapText="1"/>
    </xf>
    <xf numFmtId="0" fontId="69" fillId="0" borderId="9" applyAlignment="1" pivotButton="0" quotePrefix="0" xfId="0">
      <alignment horizontal="center" vertical="center" wrapText="1"/>
    </xf>
    <xf numFmtId="0" fontId="335" fillId="0" borderId="9" applyAlignment="1" pivotButton="0" quotePrefix="0" xfId="0">
      <alignment horizontal="center" vertical="center" wrapText="1"/>
    </xf>
    <xf numFmtId="0" fontId="335" fillId="16" borderId="9" applyAlignment="1" pivotButton="0" quotePrefix="0" xfId="0">
      <alignment horizontal="center" vertical="center" wrapText="1"/>
    </xf>
    <xf numFmtId="0" fontId="69" fillId="17" borderId="9" applyAlignment="1" pivotButton="0" quotePrefix="0" xfId="0">
      <alignment horizontal="center" vertical="center" wrapText="1"/>
    </xf>
    <xf numFmtId="0" fontId="337" fillId="22" borderId="9" applyAlignment="1" pivotButton="0" quotePrefix="0" xfId="0">
      <alignment horizontal="center" vertical="center" wrapText="1"/>
    </xf>
    <xf numFmtId="0" fontId="337" fillId="0" borderId="9" applyAlignment="1" pivotButton="0" quotePrefix="0" xfId="0">
      <alignment horizontal="center" vertical="center" wrapText="1"/>
    </xf>
    <xf numFmtId="0" fontId="337" fillId="30" borderId="9" applyAlignment="1" pivotButton="0" quotePrefix="0" xfId="0">
      <alignment horizontal="center" vertical="center" wrapText="1"/>
    </xf>
    <xf numFmtId="0" fontId="339" fillId="17" borderId="9" applyAlignment="1" pivotButton="0" quotePrefix="0" xfId="0">
      <alignment horizontal="center" vertical="center" wrapText="1"/>
    </xf>
    <xf numFmtId="0" fontId="69" fillId="54" borderId="9" applyAlignment="1" pivotButton="0" quotePrefix="0" xfId="0">
      <alignment horizontal="center" vertical="center" wrapText="1"/>
    </xf>
    <xf numFmtId="0" fontId="259" fillId="0" borderId="0" pivotButton="0" quotePrefix="0" xfId="0"/>
    <xf numFmtId="0" fontId="0" fillId="7" borderId="0" pivotButton="0" quotePrefix="0" xfId="0"/>
    <xf numFmtId="0" fontId="87" fillId="51" borderId="12" applyAlignment="1" pivotButton="0" quotePrefix="0" xfId="0">
      <alignment horizontal="center" vertical="center" wrapText="1"/>
    </xf>
    <xf numFmtId="0" fontId="340" fillId="0" borderId="0" pivotButton="0" quotePrefix="0" xfId="0"/>
    <xf numFmtId="0" fontId="0" fillId="61" borderId="0" pivotButton="0" quotePrefix="0" xfId="0"/>
    <xf numFmtId="0" fontId="76" fillId="0" borderId="0" pivotButton="0" quotePrefix="0" xfId="0"/>
    <xf numFmtId="0" fontId="76" fillId="61" borderId="0" pivotButton="0" quotePrefix="0" xfId="0"/>
    <xf numFmtId="2" fontId="0" fillId="6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2" fontId="0" fillId="56" borderId="0" applyAlignment="1" pivotButton="0" quotePrefix="0" xfId="0">
      <alignment horizontal="center" vertical="center" wrapText="1"/>
    </xf>
    <xf numFmtId="2" fontId="0" fillId="22" borderId="0" applyAlignment="1" pivotButton="0" quotePrefix="0" xfId="0">
      <alignment horizontal="center" vertical="center" wrapText="1"/>
    </xf>
    <xf numFmtId="0" fontId="341" fillId="0" borderId="0" pivotButton="0" quotePrefix="0" xfId="0"/>
    <xf numFmtId="0" fontId="0" fillId="62" borderId="0" pivotButton="0" quotePrefix="0" xfId="0"/>
    <xf numFmtId="0" fontId="79" fillId="62" borderId="0" pivotButton="0" quotePrefix="0" xfId="0"/>
    <xf numFmtId="0" fontId="342" fillId="62" borderId="0" pivotButton="0" quotePrefix="0" xfId="0"/>
    <xf numFmtId="0" fontId="0" fillId="22" borderId="0" pivotButton="0" quotePrefix="0" xfId="0"/>
    <xf numFmtId="0" fontId="76" fillId="62" borderId="0" pivotButton="0" quotePrefix="0" xfId="0"/>
    <xf numFmtId="0" fontId="342" fillId="7" borderId="0" pivotButton="0" quotePrefix="0" xfId="0"/>
    <xf numFmtId="0" fontId="343" fillId="0" borderId="0" pivotButton="0" quotePrefix="0" xfId="0"/>
    <xf numFmtId="0" fontId="343" fillId="62" borderId="0" pivotButton="0" quotePrefix="0" xfId="0"/>
    <xf numFmtId="0" fontId="69" fillId="16" borderId="9" applyAlignment="1" pivotButton="0" quotePrefix="0" xfId="0">
      <alignment horizontal="center" vertical="center" wrapText="1"/>
    </xf>
    <xf numFmtId="0" fontId="335" fillId="20" borderId="9" applyAlignment="1" pivotButton="0" quotePrefix="0" xfId="0">
      <alignment horizontal="center" vertical="center" wrapText="1"/>
    </xf>
    <xf numFmtId="0" fontId="69" fillId="22" borderId="9" applyAlignment="1" pivotButton="0" quotePrefix="0" xfId="0">
      <alignment horizontal="center" vertical="center" wrapText="1"/>
    </xf>
    <xf numFmtId="0" fontId="87" fillId="3" borderId="9" applyAlignment="1" pivotButton="0" quotePrefix="0" xfId="0">
      <alignment horizontal="center" vertical="center" wrapText="1"/>
    </xf>
    <xf numFmtId="0" fontId="337" fillId="17" borderId="9" applyAlignment="1" pivotButton="0" quotePrefix="0" xfId="0">
      <alignment horizontal="left" vertical="center" wrapText="1"/>
    </xf>
    <xf numFmtId="0" fontId="337" fillId="17" borderId="9" applyAlignment="1" pivotButton="0" quotePrefix="0" xfId="0">
      <alignment horizontal="center" vertical="center" wrapText="1"/>
    </xf>
    <xf numFmtId="0" fontId="337" fillId="32" borderId="9" applyAlignment="1" pivotButton="0" quotePrefix="0" xfId="0">
      <alignment horizontal="center" vertical="center" wrapText="1"/>
    </xf>
    <xf numFmtId="0" fontId="87" fillId="24" borderId="9" applyAlignment="1" pivotButton="0" quotePrefix="0" xfId="0">
      <alignment horizontal="center" vertical="center" wrapText="1"/>
    </xf>
    <xf numFmtId="0" fontId="87" fillId="63" borderId="9" applyAlignment="1" pivotButton="0" quotePrefix="0" xfId="0">
      <alignment horizontal="center" vertical="center" wrapText="1"/>
    </xf>
    <xf numFmtId="0" fontId="69" fillId="64" borderId="9" applyAlignment="1" pivotButton="0" quotePrefix="0" xfId="0">
      <alignment horizontal="center" vertical="center" wrapText="1"/>
    </xf>
    <xf numFmtId="0" fontId="69" fillId="65" borderId="9" applyAlignment="1" pivotButton="0" quotePrefix="0" xfId="0">
      <alignment horizontal="center" vertical="center" wrapText="1"/>
    </xf>
    <xf numFmtId="0" fontId="345" fillId="66" borderId="9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/>
    </xf>
    <xf numFmtId="0" fontId="10" fillId="68" borderId="1" applyAlignment="1" pivotButton="0" quotePrefix="0" xfId="0">
      <alignment horizontal="left" vertical="center"/>
    </xf>
    <xf numFmtId="0" fontId="10" fillId="68" borderId="1" applyAlignment="1" pivotButton="0" quotePrefix="0" xfId="0">
      <alignment horizontal="center" vertical="center"/>
    </xf>
    <xf numFmtId="0" fontId="168" fillId="68" borderId="1" applyAlignment="1" pivotButton="0" quotePrefix="0" xfId="0">
      <alignment horizontal="center" vertical="center"/>
    </xf>
    <xf numFmtId="0" fontId="213" fillId="68" borderId="1" applyAlignment="1" pivotButton="0" quotePrefix="0" xfId="0">
      <alignment horizontal="center" vertical="center"/>
    </xf>
    <xf numFmtId="14" fontId="2" fillId="18" borderId="1" applyAlignment="1" pivotButton="0" quotePrefix="0" xfId="0">
      <alignment horizontal="center" vertical="center" wrapText="1"/>
    </xf>
    <xf numFmtId="14" fontId="2" fillId="43" borderId="1" applyAlignment="1" pivotButton="0" quotePrefix="0" xfId="0">
      <alignment horizontal="center" vertical="center" wrapText="1"/>
    </xf>
    <xf numFmtId="14" fontId="92" fillId="18" borderId="1" applyAlignment="1" pivotButton="0" quotePrefix="0" xfId="0">
      <alignment horizontal="center" vertical="center" wrapText="1"/>
    </xf>
    <xf numFmtId="14" fontId="9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70" fillId="32" borderId="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11" fillId="12" borderId="2" applyAlignment="1" pivotButton="0" quotePrefix="0" xfId="0">
      <alignment horizontal="center" vertical="center"/>
    </xf>
    <xf numFmtId="0" fontId="0" fillId="0" borderId="15" pivotButton="0" quotePrefix="0" xfId="0"/>
    <xf numFmtId="0" fontId="60" fillId="2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9" fillId="0" borderId="9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30" fillId="26" borderId="1" applyAlignment="1" pivotButton="0" quotePrefix="0" xfId="0">
      <alignment horizontal="center" vertical="center" wrapText="1"/>
    </xf>
    <xf numFmtId="0" fontId="66" fillId="0" borderId="0" pivotButton="0" quotePrefix="0" xfId="0"/>
    <xf numFmtId="0" fontId="16" fillId="9" borderId="1" applyAlignment="1" pivotButton="0" quotePrefix="0" xfId="0">
      <alignment horizontal="center" vertical="center" wrapText="1"/>
    </xf>
    <xf numFmtId="0" fontId="30" fillId="23" borderId="1" applyAlignment="1" pivotButton="0" quotePrefix="0" xfId="0">
      <alignment horizontal="center" vertical="center" wrapText="1"/>
    </xf>
    <xf numFmtId="0" fontId="60" fillId="24" borderId="0" pivotButton="0" quotePrefix="0" xfId="0"/>
    <xf numFmtId="0" fontId="30" fillId="8" borderId="1" applyAlignment="1" pivotButton="0" quotePrefix="0" xfId="0">
      <alignment horizontal="center" vertical="center" wrapText="1"/>
    </xf>
    <xf numFmtId="0" fontId="68" fillId="17" borderId="9" applyAlignment="1" pivotButton="0" quotePrefix="0" xfId="0">
      <alignment horizontal="left" vertical="center" wrapText="1"/>
    </xf>
    <xf numFmtId="0" fontId="71" fillId="31" borderId="0" applyAlignment="1" pivotButton="0" quotePrefix="0" xfId="0">
      <alignment horizontal="center" vertical="center" wrapText="1"/>
    </xf>
    <xf numFmtId="0" fontId="69" fillId="17" borderId="9" applyAlignment="1" pivotButton="0" quotePrefix="0" xfId="0">
      <alignment horizontal="left" vertical="center" wrapText="1"/>
    </xf>
    <xf numFmtId="0" fontId="30" fillId="8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30" fillId="2" borderId="1" applyAlignment="1" pivotButton="0" quotePrefix="0" xfId="0">
      <alignment horizontal="center" vertical="center" wrapText="1"/>
    </xf>
    <xf numFmtId="0" fontId="30" fillId="25" borderId="1" applyAlignment="1" pivotButton="0" quotePrefix="0" xfId="0">
      <alignment horizontal="center" vertical="center" wrapText="1"/>
    </xf>
    <xf numFmtId="0" fontId="67" fillId="12" borderId="0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9" borderId="5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1" fillId="14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51" fillId="9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67" fillId="31" borderId="0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 wrapText="1"/>
    </xf>
    <xf numFmtId="0" fontId="37" fillId="25" borderId="1" applyAlignment="1" pivotButton="0" quotePrefix="0" xfId="0">
      <alignment horizontal="center" vertical="center" wrapText="1"/>
    </xf>
    <xf numFmtId="0" fontId="37" fillId="24" borderId="1" applyAlignment="1" pivotButton="0" quotePrefix="0" xfId="0">
      <alignment horizontal="center" vertical="center" wrapText="1"/>
    </xf>
    <xf numFmtId="0" fontId="65" fillId="30" borderId="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0" fillId="3" borderId="3" applyAlignment="1" pivotButton="0" quotePrefix="0" xfId="0">
      <alignment horizontal="center" vertical="center" wrapText="1"/>
    </xf>
    <xf numFmtId="0" fontId="55" fillId="2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61" fillId="30" borderId="0" applyAlignment="1" pivotButton="0" quotePrefix="0" xfId="0">
      <alignment horizontal="center" vertical="center" wrapText="1"/>
    </xf>
    <xf numFmtId="0" fontId="78" fillId="0" borderId="0" pivotButton="0" quotePrefix="0" xfId="0"/>
    <xf numFmtId="0" fontId="73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0" fontId="74" fillId="0" borderId="0" pivotButton="0" quotePrefix="0" xfId="0"/>
    <xf numFmtId="0" fontId="79" fillId="0" borderId="0" pivotButton="0" quotePrefix="0" xfId="0"/>
    <xf numFmtId="0" fontId="77" fillId="0" borderId="0" pivotButton="0" quotePrefix="0" xfId="0"/>
    <xf numFmtId="0" fontId="83" fillId="0" borderId="0" pivotButton="0" quotePrefix="0" xfId="0"/>
    <xf numFmtId="0" fontId="82" fillId="0" borderId="0" pivotButton="0" quotePrefix="0" xfId="0"/>
    <xf numFmtId="0" fontId="81" fillId="23" borderId="0" applyAlignment="1" pivotButton="0" quotePrefix="0" xfId="0">
      <alignment horizontal="center" vertical="center"/>
    </xf>
    <xf numFmtId="0" fontId="60" fillId="9" borderId="1" applyAlignment="1" pivotButton="0" quotePrefix="0" xfId="0">
      <alignment horizontal="left" vertical="center"/>
    </xf>
    <xf numFmtId="0" fontId="88" fillId="1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5" fillId="9" borderId="1" applyAlignment="1" pivotButton="0" quotePrefix="0" xfId="0">
      <alignment horizontal="center" vertical="center" wrapText="1"/>
    </xf>
    <xf numFmtId="0" fontId="86" fillId="29" borderId="1" applyAlignment="1" pivotButton="0" quotePrefix="0" xfId="0">
      <alignment horizontal="center" vertical="center" wrapText="1"/>
    </xf>
    <xf numFmtId="0" fontId="86" fillId="0" borderId="1" applyAlignment="1" pivotButton="0" quotePrefix="0" xfId="0">
      <alignment horizontal="center" vertical="center" wrapText="1"/>
    </xf>
    <xf numFmtId="0" fontId="86" fillId="3" borderId="1" applyAlignment="1" pivotButton="0" quotePrefix="0" xfId="0">
      <alignment horizontal="center" vertical="center" wrapText="1"/>
    </xf>
    <xf numFmtId="0" fontId="87" fillId="0" borderId="1" applyAlignment="1" pivotButton="0" quotePrefix="0" xfId="0">
      <alignment horizontal="center" vertical="center" wrapText="1"/>
    </xf>
    <xf numFmtId="0" fontId="93" fillId="0" borderId="1" applyAlignment="1" pivotButton="0" quotePrefix="0" xfId="0">
      <alignment horizontal="center" vertical="center"/>
    </xf>
    <xf numFmtId="0" fontId="96" fillId="0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98" fillId="38" borderId="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21" pivotButton="0" quotePrefix="0" xfId="0"/>
    <xf numFmtId="0" fontId="8" fillId="9" borderId="1" applyAlignment="1" pivotButton="0" quotePrefix="0" xfId="0">
      <alignment horizontal="left" vertical="center" wrapText="1"/>
    </xf>
    <xf numFmtId="0" fontId="98" fillId="42" borderId="1" applyAlignment="1" pivotButton="0" quotePrefix="0" xfId="0">
      <alignment horizontal="left" vertical="center" wrapText="1"/>
    </xf>
    <xf numFmtId="0" fontId="95" fillId="0" borderId="1" applyAlignment="1" pivotButton="0" quotePrefix="0" xfId="0">
      <alignment horizontal="center" vertical="center"/>
    </xf>
    <xf numFmtId="0" fontId="104" fillId="42" borderId="1" applyAlignment="1" pivotButton="0" quotePrefix="0" xfId="0">
      <alignment horizontal="left" vertical="center" wrapText="1"/>
    </xf>
    <xf numFmtId="0" fontId="94" fillId="3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98" fillId="41" borderId="1" applyAlignment="1" pivotButton="0" quotePrefix="0" xfId="0">
      <alignment horizontal="left" vertical="center" wrapText="1"/>
    </xf>
    <xf numFmtId="0" fontId="99" fillId="39" borderId="1" applyAlignment="1" pivotButton="0" quotePrefix="0" xfId="0">
      <alignment horizontal="center" vertical="center"/>
    </xf>
    <xf numFmtId="0" fontId="104" fillId="41" borderId="1" applyAlignment="1" pivotButton="0" quotePrefix="0" xfId="0">
      <alignment horizontal="left" vertical="center" wrapText="1"/>
    </xf>
    <xf numFmtId="0" fontId="110" fillId="0" borderId="1" applyAlignment="1" pivotButton="0" quotePrefix="0" xfId="0">
      <alignment horizontal="center" vertical="center" wrapText="1"/>
    </xf>
    <xf numFmtId="0" fontId="107" fillId="0" borderId="1" applyAlignment="1" pivotButton="0" quotePrefix="0" xfId="0">
      <alignment horizontal="center" vertical="center"/>
    </xf>
    <xf numFmtId="0" fontId="118" fillId="21" borderId="1" applyAlignment="1" pivotButton="0" quotePrefix="0" xfId="0">
      <alignment horizontal="center" vertical="center" wrapText="1"/>
    </xf>
    <xf numFmtId="0" fontId="90" fillId="0" borderId="1" applyAlignment="1" pivotButton="0" quotePrefix="0" xfId="0">
      <alignment horizontal="center" vertical="center" wrapText="1"/>
    </xf>
    <xf numFmtId="0" fontId="115" fillId="0" borderId="1" applyAlignment="1" pivotButton="0" quotePrefix="0" xfId="0">
      <alignment horizontal="center" vertical="center" wrapText="1"/>
    </xf>
    <xf numFmtId="0" fontId="120" fillId="18" borderId="1" applyAlignment="1" pivotButton="0" quotePrefix="0" xfId="0">
      <alignment horizontal="center" vertical="center" wrapText="1"/>
    </xf>
    <xf numFmtId="0" fontId="135" fillId="0" borderId="1" applyAlignment="1" pivotButton="0" quotePrefix="0" xfId="0">
      <alignment horizontal="left" vertical="center"/>
    </xf>
    <xf numFmtId="0" fontId="119" fillId="5" borderId="1" applyAlignment="1" pivotButton="0" quotePrefix="0" xfId="0">
      <alignment horizontal="center" vertical="center" wrapText="1"/>
    </xf>
    <xf numFmtId="0" fontId="116" fillId="38" borderId="1" applyAlignment="1" pivotButton="0" quotePrefix="0" xfId="0">
      <alignment horizontal="center" vertical="center" wrapText="1"/>
    </xf>
    <xf numFmtId="0" fontId="117" fillId="24" borderId="1" applyAlignment="1" pivotButton="0" quotePrefix="0" xfId="0">
      <alignment horizontal="center" vertical="center" wrapText="1"/>
    </xf>
    <xf numFmtId="0" fontId="90" fillId="24" borderId="1" applyAlignment="1" pivotButton="0" quotePrefix="0" xfId="0">
      <alignment horizontal="center" vertical="center" wrapText="1"/>
    </xf>
    <xf numFmtId="0" fontId="121" fillId="24" borderId="1" applyAlignment="1" pivotButton="0" quotePrefix="0" xfId="0">
      <alignment horizontal="center" vertical="center" wrapText="1"/>
    </xf>
    <xf numFmtId="0" fontId="121" fillId="24" borderId="1" applyAlignment="1" pivotButton="0" quotePrefix="0" xfId="0">
      <alignment horizontal="left" vertical="center"/>
    </xf>
    <xf numFmtId="0" fontId="117" fillId="26" borderId="1" applyAlignment="1" pivotButton="0" quotePrefix="0" xfId="0">
      <alignment horizontal="center" vertical="center" wrapText="1"/>
    </xf>
    <xf numFmtId="0" fontId="138" fillId="36" borderId="1" applyAlignment="1" pivotButton="0" quotePrefix="0" xfId="0">
      <alignment horizontal="center" vertical="center" wrapText="1"/>
    </xf>
    <xf numFmtId="0" fontId="136" fillId="26" borderId="1" applyAlignment="1" pivotButton="0" quotePrefix="0" xfId="0">
      <alignment horizontal="center" vertical="center" wrapText="1"/>
    </xf>
    <xf numFmtId="0" fontId="137" fillId="24" borderId="1" applyAlignment="1" pivotButton="0" quotePrefix="0" xfId="0">
      <alignment horizontal="center" vertical="center" wrapText="1"/>
    </xf>
    <xf numFmtId="0" fontId="121" fillId="25" borderId="1" applyAlignment="1" pivotButton="0" quotePrefix="0" xfId="0">
      <alignment horizontal="center" vertical="center" wrapText="1"/>
    </xf>
    <xf numFmtId="0" fontId="141" fillId="17" borderId="1" applyAlignment="1" pivotButton="0" quotePrefix="0" xfId="0">
      <alignment horizontal="center" vertical="center" wrapText="1"/>
    </xf>
    <xf numFmtId="0" fontId="117" fillId="25" borderId="1" applyAlignment="1" pivotButton="0" quotePrefix="0" xfId="0">
      <alignment horizontal="center" vertical="center" wrapText="1"/>
    </xf>
    <xf numFmtId="0" fontId="141" fillId="0" borderId="1" applyAlignment="1" pivotButton="0" quotePrefix="0" xfId="0">
      <alignment horizontal="center" vertical="center" wrapText="1"/>
    </xf>
    <xf numFmtId="0" fontId="90" fillId="25" borderId="1" applyAlignment="1" pivotButton="0" quotePrefix="0" xfId="0">
      <alignment horizontal="center" vertical="center" wrapText="1"/>
    </xf>
    <xf numFmtId="0" fontId="139" fillId="25" borderId="1" applyAlignment="1" pivotButton="0" quotePrefix="0" xfId="0">
      <alignment horizontal="center" vertical="center" wrapText="1"/>
    </xf>
    <xf numFmtId="0" fontId="140" fillId="25" borderId="1" applyAlignment="1" pivotButton="0" quotePrefix="0" xfId="0">
      <alignment horizontal="center" vertical="center" wrapText="1"/>
    </xf>
    <xf numFmtId="0" fontId="85" fillId="9" borderId="8" applyAlignment="1" pivotButton="0" quotePrefix="0" xfId="0">
      <alignment horizontal="center" vertical="center" wrapText="1"/>
    </xf>
    <xf numFmtId="0" fontId="88" fillId="0" borderId="1" applyAlignment="1" pivotButton="0" quotePrefix="0" xfId="0">
      <alignment horizontal="left" vertical="center"/>
    </xf>
    <xf numFmtId="0" fontId="60" fillId="9" borderId="1" applyAlignment="1" pivotButton="0" quotePrefix="0" xfId="0">
      <alignment horizontal="center" vertical="center" wrapText="1"/>
    </xf>
    <xf numFmtId="0" fontId="92" fillId="47" borderId="1" applyAlignment="1" pivotButton="0" quotePrefix="0" xfId="0">
      <alignment horizontal="left" vertical="center" wrapText="1"/>
    </xf>
    <xf numFmtId="0" fontId="92" fillId="37" borderId="1" applyAlignment="1" pivotButton="0" quotePrefix="0" xfId="0">
      <alignment horizontal="left" vertical="center" wrapText="1"/>
    </xf>
    <xf numFmtId="0" fontId="92" fillId="36" borderId="1" applyAlignment="1" pivotButton="0" quotePrefix="0" xfId="0">
      <alignment horizontal="left" vertical="center" wrapText="1"/>
    </xf>
    <xf numFmtId="0" fontId="60" fillId="45" borderId="1" applyAlignment="1" pivotButton="0" quotePrefix="0" xfId="0">
      <alignment horizontal="center" vertical="center" wrapText="1"/>
    </xf>
    <xf numFmtId="0" fontId="92" fillId="5" borderId="1" applyAlignment="1" pivotButton="0" quotePrefix="0" xfId="0">
      <alignment horizontal="left" vertical="center" wrapText="1"/>
    </xf>
    <xf numFmtId="0" fontId="90" fillId="28" borderId="1" applyAlignment="1" pivotButton="0" quotePrefix="0" xfId="0">
      <alignment horizontal="center" vertical="center" wrapText="1"/>
    </xf>
    <xf numFmtId="0" fontId="143" fillId="24" borderId="1" applyAlignment="1" pivotButton="0" quotePrefix="0" xfId="0">
      <alignment horizontal="center" vertical="center" wrapText="1"/>
    </xf>
    <xf numFmtId="0" fontId="60" fillId="46" borderId="1" applyAlignment="1" pivotButton="0" quotePrefix="0" xfId="0">
      <alignment horizontal="center" vertical="center" wrapText="1"/>
    </xf>
    <xf numFmtId="0" fontId="144" fillId="13" borderId="1" applyAlignment="1" pivotButton="0" quotePrefix="0" xfId="0">
      <alignment horizontal="center" vertical="center" wrapText="1"/>
    </xf>
    <xf numFmtId="0" fontId="144" fillId="38" borderId="1" applyAlignment="1" pivotButton="0" quotePrefix="0" xfId="0">
      <alignment horizontal="left" vertical="center"/>
    </xf>
    <xf numFmtId="0" fontId="139" fillId="48" borderId="1" applyAlignment="1" pivotButton="0" quotePrefix="0" xfId="0">
      <alignment horizontal="center" vertical="center" wrapText="1"/>
    </xf>
    <xf numFmtId="0" fontId="88" fillId="4" borderId="1" applyAlignment="1" pivotButton="0" quotePrefix="0" xfId="0">
      <alignment horizontal="left" vertical="center"/>
    </xf>
    <xf numFmtId="0" fontId="88" fillId="4" borderId="1" applyAlignment="1" pivotButton="0" quotePrefix="0" xfId="0">
      <alignment horizontal="center" vertical="center" wrapText="1"/>
    </xf>
    <xf numFmtId="0" fontId="157" fillId="1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48" fillId="36" borderId="1" applyAlignment="1" pivotButton="0" quotePrefix="0" xfId="0">
      <alignment horizontal="center" vertical="center"/>
    </xf>
    <xf numFmtId="0" fontId="85" fillId="24" borderId="1" applyAlignment="1" pivotButton="0" quotePrefix="0" xfId="0">
      <alignment horizontal="center" vertical="center" wrapText="1"/>
    </xf>
    <xf numFmtId="0" fontId="157" fillId="22" borderId="1" applyAlignment="1" pivotButton="0" quotePrefix="0" xfId="0">
      <alignment horizontal="center" vertical="center"/>
    </xf>
    <xf numFmtId="0" fontId="85" fillId="0" borderId="1" applyAlignment="1" pivotButton="0" quotePrefix="0" xfId="0">
      <alignment horizontal="center" vertical="center" wrapText="1"/>
    </xf>
    <xf numFmtId="0" fontId="85" fillId="29" borderId="1" applyAlignment="1" pivotButton="0" quotePrefix="0" xfId="0">
      <alignment horizontal="center" vertical="center" wrapText="1"/>
    </xf>
    <xf numFmtId="0" fontId="85" fillId="3" borderId="1" applyAlignment="1" pivotButton="0" quotePrefix="0" xfId="0">
      <alignment horizontal="center" vertical="center" wrapText="1"/>
    </xf>
    <xf numFmtId="0" fontId="88" fillId="0" borderId="1" applyAlignment="1" pivotButton="0" quotePrefix="0" xfId="0">
      <alignment horizontal="left" vertical="center" wrapText="1"/>
    </xf>
    <xf numFmtId="0" fontId="87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69" fillId="24" borderId="1" applyAlignment="1" pivotButton="0" quotePrefix="0" xfId="0">
      <alignment horizontal="center" vertical="center"/>
    </xf>
    <xf numFmtId="0" fontId="86" fillId="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88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104" fillId="38" borderId="1" applyAlignment="1" pivotButton="0" quotePrefix="0" xfId="0">
      <alignment horizontal="center" vertical="center"/>
    </xf>
    <xf numFmtId="0" fontId="102" fillId="41" borderId="1" applyAlignment="1" pivotButton="0" quotePrefix="0" xfId="0">
      <alignment horizontal="left" vertical="center" wrapText="1"/>
    </xf>
    <xf numFmtId="0" fontId="98" fillId="50" borderId="1" applyAlignment="1" pivotButton="0" quotePrefix="0" xfId="0">
      <alignment horizontal="left" vertical="center"/>
    </xf>
    <xf numFmtId="0" fontId="176" fillId="44" borderId="1" applyAlignment="1" pivotButton="0" quotePrefix="0" xfId="0">
      <alignment horizontal="left" vertical="center" wrapText="1"/>
    </xf>
    <xf numFmtId="0" fontId="98" fillId="39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72" fillId="49" borderId="1" applyAlignment="1" pivotButton="0" quotePrefix="0" xfId="0">
      <alignment horizontal="center" vertical="center"/>
    </xf>
    <xf numFmtId="0" fontId="99" fillId="0" borderId="1" applyAlignment="1" pivotButton="0" quotePrefix="0" xfId="0">
      <alignment horizontal="center" vertical="center"/>
    </xf>
    <xf numFmtId="0" fontId="105" fillId="41" borderId="1" applyAlignment="1" pivotButton="0" quotePrefix="0" xfId="0">
      <alignment horizontal="left" vertical="center" wrapText="1"/>
    </xf>
    <xf numFmtId="0" fontId="175" fillId="0" borderId="1" applyAlignment="1" pivotButton="0" quotePrefix="0" xfId="0">
      <alignment horizontal="center" vertical="center"/>
    </xf>
    <xf numFmtId="0" fontId="185" fillId="0" borderId="1" applyAlignment="1" pivotButton="0" quotePrefix="0" xfId="0">
      <alignment horizontal="center" vertical="center"/>
    </xf>
    <xf numFmtId="0" fontId="92" fillId="0" borderId="1" applyAlignment="1" pivotButton="0" quotePrefix="0" xfId="0">
      <alignment horizontal="left" vertical="center" wrapText="1"/>
    </xf>
    <xf numFmtId="0" fontId="183" fillId="0" borderId="1" applyAlignment="1" pivotButton="0" quotePrefix="0" xfId="0">
      <alignment horizontal="center" vertical="center"/>
    </xf>
    <xf numFmtId="0" fontId="177" fillId="49" borderId="1" applyAlignment="1" pivotButton="0" quotePrefix="0" xfId="0">
      <alignment horizontal="center" vertical="center"/>
    </xf>
    <xf numFmtId="0" fontId="180" fillId="38" borderId="1" applyAlignment="1" pivotButton="0" quotePrefix="0" xfId="0">
      <alignment horizontal="center" vertical="center"/>
    </xf>
    <xf numFmtId="0" fontId="192" fillId="0" borderId="1" applyAlignment="1" pivotButton="0" quotePrefix="0" xfId="0">
      <alignment horizontal="center" vertical="center"/>
    </xf>
    <xf numFmtId="0" fontId="190" fillId="0" borderId="1" applyAlignment="1" pivotButton="0" quotePrefix="0" xfId="0">
      <alignment horizontal="center" vertical="center"/>
    </xf>
    <xf numFmtId="0" fontId="196" fillId="0" borderId="1" applyAlignment="1" pivotButton="0" quotePrefix="0" xfId="0">
      <alignment horizontal="center" vertical="center"/>
    </xf>
    <xf numFmtId="0" fontId="178" fillId="38" borderId="1" applyAlignment="1" pivotButton="0" quotePrefix="0" xfId="0">
      <alignment horizontal="center" vertical="center"/>
    </xf>
    <xf numFmtId="0" fontId="194" fillId="0" borderId="1" applyAlignment="1" pivotButton="0" quotePrefix="0" xfId="0">
      <alignment horizontal="center" vertical="center"/>
    </xf>
    <xf numFmtId="0" fontId="179" fillId="0" borderId="1" applyAlignment="1" pivotButton="0" quotePrefix="0" xfId="0">
      <alignment horizontal="center" vertical="center"/>
    </xf>
    <xf numFmtId="0" fontId="187" fillId="40" borderId="1" applyAlignment="1" pivotButton="0" quotePrefix="0" xfId="0">
      <alignment horizontal="center" vertical="center"/>
    </xf>
    <xf numFmtId="0" fontId="110" fillId="49" borderId="1" applyAlignment="1" pivotButton="0" quotePrefix="0" xfId="0">
      <alignment horizontal="center" vertical="center"/>
    </xf>
    <xf numFmtId="0" fontId="200" fillId="0" borderId="1" applyAlignment="1" pivotButton="0" quotePrefix="0" xfId="0">
      <alignment horizontal="center" vertical="center" wrapText="1"/>
    </xf>
    <xf numFmtId="0" fontId="199" fillId="5" borderId="1" applyAlignment="1" pivotButton="0" quotePrefix="0" xfId="0">
      <alignment horizontal="center" vertical="center" wrapText="1"/>
    </xf>
    <xf numFmtId="0" fontId="201" fillId="0" borderId="1" applyAlignment="1" pivotButton="0" quotePrefix="0" xfId="0">
      <alignment horizontal="left" vertical="center"/>
    </xf>
    <xf numFmtId="0" fontId="199" fillId="20" borderId="1" applyAlignment="1" pivotButton="0" quotePrefix="0" xfId="0">
      <alignment horizontal="center" vertical="center" wrapText="1"/>
    </xf>
    <xf numFmtId="0" fontId="209" fillId="0" borderId="1" applyAlignment="1" pivotButton="0" quotePrefix="0" xfId="0">
      <alignment horizontal="left" vertical="center"/>
    </xf>
    <xf numFmtId="0" fontId="208" fillId="0" borderId="1" applyAlignment="1" pivotButton="0" quotePrefix="0" xfId="0">
      <alignment horizontal="left" vertical="center"/>
    </xf>
    <xf numFmtId="0" fontId="207" fillId="29" borderId="1" applyAlignment="1" pivotButton="0" quotePrefix="0" xfId="0">
      <alignment horizontal="center" vertical="center"/>
    </xf>
    <xf numFmtId="0" fontId="207" fillId="0" borderId="1" applyAlignment="1" pivotButton="0" quotePrefix="0" xfId="0">
      <alignment horizontal="center" vertical="center"/>
    </xf>
    <xf numFmtId="0" fontId="220" fillId="0" borderId="1" applyAlignment="1" pivotButton="0" quotePrefix="0" xfId="0">
      <alignment horizontal="center" vertical="center"/>
    </xf>
    <xf numFmtId="0" fontId="219" fillId="0" borderId="1" applyAlignment="1" pivotButton="0" quotePrefix="0" xfId="0">
      <alignment horizontal="center" vertical="center"/>
    </xf>
    <xf numFmtId="0" fontId="218" fillId="24" borderId="1" applyAlignment="1" pivotButton="0" quotePrefix="0" xfId="0">
      <alignment horizontal="center" vertical="center"/>
    </xf>
    <xf numFmtId="0" fontId="236" fillId="42" borderId="1" applyAlignment="1" pivotButton="0" quotePrefix="0" xfId="0">
      <alignment horizontal="center" vertical="center"/>
    </xf>
    <xf numFmtId="0" fontId="245" fillId="56" borderId="1" applyAlignment="1" pivotButton="0" quotePrefix="0" xfId="0">
      <alignment horizontal="center" vertical="center" wrapText="1"/>
    </xf>
    <xf numFmtId="0" fontId="237" fillId="54" borderId="1" applyAlignment="1" pivotButton="0" quotePrefix="0" xfId="0">
      <alignment horizontal="center" vertical="center"/>
    </xf>
    <xf numFmtId="0" fontId="244" fillId="17" borderId="1" applyAlignment="1" pivotButton="0" quotePrefix="0" xfId="0">
      <alignment horizontal="center" vertical="center" wrapText="1"/>
    </xf>
    <xf numFmtId="0" fontId="237" fillId="17" borderId="1" applyAlignment="1" pivotButton="0" quotePrefix="0" xfId="0">
      <alignment horizontal="center" vertical="center"/>
    </xf>
    <xf numFmtId="0" fontId="240" fillId="56" borderId="1" applyAlignment="1" pivotButton="0" quotePrefix="0" xfId="0">
      <alignment horizontal="center" vertical="center"/>
    </xf>
    <xf numFmtId="0" fontId="238" fillId="5" borderId="1" applyAlignment="1" pivotButton="0" quotePrefix="0" xfId="0">
      <alignment horizontal="center" vertical="center"/>
    </xf>
    <xf numFmtId="0" fontId="237" fillId="5" borderId="1" applyAlignment="1" pivotButton="0" quotePrefix="0" xfId="0">
      <alignment horizontal="center" vertical="center"/>
    </xf>
    <xf numFmtId="0" fontId="239" fillId="54" borderId="1" applyAlignment="1" pivotButton="0" quotePrefix="0" xfId="0">
      <alignment horizontal="center" vertical="center"/>
    </xf>
    <xf numFmtId="0" fontId="241" fillId="17" borderId="1" applyAlignment="1" pivotButton="0" quotePrefix="0" xfId="0">
      <alignment horizontal="center" vertical="center"/>
    </xf>
    <xf numFmtId="0" fontId="250" fillId="17" borderId="1" applyAlignment="1" pivotButton="0" quotePrefix="0" xfId="0">
      <alignment horizontal="left" vertical="center" wrapText="1"/>
    </xf>
    <xf numFmtId="0" fontId="243" fillId="54" borderId="1" applyAlignment="1" pivotButton="0" quotePrefix="0" xfId="0">
      <alignment horizontal="center" vertical="center" wrapText="1"/>
    </xf>
    <xf numFmtId="0" fontId="121" fillId="26" borderId="1" applyAlignment="1" pivotButton="0" quotePrefix="0" xfId="0">
      <alignment horizontal="left" vertical="center"/>
    </xf>
    <xf numFmtId="0" fontId="121" fillId="9" borderId="1" applyAlignment="1" pivotButton="0" quotePrefix="0" xfId="0">
      <alignment horizontal="left" vertical="center"/>
    </xf>
    <xf numFmtId="0" fontId="242" fillId="5" borderId="1" applyAlignment="1" pivotButton="0" quotePrefix="0" xfId="0">
      <alignment horizontal="center" vertical="center" wrapText="1"/>
    </xf>
    <xf numFmtId="0" fontId="259" fillId="0" borderId="1" applyAlignment="1" pivotButton="0" quotePrefix="0" xfId="0">
      <alignment horizontal="left" vertical="center"/>
    </xf>
    <xf numFmtId="0" fontId="90" fillId="51" borderId="1" applyAlignment="1" pivotButton="0" quotePrefix="0" xfId="0">
      <alignment horizontal="left" vertical="center"/>
    </xf>
    <xf numFmtId="0" fontId="251" fillId="55" borderId="1" applyAlignment="1" pivotButton="0" quotePrefix="0" xfId="0">
      <alignment horizontal="center" vertical="center"/>
    </xf>
    <xf numFmtId="0" fontId="261" fillId="0" borderId="1" applyAlignment="1" pivotButton="0" quotePrefix="0" xfId="0">
      <alignment horizontal="left" vertical="center" wrapText="1"/>
    </xf>
    <xf numFmtId="0" fontId="90" fillId="8" borderId="1" applyAlignment="1" pivotButton="0" quotePrefix="0" xfId="0">
      <alignment horizontal="left" vertical="center"/>
    </xf>
    <xf numFmtId="0" fontId="262" fillId="56" borderId="1" applyAlignment="1" pivotButton="0" quotePrefix="0" xfId="0">
      <alignment horizontal="left" vertical="center" wrapText="1"/>
    </xf>
    <xf numFmtId="0" fontId="251" fillId="26" borderId="1" applyAlignment="1" pivotButton="0" quotePrefix="0" xfId="0">
      <alignment horizontal="center" vertical="center"/>
    </xf>
    <xf numFmtId="0" fontId="90" fillId="26" borderId="1" applyAlignment="1" pivotButton="0" quotePrefix="0" xfId="0">
      <alignment horizontal="left" vertical="center"/>
    </xf>
    <xf numFmtId="0" fontId="251" fillId="3" borderId="1" applyAlignment="1" pivotButton="0" quotePrefix="0" xfId="0">
      <alignment horizontal="center" vertical="center"/>
    </xf>
    <xf numFmtId="0" fontId="211" fillId="4" borderId="1" applyAlignment="1" pivotButton="0" quotePrefix="0" xfId="0">
      <alignment horizontal="left" vertical="center"/>
    </xf>
    <xf numFmtId="0" fontId="211" fillId="37" borderId="1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90" fillId="3" borderId="1" applyAlignment="1" pivotButton="0" quotePrefix="0" xfId="0">
      <alignment horizontal="left" vertical="center"/>
    </xf>
    <xf numFmtId="0" fontId="211" fillId="4" borderId="1" applyAlignment="1" pivotButton="0" quotePrefix="0" xfId="0">
      <alignment horizontal="left" vertical="center" wrapText="1"/>
    </xf>
    <xf numFmtId="0" fontId="211" fillId="37" borderId="1" applyAlignment="1" pivotButton="0" quotePrefix="0" xfId="0">
      <alignment horizontal="left" vertical="center"/>
    </xf>
    <xf numFmtId="0" fontId="211" fillId="0" borderId="1" applyAlignment="1" pivotButton="0" quotePrefix="0" xfId="0">
      <alignment horizontal="left" vertical="center"/>
    </xf>
    <xf numFmtId="0" fontId="251" fillId="51" borderId="1" applyAlignment="1" pivotButton="0" quotePrefix="0" xfId="0">
      <alignment horizontal="center" vertical="center"/>
    </xf>
    <xf numFmtId="0" fontId="276" fillId="0" borderId="1" applyAlignment="1" pivotButton="0" quotePrefix="0" xfId="0">
      <alignment horizontal="left" vertical="center" wrapText="1"/>
    </xf>
    <xf numFmtId="0" fontId="278" fillId="0" borderId="1" applyAlignment="1" pivotButton="0" quotePrefix="0" xfId="0">
      <alignment horizontal="left" vertical="center" wrapText="1"/>
    </xf>
    <xf numFmtId="0" fontId="279" fillId="17" borderId="1" applyAlignment="1" pivotButton="0" quotePrefix="0" xfId="0">
      <alignment horizontal="left" vertical="center" wrapText="1"/>
    </xf>
    <xf numFmtId="0" fontId="86" fillId="55" borderId="1" applyAlignment="1" pivotButton="0" quotePrefix="0" xfId="0">
      <alignment horizontal="center" vertical="center" wrapText="1"/>
    </xf>
    <xf numFmtId="0" fontId="276" fillId="0" borderId="1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 wrapText="1"/>
    </xf>
    <xf numFmtId="0" fontId="87" fillId="55" borderId="1" applyAlignment="1" pivotButton="0" quotePrefix="0" xfId="0">
      <alignment horizontal="center" vertical="center" wrapText="1"/>
    </xf>
    <xf numFmtId="0" fontId="277" fillId="17" borderId="1" applyAlignment="1" pivotButton="0" quotePrefix="0" xfId="0">
      <alignment horizontal="left" vertical="center" wrapText="1"/>
    </xf>
    <xf numFmtId="0" fontId="73" fillId="0" borderId="1" applyAlignment="1" pivotButton="0" quotePrefix="0" xfId="0">
      <alignment horizontal="left" vertical="center"/>
    </xf>
    <xf numFmtId="0" fontId="280" fillId="4" borderId="1" applyAlignment="1" pivotButton="0" quotePrefix="0" xfId="0">
      <alignment vertical="top" wrapText="1"/>
    </xf>
    <xf numFmtId="0" fontId="86" fillId="26" borderId="1" applyAlignment="1" pivotButton="0" quotePrefix="0" xfId="0">
      <alignment horizontal="center" vertical="center"/>
    </xf>
    <xf numFmtId="0" fontId="87" fillId="26" borderId="1" applyAlignment="1" pivotButton="0" quotePrefix="0" xfId="0">
      <alignment horizontal="left" vertical="center"/>
    </xf>
    <xf numFmtId="0" fontId="87" fillId="25" borderId="1" applyAlignment="1" pivotButton="0" quotePrefix="0" xfId="0">
      <alignment horizontal="left" vertical="center"/>
    </xf>
    <xf numFmtId="0" fontId="87" fillId="9" borderId="1" applyAlignment="1" pivotButton="0" quotePrefix="0" xfId="0">
      <alignment horizontal="left" vertical="center"/>
    </xf>
    <xf numFmtId="0" fontId="87" fillId="51" borderId="1" applyAlignment="1" pivotButton="0" quotePrefix="0" xfId="0">
      <alignment horizontal="left" vertical="center"/>
    </xf>
    <xf numFmtId="0" fontId="282" fillId="0" borderId="1" applyAlignment="1" pivotButton="0" quotePrefix="0" xfId="0">
      <alignment horizontal="left" vertical="center"/>
    </xf>
    <xf numFmtId="0" fontId="207" fillId="24" borderId="1" applyAlignment="1" pivotButton="0" quotePrefix="0" xfId="0">
      <alignment horizontal="center" vertical="center" wrapText="1"/>
    </xf>
    <xf numFmtId="0" fontId="290" fillId="0" borderId="1" applyAlignment="1" pivotButton="0" quotePrefix="0" xfId="0">
      <alignment horizontal="center" vertical="center" wrapText="1"/>
    </xf>
    <xf numFmtId="0" fontId="291" fillId="38" borderId="1" applyAlignment="1" pivotButton="0" quotePrefix="0" xfId="0">
      <alignment horizontal="center" vertical="center" wrapText="1"/>
    </xf>
    <xf numFmtId="0" fontId="299" fillId="49" borderId="1" applyAlignment="1" pivotButton="0" quotePrefix="0" xfId="0">
      <alignment horizontal="center" vertical="center" wrapText="1"/>
    </xf>
    <xf numFmtId="0" fontId="290" fillId="49" borderId="1" applyAlignment="1" pivotButton="0" quotePrefix="0" xfId="0">
      <alignment horizontal="center" vertical="center" wrapText="1"/>
    </xf>
    <xf numFmtId="0" fontId="298" fillId="49" borderId="1" applyAlignment="1" pivotButton="0" quotePrefix="0" xfId="0">
      <alignment horizontal="center" vertical="center" wrapText="1"/>
    </xf>
    <xf numFmtId="0" fontId="297" fillId="49" borderId="1" applyAlignment="1" pivotButton="0" quotePrefix="0" xfId="0">
      <alignment horizontal="center" vertical="center" wrapText="1"/>
    </xf>
    <xf numFmtId="0" fontId="296" fillId="0" borderId="1" applyAlignment="1" pivotButton="0" quotePrefix="0" xfId="0">
      <alignment horizontal="center" vertical="center" wrapText="1"/>
    </xf>
    <xf numFmtId="0" fontId="296" fillId="49" borderId="1" applyAlignment="1" pivotButton="0" quotePrefix="0" xfId="0">
      <alignment horizontal="center" vertical="center" wrapText="1"/>
    </xf>
    <xf numFmtId="0" fontId="98" fillId="0" borderId="1" applyAlignment="1" pivotButton="0" quotePrefix="0" xfId="0">
      <alignment horizontal="left" vertical="center"/>
    </xf>
    <xf numFmtId="0" fontId="303" fillId="50" borderId="1" applyAlignment="1" pivotButton="0" quotePrefix="0" xfId="0">
      <alignment horizontal="left" vertical="center"/>
    </xf>
    <xf numFmtId="0" fontId="303" fillId="0" borderId="1" applyAlignment="1" pivotButton="0" quotePrefix="0" xfId="0">
      <alignment horizontal="left" vertical="center"/>
    </xf>
    <xf numFmtId="0" fontId="175" fillId="50" borderId="1" applyAlignment="1" pivotButton="0" quotePrefix="0" xfId="0">
      <alignment horizontal="center" vertical="center"/>
    </xf>
    <xf numFmtId="0" fontId="107" fillId="49" borderId="1" applyAlignment="1" pivotButton="0" quotePrefix="0" xfId="0">
      <alignment horizontal="left" vertical="center"/>
    </xf>
    <xf numFmtId="0" fontId="98" fillId="49" borderId="1" applyAlignment="1" pivotButton="0" quotePrefix="0" xfId="0">
      <alignment horizontal="left" vertical="center"/>
    </xf>
    <xf numFmtId="0" fontId="290" fillId="49" borderId="1" applyAlignment="1" pivotButton="0" quotePrefix="0" xfId="0">
      <alignment horizontal="center" vertical="center"/>
    </xf>
    <xf numFmtId="0" fontId="301" fillId="49" borderId="1" applyAlignment="1" pivotButton="0" quotePrefix="0" xfId="0">
      <alignment horizontal="left" vertical="center"/>
    </xf>
    <xf numFmtId="0" fontId="103" fillId="0" borderId="1" applyAlignment="1" pivotButton="0" quotePrefix="0" xfId="0">
      <alignment horizontal="center" vertical="center"/>
    </xf>
    <xf numFmtId="0" fontId="293" fillId="38" borderId="1" applyAlignment="1" pivotButton="0" quotePrefix="0" xfId="0">
      <alignment horizontal="center" vertical="center"/>
    </xf>
    <xf numFmtId="0" fontId="314" fillId="50" borderId="1" applyAlignment="1" pivotButton="0" quotePrefix="0" xfId="0">
      <alignment horizontal="center" vertical="center"/>
    </xf>
    <xf numFmtId="0" fontId="290" fillId="0" borderId="1" applyAlignment="1" pivotButton="0" quotePrefix="0" xfId="0">
      <alignment horizontal="center" vertical="center"/>
    </xf>
    <xf numFmtId="0" fontId="301" fillId="50" borderId="1" applyAlignment="1" pivotButton="0" quotePrefix="0" xfId="0">
      <alignment horizontal="left" vertical="center"/>
    </xf>
    <xf numFmtId="9" fontId="98" fillId="49" borderId="1" applyAlignment="1" pivotButton="0" quotePrefix="0" xfId="0">
      <alignment horizontal="left" vertical="center"/>
    </xf>
    <xf numFmtId="10" fontId="98" fillId="49" borderId="1" applyAlignment="1" pivotButton="0" quotePrefix="0" xfId="0">
      <alignment horizontal="left" vertical="center"/>
    </xf>
    <xf numFmtId="0" fontId="316" fillId="49" borderId="1" applyAlignment="1" pivotButton="0" quotePrefix="0" xfId="0">
      <alignment horizontal="left" vertical="center"/>
    </xf>
    <xf numFmtId="0" fontId="100" fillId="50" borderId="1" applyAlignment="1" pivotButton="0" quotePrefix="0" xfId="0">
      <alignment horizontal="center" vertical="center"/>
    </xf>
    <xf numFmtId="0" fontId="99" fillId="49" borderId="1" applyAlignment="1" pivotButton="0" quotePrefix="0" xfId="0">
      <alignment horizontal="center" vertical="center"/>
    </xf>
    <xf numFmtId="0" fontId="320" fillId="0" borderId="1" applyAlignment="1" pivotButton="0" quotePrefix="0" xfId="0">
      <alignment horizontal="center" vertical="center"/>
    </xf>
    <xf numFmtId="0" fontId="100" fillId="49" borderId="1" applyAlignment="1" pivotButton="0" quotePrefix="0" xfId="0">
      <alignment horizontal="left" vertical="center"/>
    </xf>
    <xf numFmtId="0" fontId="103" fillId="49" borderId="1" applyAlignment="1" pivotButton="0" quotePrefix="0" xfId="0">
      <alignment horizontal="left" vertical="center"/>
    </xf>
    <xf numFmtId="0" fontId="324" fillId="0" borderId="0" pivotButton="0" quotePrefix="0" xfId="0"/>
    <xf numFmtId="0" fontId="321" fillId="49" borderId="1" applyAlignment="1" pivotButton="0" quotePrefix="0" xfId="0">
      <alignment horizontal="center" vertical="center"/>
    </xf>
    <xf numFmtId="0" fontId="121" fillId="28" borderId="0" applyAlignment="1" pivotButton="0" quotePrefix="0" xfId="0">
      <alignment horizontal="left" vertical="center" indent="1"/>
    </xf>
    <xf numFmtId="0" fontId="236" fillId="24" borderId="0" applyAlignment="1" pivotButton="0" quotePrefix="0" xfId="0">
      <alignment horizontal="center" vertical="center"/>
    </xf>
    <xf numFmtId="0" fontId="325" fillId="12" borderId="0" applyAlignment="1" pivotButton="0" quotePrefix="0" xfId="0">
      <alignment horizontal="center" vertical="center"/>
    </xf>
    <xf numFmtId="0" fontId="330" fillId="6" borderId="0" pivotButton="0" quotePrefix="0" xfId="0"/>
    <xf numFmtId="0" fontId="27" fillId="0" borderId="0" pivotButton="0" quotePrefix="0" xfId="0"/>
    <xf numFmtId="0" fontId="336" fillId="17" borderId="0" pivotButton="0" quotePrefix="0" xfId="0"/>
    <xf numFmtId="0" fontId="334" fillId="0" borderId="0" pivotButton="0" quotePrefix="0" xfId="0"/>
    <xf numFmtId="0" fontId="87" fillId="60" borderId="0" applyAlignment="1" pivotButton="0" quotePrefix="0" xfId="0">
      <alignment horizontal="center" vertical="center" wrapText="1"/>
    </xf>
    <xf numFmtId="0" fontId="336" fillId="54" borderId="9" pivotButton="0" quotePrefix="0" xfId="0"/>
    <xf numFmtId="0" fontId="335" fillId="16" borderId="9" applyAlignment="1" pivotButton="0" quotePrefix="0" xfId="0">
      <alignment horizontal="center" vertical="center" wrapText="1"/>
    </xf>
    <xf numFmtId="0" fontId="338" fillId="32" borderId="0" pivotButton="0" quotePrefix="0" xfId="0"/>
    <xf numFmtId="0" fontId="336" fillId="16" borderId="9" pivotButton="0" quotePrefix="0" xfId="0"/>
    <xf numFmtId="0" fontId="336" fillId="22" borderId="9" pivotButton="0" quotePrefix="0" xfId="0"/>
    <xf numFmtId="0" fontId="336" fillId="17" borderId="9" pivotButton="0" quotePrefix="0" xfId="0"/>
    <xf numFmtId="0" fontId="86" fillId="24" borderId="0" applyAlignment="1" pivotButton="0" quotePrefix="0" xfId="0">
      <alignment horizontal="center" vertical="center" wrapText="1"/>
    </xf>
    <xf numFmtId="0" fontId="338" fillId="32" borderId="0" applyAlignment="1" pivotButton="0" quotePrefix="0" xfId="0">
      <alignment horizontal="left" vertical="center" wrapText="1"/>
    </xf>
    <xf numFmtId="0" fontId="80" fillId="13" borderId="0" applyAlignment="1" pivotButton="0" quotePrefix="0" xfId="0">
      <alignment horizontal="center" vertical="center" wrapText="1"/>
    </xf>
    <xf numFmtId="0" fontId="344" fillId="31" borderId="0" applyAlignment="1" pivotButton="0" quotePrefix="0" xfId="0">
      <alignment horizontal="center" vertical="center" wrapText="1"/>
    </xf>
    <xf numFmtId="14" fontId="288" fillId="41" borderId="1" applyAlignment="1" pivotButton="0" quotePrefix="0" xfId="0">
      <alignment horizontal="left" vertical="center"/>
    </xf>
    <xf numFmtId="14" fontId="288" fillId="42" borderId="1" applyAlignment="1" pivotButton="0" quotePrefix="0" xfId="0">
      <alignment horizontal="left" vertical="center"/>
    </xf>
    <xf numFmtId="14" fontId="101" fillId="59" borderId="1" applyAlignment="1" pivotButton="0" quotePrefix="0" xfId="0">
      <alignment horizontal="left" vertical="center"/>
    </xf>
  </cellXfs>
  <cellStyles count="1">
    <cellStyle name="Bình thường" xfId="0" builtinId="0"/>
  </cellStyles>
  <dxfs count="3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9D1"/>
      <rgbColor rgb="FF0000FF"/>
      <rgbColor rgb="FFFFFF00"/>
      <rgbColor rgb="FFFEECEC"/>
      <rgbColor rgb="FFEBF1F9"/>
      <rgbColor rgb="FF8A0000"/>
      <rgbColor rgb="FF026404"/>
      <rgbColor rgb="FF0F173D"/>
      <rgbColor rgb="FF0A120F"/>
      <rgbColor rgb="FFC00000"/>
      <rgbColor rgb="FF1576AE"/>
      <rgbColor rgb="FFC4BFD6"/>
      <rgbColor rgb="FF81806E"/>
      <rgbColor rgb="FF83AFDF"/>
      <rgbColor rgb="FF181100"/>
      <rgbColor rgb="FFFFF9CA"/>
      <rgbColor rgb="FFD7F1DA"/>
      <rgbColor rgb="FF541E8C"/>
      <rgbColor rgb="FFFFE7E2"/>
      <rgbColor rgb="FF0D74B4"/>
      <rgbColor rgb="FFCBD3E2"/>
      <rgbColor rgb="FF152039"/>
      <rgbColor rgb="FFF6F9FF"/>
      <rgbColor rgb="FFFFF2CC"/>
      <rgbColor rgb="FFEDF3FC"/>
      <rgbColor rgb="FF0F1E2E"/>
      <rgbColor rgb="FF920000"/>
      <rgbColor rgb="FF1E4E78"/>
      <rgbColor rgb="FF0D1A28"/>
      <rgbColor rgb="FFF0F3F5"/>
      <rgbColor rgb="FFE0F2DB"/>
      <rgbColor rgb="FFCAEFCB"/>
      <rgbColor rgb="FFFFEF9A"/>
      <rgbColor rgb="FFC3E0C6"/>
      <rgbColor rgb="FFFEE5DC"/>
      <rgbColor rgb="FFBFE0AD"/>
      <rgbColor rgb="FFFBDB56"/>
      <rgbColor rgb="FF1F4B7B"/>
      <rgbColor rgb="FF02E0A1"/>
      <rgbColor rgb="FFC9EECA"/>
      <rgbColor rgb="FFFFD901"/>
      <rgbColor rgb="FFE0F1DC"/>
      <rgbColor rgb="FFFF680F"/>
      <rgbColor rgb="FF5B6A6E"/>
      <rgbColor rgb="FF888888"/>
      <rgbColor rgb="FF163863"/>
      <rgbColor rgb="FFE0EBF6"/>
      <rgbColor rgb="FF0E2E0D"/>
      <rgbColor rgb="FF0F2D10"/>
      <rgbColor rgb="FF885600"/>
      <rgbColor rgb="FF0B1506"/>
      <rgbColor rgb="FF1E3863"/>
      <rgbColor rgb="FF1F38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styles" Target="styles.xml" Id="rId85"/><Relationship Type="http://schemas.openxmlformats.org/officeDocument/2006/relationships/theme" Target="theme/theme1.xml" Id="rId8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TONG_HOP_v42_SOI_CO_DOC_DANH_DAT.xlsx" TargetMode="External" Id="rId1"/><Relationship Type="http://schemas.openxmlformats.org/officeDocument/2006/relationships/hyperlink" Target="TONG_HOP_v42_SOI_CO_DOC_DANH_DAT.xlsx" TargetMode="External" Id="rId2"/><Relationship Type="http://schemas.openxmlformats.org/officeDocument/2006/relationships/hyperlink" Target="TONG_HOP_v42_SOI_CO_DOC_DANH_DAT.xlsx" TargetMode="External" Id="rId3"/><Relationship Type="http://schemas.openxmlformats.org/officeDocument/2006/relationships/hyperlink" Target="TONG_HOP_v42_SOI_CO_DOC_DANH_DAT.xlsx" TargetMode="External" Id="rId4"/><Relationship Type="http://schemas.openxmlformats.org/officeDocument/2006/relationships/hyperlink" Target="TONG_HOP_v42_SOI_CO_DOC_DANH_DAT.xlsx" TargetMode="External" Id="rId5"/><Relationship Type="http://schemas.openxmlformats.org/officeDocument/2006/relationships/hyperlink" Target="TONG_HOP_v42_SOI_CO_DOC_DANH_DAT.xlsx" TargetMode="External" Id="rId6"/><Relationship Type="http://schemas.openxmlformats.org/officeDocument/2006/relationships/hyperlink" Target="TONG_HOP_v42_SOI_CO_DOC_DANH_DAT.xlsx" TargetMode="External" Id="rId7"/><Relationship Type="http://schemas.openxmlformats.org/officeDocument/2006/relationships/hyperlink" Target="TONG_HOP_v42_SOI_CO_DOC_DANH_DAT.xlsx" TargetMode="External" Id="rId8"/><Relationship Type="http://schemas.openxmlformats.org/officeDocument/2006/relationships/hyperlink" Target="TONG_HOP_v42_SOI_CO_DOC_DANH_DAT.xlsx" TargetMode="External" Id="rId9"/><Relationship Type="http://schemas.openxmlformats.org/officeDocument/2006/relationships/hyperlink" Target="TONG_HOP_v42_SOI_CO_DOC_DANH_DAT.xlsx" TargetMode="External" Id="rId10"/><Relationship Type="http://schemas.openxmlformats.org/officeDocument/2006/relationships/hyperlink" Target="TONG_HOP_v42_SOI_CO_DOC_DANH_DAT.xlsx" TargetMode="External" Id="rId11"/><Relationship Type="http://schemas.openxmlformats.org/officeDocument/2006/relationships/hyperlink" Target="TONG_HOP_v42_SOI_CO_DOC_DANH_DAT.xlsx" TargetMode="External" Id="rId12"/><Relationship Type="http://schemas.openxmlformats.org/officeDocument/2006/relationships/hyperlink" Target="TONG_HOP_v42_SOI_CO_DOC_DANH_DAT.xlsx" TargetMode="External" Id="rId13"/><Relationship Type="http://schemas.openxmlformats.org/officeDocument/2006/relationships/hyperlink" Target="TONG_HOP_v42_SOI_CO_DOC_DANH_DAT.xlsx" TargetMode="External" Id="rId14"/><Relationship Type="http://schemas.openxmlformats.org/officeDocument/2006/relationships/hyperlink" Target="TONG_HOP_v44_SOI_HOP_NHAT.xlsx" TargetMode="External" Id="rId15"/><Relationship Type="http://schemas.openxmlformats.org/officeDocument/2006/relationships/hyperlink" Target="TONG_HOP_v44_SOI_HOP_NHAT.xlsx" TargetMode="External" Id="rId16"/><Relationship Type="http://schemas.openxmlformats.org/officeDocument/2006/relationships/hyperlink" Target="TONG_HOP_v44_SOI_HOP_NHAT.xlsx" TargetMode="External" Id="rId17"/><Relationship Type="http://schemas.openxmlformats.org/officeDocument/2006/relationships/hyperlink" Target="TONG_HOP_v44_SOI_HOP_NHAT.xlsx" TargetMode="External" Id="rId18"/><Relationship Type="http://schemas.openxmlformats.org/officeDocument/2006/relationships/hyperlink" Target="TONG_HOP_v44_SOI_HOP_NHAT.xlsx" TargetMode="External" Id="rId19"/><Relationship Type="http://schemas.openxmlformats.org/officeDocument/2006/relationships/hyperlink" Target="TONG_HOP_v44_SOI_HOP_NHAT.xlsx" TargetMode="External" Id="rId20"/><Relationship Type="http://schemas.openxmlformats.org/officeDocument/2006/relationships/hyperlink" Target="TONG_HOP_v44_SOI_HOP_NHAT.xlsx" TargetMode="External" Id="rId21"/><Relationship Type="http://schemas.openxmlformats.org/officeDocument/2006/relationships/hyperlink" Target="TONG_HOP_v44_SOI_HOP_NHAT.xlsx" TargetMode="External" Id="rId22"/><Relationship Type="http://schemas.openxmlformats.org/officeDocument/2006/relationships/hyperlink" Target="TONG_HOP_v44_SOI_HOP_NHAT.xlsx" TargetMode="External" Id="rId23"/><Relationship Type="http://schemas.openxmlformats.org/officeDocument/2006/relationships/hyperlink" Target="TONG_HOP_v44_SOI_HOP_NHAT.xlsx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showGridLines="0" zoomScaleNormal="100" workbookViewId="0">
      <pane ySplit="4" topLeftCell="A38" activePane="bottomLeft" state="frozen"/>
      <selection pane="bottomLeft" activeCell="A4" sqref="A4"/>
    </sheetView>
  </sheetViews>
  <sheetFormatPr baseColWidth="8" defaultColWidth="8.6640625" defaultRowHeight="14.4"/>
  <cols>
    <col width="23.21875" customWidth="1" style="981" min="1" max="1"/>
    <col width="12" customWidth="1" style="981" min="2" max="2"/>
    <col width="24" customWidth="1" style="981" min="3" max="3"/>
    <col width="14" customWidth="1" style="981" min="4" max="4"/>
    <col width="9" customWidth="1" style="981" min="5" max="5"/>
    <col width="12" customWidth="1" style="981" min="9" max="9"/>
    <col width="11" customWidth="1" style="981" min="10" max="10"/>
    <col width="13" customWidth="1" style="981" min="12" max="12"/>
    <col width="14" customWidth="1" style="981" min="13" max="13"/>
    <col width="12" customWidth="1" style="981" min="15" max="15"/>
  </cols>
  <sheetData>
    <row r="1" ht="42" customHeight="1" s="981">
      <c r="A1" s="969" t="inlineStr">
        <is>
          <t>BLOOMBERG SCREENER v27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6" t="n"/>
      <c r="N1" s="1050" t="n"/>
      <c r="O1" s="1050" t="n"/>
    </row>
    <row r="2" ht="15" customHeight="1" s="981">
      <c r="A2" s="973" t="inlineStr">
        <is>
          <t>Cap nhat Q2 2026: 29/05/2026 | Composite Score tu dong | BCTC Q1/2026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6" t="n"/>
      <c r="N2" s="1050" t="n"/>
      <c r="O2" s="1050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  <c r="M3" s="1050" t="n"/>
      <c r="N3" s="1050" t="n"/>
      <c r="O3" s="1050" t="n"/>
    </row>
    <row r="4" ht="21.75" customHeight="1" s="981">
      <c r="A4" s="970" t="inlineStr">
        <is>
          <t>⚙️ 8 FACTOR FILTERS — Chỉnh ô VÀNG, kết quả tự cập nhật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5" t="n"/>
      <c r="M4" s="966" t="n"/>
      <c r="N4" s="1050" t="n"/>
      <c r="O4" s="1050" t="n"/>
    </row>
    <row r="5" ht="21.75" customHeight="1" s="981">
      <c r="A5" s="3" t="inlineStr">
        <is>
          <t>STT</t>
        </is>
      </c>
      <c r="B5" s="3" t="inlineStr">
        <is>
          <t>A. P/E MAX</t>
        </is>
      </c>
      <c r="C5" s="3" t="inlineStr">
        <is>
          <t>B. P/E MIN</t>
        </is>
      </c>
      <c r="D5" s="3" t="inlineStr">
        <is>
          <t>C. P/B MAX</t>
        </is>
      </c>
      <c r="E5" s="3" t="inlineStr">
        <is>
          <t>D. ROE MIN%</t>
        </is>
      </c>
      <c r="F5" s="3" t="inlineStr">
        <is>
          <t>E. Vốn hóa MIN</t>
        </is>
      </c>
      <c r="G5" s="3" t="inlineStr">
        <is>
          <t>F. %YTD MIN%</t>
        </is>
      </c>
      <c r="H5" s="3" t="inlineStr">
        <is>
          <t>G. Tín hiệu</t>
        </is>
      </c>
      <c r="I5" s="3" t="inlineStr">
        <is>
          <t>H. Ngành</t>
        </is>
      </c>
      <c r="J5" s="1050" t="n"/>
      <c r="K5" s="1050" t="n"/>
      <c r="L5" s="1050" t="n"/>
      <c r="M5" s="1050" t="n"/>
      <c r="N5" s="1050" t="n"/>
      <c r="O5" s="1050" t="n"/>
    </row>
    <row r="6" ht="31.5" customHeight="1" s="981">
      <c r="A6" s="4" t="inlineStr">
        <is>
          <t>→</t>
        </is>
      </c>
      <c r="B6" s="5" t="n">
        <v>25</v>
      </c>
      <c r="C6" s="5" t="n">
        <v>0</v>
      </c>
      <c r="D6" s="5" t="n">
        <v>5</v>
      </c>
      <c r="E6" s="5" t="n">
        <v>12</v>
      </c>
      <c r="F6" s="5" t="n">
        <v>1000</v>
      </c>
      <c r="G6" s="5" t="n">
        <v>-30</v>
      </c>
      <c r="H6" s="5" t="inlineStr">
        <is>
          <t>MUA</t>
        </is>
      </c>
      <c r="I6" s="5" t="n"/>
      <c r="J6" s="1050" t="n"/>
      <c r="K6" s="1050" t="n"/>
      <c r="L6" s="1050" t="n"/>
      <c r="M6" s="1050" t="n"/>
      <c r="N6" s="1050" t="n"/>
      <c r="O6" s="1050" t="n"/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  <c r="M7" s="1050" t="n"/>
      <c r="N7" s="1050" t="n"/>
      <c r="O7" s="1050" t="n"/>
    </row>
    <row r="8" ht="18" customHeight="1" s="981">
      <c r="A8" s="974" t="inlineStr">
        <is>
          <t>🎯 Tổng đạt:</t>
        </is>
      </c>
      <c r="B8" s="966" t="n"/>
      <c r="C8" s="7" t="n"/>
      <c r="D8" s="972" t="n">
        <v>178</v>
      </c>
      <c r="E8" s="965" t="n"/>
      <c r="F8" s="965" t="n"/>
      <c r="G8" s="965" t="n"/>
      <c r="H8" s="965" t="n"/>
      <c r="I8" s="965" t="n"/>
      <c r="J8" s="965" t="n"/>
      <c r="K8" s="965" t="n"/>
      <c r="L8" s="965" t="n"/>
      <c r="M8" s="966" t="n"/>
      <c r="N8" s="1050" t="n"/>
      <c r="O8" s="1050" t="n"/>
    </row>
    <row r="9" ht="15" customHeight="1" s="981">
      <c r="A9" s="1050" t="n"/>
      <c r="B9" s="1050" t="n"/>
      <c r="C9" s="1050" t="n"/>
      <c r="D9" s="1050" t="n"/>
      <c r="E9" s="1050" t="n"/>
      <c r="F9" s="1050" t="n"/>
      <c r="G9" s="1050" t="n"/>
      <c r="H9" s="1050" t="n"/>
      <c r="I9" s="1050" t="n"/>
      <c r="J9" s="1050" t="n"/>
      <c r="K9" s="1050" t="n"/>
      <c r="L9" s="1050" t="n"/>
      <c r="M9" s="1050" t="n"/>
      <c r="N9" s="1050" t="n"/>
      <c r="O9" s="1050" t="n"/>
    </row>
    <row r="10" ht="21.75" customHeight="1" s="981">
      <c r="A10" s="968" t="inlineStr">
        <is>
          <t>#</t>
        </is>
      </c>
      <c r="B10" s="965" t="n"/>
      <c r="C10" s="965" t="n"/>
      <c r="D10" s="965" t="n"/>
      <c r="E10" s="965" t="n"/>
      <c r="F10" s="965" t="n"/>
      <c r="G10" s="965" t="n"/>
      <c r="H10" s="965" t="n"/>
      <c r="I10" s="965" t="n"/>
      <c r="J10" s="965" t="n"/>
      <c r="K10" s="965" t="n"/>
      <c r="L10" s="965" t="n"/>
      <c r="M10" s="966" t="n"/>
      <c r="N10" s="1050" t="n"/>
      <c r="O10" s="1050" t="n"/>
    </row>
    <row r="11" ht="31.5" customHeight="1" s="981">
      <c r="A11" s="9" t="n">
        <v>1</v>
      </c>
      <c r="B11" s="9" t="inlineStr">
        <is>
          <t>VTP</t>
        </is>
      </c>
      <c r="C11" s="9" t="n">
        <v>65200</v>
      </c>
      <c r="D11" s="9" t="n">
        <v>16.5</v>
      </c>
      <c r="E11" s="9" t="n">
        <v>2.2</v>
      </c>
      <c r="F11" s="9" t="n">
        <v>14.5</v>
      </c>
      <c r="G11" s="9" t="n">
        <v>12500</v>
      </c>
      <c r="H11" s="9" t="n">
        <v>32.5</v>
      </c>
      <c r="I11" s="9" t="n">
        <v>90</v>
      </c>
      <c r="J11" s="9">
        <f>IFERROR(VLOOKUP(B11,'📈 Cổ Phiếu VN 🔍'!$A:$L,9,0),"")</f>
        <v/>
      </c>
      <c r="K11" s="9">
        <f>IFERROR(VLOOKUP(B11,'📈 Cổ Phiếu VN 🔍'!$A:$L,10,0),"")</f>
        <v/>
      </c>
      <c r="L11" s="9">
        <f>IFERROR(VLOOKUP(B11,'📈 Cổ Phiếu VN 🔍'!$A:$L,11,0),"")</f>
        <v/>
      </c>
      <c r="M11" s="9">
        <f>IFERROR(MAX(0,30-F11*1.2)+MIN(30,H11*1.2)+MAX(0,10+K11)*0.5+IF(L11="MUA",25,IF(L11="GIỮ",15,0)),"")</f>
        <v/>
      </c>
      <c r="N11" s="1050" t="n"/>
      <c r="O11" s="1050" t="n"/>
    </row>
    <row r="12" ht="15" customHeight="1" s="981">
      <c r="A12" s="3" t="n">
        <v>2</v>
      </c>
      <c r="B12" s="10" t="inlineStr">
        <is>
          <t>VSH</t>
        </is>
      </c>
      <c r="C12" s="1115" t="n">
        <v>42800</v>
      </c>
      <c r="D12" s="1115" t="n">
        <v>10.5</v>
      </c>
      <c r="E12" s="12" t="n">
        <v>1.2</v>
      </c>
      <c r="F12" s="12" t="n">
        <v>12.5</v>
      </c>
      <c r="G12" s="12" t="n">
        <v>3500</v>
      </c>
      <c r="H12" s="12" t="n">
        <v>12.5</v>
      </c>
      <c r="I12" s="12" t="n">
        <v>90</v>
      </c>
      <c r="J12" s="12">
        <f>IFERROR(VLOOKUP(B12,'📈 Cổ Phiếu VN 🔍'!$A:$L,9,0),"")</f>
        <v/>
      </c>
      <c r="K12" s="10">
        <f>IFERROR(VLOOKUP(B12,'📈 Cổ Phiếu VN 🔍'!$A:$L,10,0),"")</f>
        <v/>
      </c>
      <c r="L12" s="13">
        <f>IFERROR(VLOOKUP(B12,'📈 Cổ Phiếu VN 🔍'!$A:$L,11,0),"")</f>
        <v/>
      </c>
      <c r="M12" s="14">
        <f>IFERROR(MAX(0,30-F12*1.2)+MIN(30,H12*1.2)+MAX(0,10+K12)*0.5+IF(L12="MUA",25,IF(L12="GIỮ",15,0)),"")</f>
        <v/>
      </c>
      <c r="N12" s="1050" t="n"/>
      <c r="O12" s="1050" t="n"/>
    </row>
    <row r="13" ht="15" customHeight="1" s="981">
      <c r="A13" s="3" t="n">
        <v>3</v>
      </c>
      <c r="B13" s="10" t="inlineStr">
        <is>
          <t>VEA</t>
        </is>
      </c>
      <c r="C13" s="1115">
        <f>IFERROR(INDEX('📡 LIVE PRICE FEED'!$D$4:$D$300,MATCH(A176,'📡 LIVE PRICE FEED'!$A$4:$A$300,0)),58500)</f>
        <v/>
      </c>
      <c r="D13" s="1115" t="n">
        <v>9.5</v>
      </c>
      <c r="E13" s="12" t="n">
        <v>1.4</v>
      </c>
      <c r="F13" s="12" t="n">
        <v>16.5</v>
      </c>
      <c r="G13" s="12" t="n">
        <v>77000</v>
      </c>
      <c r="H13" s="12" t="n">
        <v>12.5</v>
      </c>
      <c r="I13" s="12" t="n">
        <v>90</v>
      </c>
      <c r="J13" s="12">
        <f>IFERROR(VLOOKUP(B13,'📈 Cổ Phiếu VN 🔍'!$A:$L,9,0),"")</f>
        <v/>
      </c>
      <c r="K13" s="10">
        <f>IFERROR(VLOOKUP(B13,'📈 Cổ Phiếu VN 🔍'!$A:$L,10,0),"")</f>
        <v/>
      </c>
      <c r="L13" s="13">
        <f>IFERROR(VLOOKUP(B13,'📈 Cổ Phiếu VN 🔍'!$A:$L,11,0),"")</f>
        <v/>
      </c>
      <c r="M13" s="14">
        <f>IFERROR(MAX(0,30-F13*1.2)+MIN(30,H13*1.2)+MAX(0,10+K13)*0.5+IF(L13="MUA",25,IF(L13="GIỮ",15,0)),"")</f>
        <v/>
      </c>
      <c r="N13" s="1050" t="n"/>
      <c r="O13" s="1050" t="n"/>
    </row>
    <row r="14" ht="15" customHeight="1" s="981">
      <c r="A14" s="3" t="n">
        <v>4</v>
      </c>
      <c r="B14" s="10" t="inlineStr">
        <is>
          <t>VCS</t>
        </is>
      </c>
      <c r="C14" s="1115" t="n">
        <v>38400</v>
      </c>
      <c r="D14" s="1115" t="n">
        <v>10.5</v>
      </c>
      <c r="E14" s="12" t="n">
        <v>1.5</v>
      </c>
      <c r="F14" s="12" t="n">
        <v>14.5</v>
      </c>
      <c r="G14" s="12" t="n">
        <v>7500</v>
      </c>
      <c r="H14" s="12" t="n">
        <v>8.5</v>
      </c>
      <c r="I14" s="12" t="n">
        <v>90</v>
      </c>
      <c r="J14" s="12">
        <f>IFERROR(VLOOKUP(B14,'📈 Cổ Phiếu VN 🔍'!$A:$L,9,0),"")</f>
        <v/>
      </c>
      <c r="K14" s="10">
        <f>IFERROR(VLOOKUP(B14,'📈 Cổ Phiếu VN 🔍'!$A:$L,10,0),"")</f>
        <v/>
      </c>
      <c r="L14" s="13">
        <f>IFERROR(VLOOKUP(B14,'📈 Cổ Phiếu VN 🔍'!$A:$L,11,0),"")</f>
        <v/>
      </c>
      <c r="M14" s="14">
        <f>IFERROR(MAX(0,30-F14*1.2)+MIN(30,H14*1.2)+MAX(0,10+K14)*0.5+IF(L14="MUA",25,IF(L14="GIỮ",15,0)),"")</f>
        <v/>
      </c>
      <c r="N14" s="1050" t="n"/>
      <c r="O14" s="1050" t="n"/>
    </row>
    <row r="15" ht="15" customHeight="1" s="981">
      <c r="A15" s="3" t="n">
        <v>5</v>
      </c>
      <c r="B15" s="10" t="inlineStr">
        <is>
          <t>VCI</t>
        </is>
      </c>
      <c r="C15" s="1115" t="n">
        <v>25000</v>
      </c>
      <c r="D15" s="1115" t="n">
        <v>13.4</v>
      </c>
      <c r="E15" s="12" t="n">
        <v>2.1</v>
      </c>
      <c r="F15" s="12" t="n">
        <v>16.5</v>
      </c>
      <c r="G15" s="12" t="n">
        <v>15500</v>
      </c>
      <c r="H15" s="12" t="n">
        <v>18.5</v>
      </c>
      <c r="I15" s="12" t="n">
        <v>90</v>
      </c>
      <c r="J15" s="12">
        <f>IFERROR(VLOOKUP(B15,'📈 Cổ Phiếu VN 🔍'!$A:$L,9,0),"")</f>
        <v/>
      </c>
      <c r="K15" s="10">
        <f>IFERROR(VLOOKUP(B15,'📈 Cổ Phiếu VN 🔍'!$A:$L,10,0),"")</f>
        <v/>
      </c>
      <c r="L15" s="13">
        <f>IFERROR(VLOOKUP(B15,'📈 Cổ Phiếu VN 🔍'!$A:$L,11,0),"")</f>
        <v/>
      </c>
      <c r="M15" s="14">
        <f>IFERROR(MAX(0,30-F15*1.2)+MIN(30,H15*1.2)+MAX(0,10+K15)*0.5+IF(L15="MUA",25,IF(L15="GIỮ",15,0)),"")</f>
        <v/>
      </c>
      <c r="N15" s="1050" t="n"/>
      <c r="O15" s="1050" t="n"/>
    </row>
    <row r="16" ht="15" customHeight="1" s="981">
      <c r="A16" s="3" t="n">
        <v>6</v>
      </c>
      <c r="B16" s="10" t="inlineStr">
        <is>
          <t>VCF</t>
        </is>
      </c>
      <c r="C16" s="1115">
        <f>IFERROR(INDEX('📡 LIVE PRICE FEED'!$D$4:$D$300,MATCH(A217,'📡 LIVE PRICE FEED'!$A$4:$A$300,0)),195000)</f>
        <v/>
      </c>
      <c r="D16" s="1115" t="n">
        <v>14.5</v>
      </c>
      <c r="E16" s="12" t="n">
        <v>2.1</v>
      </c>
      <c r="F16" s="12" t="n">
        <v>16.5</v>
      </c>
      <c r="G16" s="12" t="n">
        <v>4200</v>
      </c>
      <c r="H16" s="12" t="n">
        <v>2.5</v>
      </c>
      <c r="I16" s="12" t="n">
        <v>90</v>
      </c>
      <c r="J16" s="12">
        <f>IFERROR(VLOOKUP(B16,'📈 Cổ Phiếu VN 🔍'!$A:$L,9,0),"")</f>
        <v/>
      </c>
      <c r="K16" s="10">
        <f>IFERROR(VLOOKUP(B16,'📈 Cổ Phiếu VN 🔍'!$A:$L,10,0),"")</f>
        <v/>
      </c>
      <c r="L16" s="13">
        <f>IFERROR(VLOOKUP(B16,'📈 Cổ Phiếu VN 🔍'!$A:$L,11,0),"")</f>
        <v/>
      </c>
      <c r="M16" s="14">
        <f>IFERROR(MAX(0,30-F16*1.2)+MIN(30,H16*1.2)+MAX(0,10+K16)*0.5+IF(L16="MUA",25,IF(L16="GIỮ",15,0)),"")</f>
        <v/>
      </c>
      <c r="N16" s="1050" t="n"/>
      <c r="O16" s="1050" t="n"/>
    </row>
    <row r="17" ht="15" customHeight="1" s="981">
      <c r="A17" s="3" t="n">
        <v>7</v>
      </c>
      <c r="B17" s="10" t="inlineStr">
        <is>
          <t>TRA</t>
        </is>
      </c>
      <c r="C17" s="1115" t="n">
        <v>79000</v>
      </c>
      <c r="D17" s="1115" t="n">
        <v>16.5</v>
      </c>
      <c r="E17" s="12" t="n">
        <v>2.5</v>
      </c>
      <c r="F17" s="12" t="n">
        <v>14.5</v>
      </c>
      <c r="G17" s="12" t="n">
        <v>3200</v>
      </c>
      <c r="H17" s="12" t="n">
        <v>15.5</v>
      </c>
      <c r="I17" s="12" t="n">
        <v>90</v>
      </c>
      <c r="J17" s="12">
        <f>IFERROR(VLOOKUP(B17,'📈 Cổ Phiếu VN 🔍'!$A:$L,9,0),"")</f>
        <v/>
      </c>
      <c r="K17" s="10">
        <f>IFERROR(VLOOKUP(B17,'📈 Cổ Phiếu VN 🔍'!$A:$L,10,0),"")</f>
        <v/>
      </c>
      <c r="L17" s="13">
        <f>IFERROR(VLOOKUP(B17,'📈 Cổ Phiếu VN 🔍'!$A:$L,11,0),"")</f>
        <v/>
      </c>
      <c r="M17" s="14">
        <f>IFERROR(MAX(0,30-F17*1.2)+MIN(30,H17*1.2)+MAX(0,10+K17)*0.5+IF(L17="MUA",25,IF(L17="GIỮ",15,0)),"")</f>
        <v/>
      </c>
      <c r="N17" s="1050" t="n"/>
      <c r="O17" s="1050" t="n"/>
    </row>
    <row r="18" ht="15" customHeight="1" s="981">
      <c r="A18" s="3" t="n">
        <v>8</v>
      </c>
      <c r="B18" s="10" t="inlineStr">
        <is>
          <t>TNG</t>
        </is>
      </c>
      <c r="C18" s="1115" t="n">
        <v>18900</v>
      </c>
      <c r="D18" s="1115" t="n">
        <v>10.5</v>
      </c>
      <c r="E18" s="12" t="n">
        <v>1.4</v>
      </c>
      <c r="F18" s="12" t="n">
        <v>14.5</v>
      </c>
      <c r="G18" s="12" t="n">
        <v>2200</v>
      </c>
      <c r="H18" s="12" t="n">
        <v>15.5</v>
      </c>
      <c r="I18" s="12" t="n">
        <v>90</v>
      </c>
      <c r="J18" s="12">
        <f>IFERROR(VLOOKUP(B18,'📈 Cổ Phiếu VN 🔍'!$A:$L,9,0),"")</f>
        <v/>
      </c>
      <c r="K18" s="10">
        <f>IFERROR(VLOOKUP(B18,'📈 Cổ Phiếu VN 🔍'!$A:$L,10,0),"")</f>
        <v/>
      </c>
      <c r="L18" s="13">
        <f>IFERROR(VLOOKUP(B18,'📈 Cổ Phiếu VN 🔍'!$A:$L,11,0),"")</f>
        <v/>
      </c>
      <c r="M18" s="14">
        <f>IFERROR(MAX(0,30-F18*1.2)+MIN(30,H18*1.2)+MAX(0,10+K18)*0.5+IF(L18="MUA",25,IF(L18="GIỮ",15,0)),"")</f>
        <v/>
      </c>
      <c r="N18" s="1050" t="n"/>
      <c r="O18" s="1050" t="n"/>
    </row>
    <row r="19" ht="15" customHeight="1" s="981">
      <c r="A19" s="3" t="n">
        <v>9</v>
      </c>
      <c r="B19" s="10" t="inlineStr">
        <is>
          <t>TBC</t>
        </is>
      </c>
      <c r="C19" s="1115" t="n">
        <v>31850</v>
      </c>
      <c r="D19" s="1115" t="n">
        <v>11.5</v>
      </c>
      <c r="E19" s="12" t="n">
        <v>1.3</v>
      </c>
      <c r="F19" s="12" t="n">
        <v>12.5</v>
      </c>
      <c r="G19" s="12" t="n">
        <v>2800</v>
      </c>
      <c r="H19" s="12" t="n">
        <v>15.5</v>
      </c>
      <c r="I19" s="12" t="n">
        <v>90</v>
      </c>
      <c r="J19" s="12">
        <f>IFERROR(VLOOKUP(B19,'📈 Cổ Phiếu VN 🔍'!$A:$L,9,0),"")</f>
        <v/>
      </c>
      <c r="K19" s="10">
        <f>IFERROR(VLOOKUP(B19,'📈 Cổ Phiếu VN 🔍'!$A:$L,10,0),"")</f>
        <v/>
      </c>
      <c r="L19" s="13">
        <f>IFERROR(VLOOKUP(B19,'📈 Cổ Phiếu VN 🔍'!$A:$L,11,0),"")</f>
        <v/>
      </c>
      <c r="M19" s="14">
        <f>IFERROR(MAX(0,30-F19*1.2)+MIN(30,H19*1.2)+MAX(0,10+K19)*0.5+IF(L19="MUA",25,IF(L19="GIỮ",15,0)),"")</f>
        <v/>
      </c>
      <c r="N19" s="1050" t="n"/>
      <c r="O19" s="1050" t="n"/>
    </row>
    <row r="20" ht="15" customHeight="1" s="981">
      <c r="A20" s="3" t="n">
        <v>10</v>
      </c>
      <c r="B20" s="10" t="inlineStr">
        <is>
          <t>SZC</t>
        </is>
      </c>
      <c r="C20" s="1115" t="n">
        <v>24700</v>
      </c>
      <c r="D20" s="1115" t="n">
        <v>14.7</v>
      </c>
      <c r="E20" s="12" t="n">
        <v>2.4</v>
      </c>
      <c r="F20" s="12" t="n">
        <v>16.5</v>
      </c>
      <c r="G20" s="12" t="n">
        <v>2800</v>
      </c>
      <c r="H20" s="12" t="n">
        <v>8.5</v>
      </c>
      <c r="I20" s="12" t="n">
        <v>90</v>
      </c>
      <c r="J20" s="12">
        <f>IFERROR(VLOOKUP(B20,'📈 Cổ Phiếu VN 🔍'!$A:$L,9,0),"")</f>
        <v/>
      </c>
      <c r="K20" s="10">
        <f>IFERROR(VLOOKUP(B20,'📈 Cổ Phiếu VN 🔍'!$A:$L,10,0),"")</f>
        <v/>
      </c>
      <c r="L20" s="13">
        <f>IFERROR(VLOOKUP(B20,'📈 Cổ Phiếu VN 🔍'!$A:$L,11,0),"")</f>
        <v/>
      </c>
      <c r="M20" s="14">
        <f>IFERROR(MAX(0,30-F20*1.2)+MIN(30,H20*1.2)+MAX(0,10+K20)*0.5+IF(L20="MUA",25,IF(L20="GIỮ",15,0)),"")</f>
        <v/>
      </c>
      <c r="N20" s="1050" t="n"/>
      <c r="O20" s="1050" t="n"/>
    </row>
    <row r="21" ht="15" customHeight="1" s="981">
      <c r="A21" s="3" t="n">
        <v>11</v>
      </c>
      <c r="B21" s="10" t="inlineStr">
        <is>
          <t>SSI</t>
        </is>
      </c>
      <c r="C21" s="1115" t="n">
        <v>27550</v>
      </c>
      <c r="D21" s="1115" t="n">
        <v>14.5</v>
      </c>
      <c r="E21" s="12" t="n">
        <v>1.8</v>
      </c>
      <c r="F21" s="12" t="n">
        <v>12.5</v>
      </c>
      <c r="G21" s="12" t="n">
        <v>42000</v>
      </c>
      <c r="H21" s="12" t="n">
        <v>8.5</v>
      </c>
      <c r="I21" s="12" t="n">
        <v>90</v>
      </c>
      <c r="J21" s="12">
        <f>IFERROR(VLOOKUP(B21,'📈 Cổ Phiếu VN 🔍'!$A:$L,9,0),"")</f>
        <v/>
      </c>
      <c r="K21" s="10">
        <f>IFERROR(VLOOKUP(B21,'📈 Cổ Phiếu VN 🔍'!$A:$L,10,0),"")</f>
        <v/>
      </c>
      <c r="L21" s="13">
        <f>IFERROR(VLOOKUP(B21,'📈 Cổ Phiếu VN 🔍'!$A:$L,11,0),"")</f>
        <v/>
      </c>
      <c r="M21" s="14">
        <f>IFERROR(MAX(0,30-F21*1.2)+MIN(30,H21*1.2)+MAX(0,10+K21)*0.5+IF(L21="MUA",25,IF(L21="GIỮ",15,0)),"")</f>
        <v/>
      </c>
      <c r="N21" s="1050" t="n"/>
      <c r="O21" s="1050" t="n"/>
    </row>
    <row r="22" ht="15" customHeight="1" s="981">
      <c r="A22" s="3" t="n">
        <v>12</v>
      </c>
      <c r="B22" s="10" t="inlineStr">
        <is>
          <t>SLS</t>
        </is>
      </c>
      <c r="C22" s="1115">
        <f>IFERROR(INDEX('📡 LIVE PRICE FEED'!$D$4:$D$300,MATCH(A163,'📡 LIVE PRICE FEED'!$A$4:$A$300,0)),158000)</f>
        <v/>
      </c>
      <c r="D22" s="1115" t="n">
        <v>12.4</v>
      </c>
      <c r="E22" s="12" t="n">
        <v>1.5</v>
      </c>
      <c r="F22" s="12" t="n">
        <v>13.5</v>
      </c>
      <c r="G22" s="12" t="n">
        <v>1800</v>
      </c>
      <c r="H22" s="12" t="n">
        <v>55.5</v>
      </c>
      <c r="I22" s="12" t="n">
        <v>90</v>
      </c>
      <c r="J22" s="12">
        <f>IFERROR(VLOOKUP(B22,'📈 Cổ Phiếu VN 🔍'!$A:$L,9,0),"")</f>
        <v/>
      </c>
      <c r="K22" s="10">
        <f>IFERROR(VLOOKUP(B22,'📈 Cổ Phiếu VN 🔍'!$A:$L,10,0),"")</f>
        <v/>
      </c>
      <c r="L22" s="13">
        <f>IFERROR(VLOOKUP(B22,'📈 Cổ Phiếu VN 🔍'!$A:$L,11,0),"")</f>
        <v/>
      </c>
      <c r="M22" s="14">
        <f>IFERROR(MAX(0,30-F22*1.2)+MIN(30,H22*1.2)+MAX(0,10+K22)*0.5+IF(L22="MUA",25,IF(L22="GIỮ",15,0)),"")</f>
        <v/>
      </c>
      <c r="N22" s="1050" t="n"/>
      <c r="O22" s="1050" t="n"/>
    </row>
    <row r="23" ht="15" customHeight="1" s="981">
      <c r="A23" s="3" t="n">
        <v>13</v>
      </c>
      <c r="B23" s="10" t="inlineStr">
        <is>
          <t>SIP</t>
        </is>
      </c>
      <c r="C23" s="1115" t="n">
        <v>52000</v>
      </c>
      <c r="D23" s="1115" t="n">
        <v>13.5</v>
      </c>
      <c r="E23" s="12" t="n">
        <v>2.2</v>
      </c>
      <c r="F23" s="12" t="n">
        <v>17.8</v>
      </c>
      <c r="G23" s="12" t="n">
        <v>5500</v>
      </c>
      <c r="H23" s="12" t="n">
        <v>22.5</v>
      </c>
      <c r="I23" s="12" t="n">
        <v>90</v>
      </c>
      <c r="J23" s="12">
        <f>IFERROR(VLOOKUP(B23,'📈 Cổ Phiếu VN 🔍'!$A:$L,9,0),"")</f>
        <v/>
      </c>
      <c r="K23" s="10">
        <f>IFERROR(VLOOKUP(B23,'📈 Cổ Phiếu VN 🔍'!$A:$L,10,0),"")</f>
        <v/>
      </c>
      <c r="L23" s="13">
        <f>IFERROR(VLOOKUP(B23,'📈 Cổ Phiếu VN 🔍'!$A:$L,11,0),"")</f>
        <v/>
      </c>
      <c r="M23" s="14">
        <f>IFERROR(MAX(0,30-F23*1.2)+MIN(30,H23*1.2)+MAX(0,10+K23)*0.5+IF(L23="MUA",25,IF(L23="GIỮ",15,0)),"")</f>
        <v/>
      </c>
      <c r="N23" s="1050" t="n"/>
      <c r="O23" s="1050" t="n"/>
    </row>
    <row r="24" ht="15" customHeight="1" s="981">
      <c r="A24" s="3" t="n">
        <v>14</v>
      </c>
      <c r="B24" s="10" t="inlineStr">
        <is>
          <t>SGN</t>
        </is>
      </c>
      <c r="C24" s="1115" t="n">
        <v>51900</v>
      </c>
      <c r="D24" s="1115" t="n">
        <v>12.4</v>
      </c>
      <c r="E24" s="12" t="n">
        <v>2.5</v>
      </c>
      <c r="F24" s="12" t="n">
        <v>22.5</v>
      </c>
      <c r="G24" s="12" t="n">
        <v>3800</v>
      </c>
      <c r="H24" s="12" t="n">
        <v>12.5</v>
      </c>
      <c r="I24" s="12" t="n">
        <v>90</v>
      </c>
      <c r="J24" s="12">
        <f>IFERROR(VLOOKUP(B24,'📈 Cổ Phiếu VN 🔍'!$A:$L,9,0),"")</f>
        <v/>
      </c>
      <c r="K24" s="10">
        <f>IFERROR(VLOOKUP(B24,'📈 Cổ Phiếu VN 🔍'!$A:$L,10,0),"")</f>
        <v/>
      </c>
      <c r="L24" s="13">
        <f>IFERROR(VLOOKUP(B24,'📈 Cổ Phiếu VN 🔍'!$A:$L,11,0),"")</f>
        <v/>
      </c>
      <c r="M24" s="14">
        <f>IFERROR(MAX(0,30-F24*1.2)+MIN(30,H24*1.2)+MAX(0,10+K24)*0.5+IF(L24="MUA",25,IF(L24="GIỮ",15,0)),"")</f>
        <v/>
      </c>
      <c r="N24" s="1050" t="n"/>
      <c r="O24" s="1050" t="n"/>
    </row>
    <row r="25" ht="15" customHeight="1" s="981">
      <c r="A25" s="3" t="n">
        <v>15</v>
      </c>
      <c r="B25" s="10" t="inlineStr">
        <is>
          <t>SCS</t>
        </is>
      </c>
      <c r="C25" s="1115" t="n">
        <v>51600</v>
      </c>
      <c r="D25" s="1115" t="n">
        <v>15.4</v>
      </c>
      <c r="E25" s="12" t="n">
        <v>3.2</v>
      </c>
      <c r="F25" s="12" t="n">
        <v>22.5</v>
      </c>
      <c r="G25" s="12" t="n">
        <v>4500</v>
      </c>
      <c r="H25" s="12" t="n">
        <v>18.5</v>
      </c>
      <c r="I25" s="12" t="n">
        <v>90</v>
      </c>
      <c r="J25" s="12">
        <f>IFERROR(VLOOKUP(B25,'📈 Cổ Phiếu VN 🔍'!$A:$L,9,0),"")</f>
        <v/>
      </c>
      <c r="K25" s="10">
        <f>IFERROR(VLOOKUP(B25,'📈 Cổ Phiếu VN 🔍'!$A:$L,10,0),"")</f>
        <v/>
      </c>
      <c r="L25" s="13">
        <f>IFERROR(VLOOKUP(B25,'📈 Cổ Phiếu VN 🔍'!$A:$L,11,0),"")</f>
        <v/>
      </c>
      <c r="M25" s="14">
        <f>IFERROR(MAX(0,30-F25*1.2)+MIN(30,H25*1.2)+MAX(0,10+K25)*0.5+IF(L25="MUA",25,IF(L25="GIỮ",15,0)),"")</f>
        <v/>
      </c>
      <c r="N25" s="1050" t="n"/>
      <c r="O25" s="1050" t="n"/>
    </row>
    <row r="26" ht="15" customHeight="1" s="981">
      <c r="A26" s="3" t="n">
        <v>16</v>
      </c>
      <c r="B26" s="10" t="inlineStr">
        <is>
          <t>QNS</t>
        </is>
      </c>
      <c r="C26" s="1115">
        <f>IFERROR(INDEX('📡 LIVE PRICE FEED'!$D$4:$D$300,MATCH(A240,'📡 LIVE PRICE FEED'!$A$4:$A$300,0)),38000)</f>
        <v/>
      </c>
      <c r="D26" s="1115" t="n">
        <v>10.5</v>
      </c>
      <c r="E26" s="12" t="n">
        <v>1.8</v>
      </c>
      <c r="F26" s="12" t="n">
        <v>18.5</v>
      </c>
      <c r="G26" s="12" t="n">
        <v>12500</v>
      </c>
      <c r="H26" s="12" t="n">
        <v>8.5</v>
      </c>
      <c r="I26" s="12" t="n">
        <v>90</v>
      </c>
      <c r="J26" s="12">
        <f>IFERROR(VLOOKUP(B26,'📈 Cổ Phiếu VN 🔍'!$A:$L,9,0),"")</f>
        <v/>
      </c>
      <c r="K26" s="10">
        <f>IFERROR(VLOOKUP(B26,'📈 Cổ Phiếu VN 🔍'!$A:$L,10,0),"")</f>
        <v/>
      </c>
      <c r="L26" s="13">
        <f>IFERROR(VLOOKUP(B26,'📈 Cổ Phiếu VN 🔍'!$A:$L,11,0),"")</f>
        <v/>
      </c>
      <c r="M26" s="14">
        <f>IFERROR(MAX(0,30-F26*1.2)+MIN(30,H26*1.2)+MAX(0,10+K26)*0.5+IF(L26="MUA",25,IF(L26="GIỮ",15,0)),"")</f>
        <v/>
      </c>
      <c r="N26" s="1050" t="n"/>
      <c r="O26" s="1050" t="n"/>
    </row>
    <row r="27" ht="15" customHeight="1" s="981">
      <c r="A27" s="3" t="n">
        <v>17</v>
      </c>
      <c r="B27" s="10" t="inlineStr">
        <is>
          <t>PVT</t>
        </is>
      </c>
      <c r="C27" s="1115" t="n">
        <v>21900</v>
      </c>
      <c r="D27" s="1115" t="n">
        <v>11.6</v>
      </c>
      <c r="E27" s="12" t="n">
        <v>1.4</v>
      </c>
      <c r="F27" s="12" t="n">
        <v>12.7</v>
      </c>
      <c r="G27" s="12" t="n">
        <v>8500</v>
      </c>
      <c r="H27" s="12" t="n">
        <v>18.5</v>
      </c>
      <c r="I27" s="12" t="n">
        <v>90</v>
      </c>
      <c r="J27" s="12">
        <f>IFERROR(VLOOKUP(B27,'📈 Cổ Phiếu VN 🔍'!$A:$L,9,0),"")</f>
        <v/>
      </c>
      <c r="K27" s="10">
        <f>IFERROR(VLOOKUP(B27,'📈 Cổ Phiếu VN 🔍'!$A:$L,10,0),"")</f>
        <v/>
      </c>
      <c r="L27" s="13">
        <f>IFERROR(VLOOKUP(B27,'📈 Cổ Phiếu VN 🔍'!$A:$L,11,0),"")</f>
        <v/>
      </c>
      <c r="M27" s="14">
        <f>IFERROR(MAX(0,30-F27*1.2)+MIN(30,H27*1.2)+MAX(0,10+K27)*0.5+IF(L27="MUA",25,IF(L27="GIỮ",15,0)),"")</f>
        <v/>
      </c>
      <c r="N27" s="1050" t="n"/>
      <c r="O27" s="1050" t="n"/>
    </row>
    <row r="28" ht="15" customHeight="1" s="981">
      <c r="A28" s="3" t="n">
        <v>18</v>
      </c>
      <c r="B28" s="10" t="inlineStr">
        <is>
          <t>PPC</t>
        </is>
      </c>
      <c r="C28" s="1115" t="n">
        <v>9830</v>
      </c>
      <c r="D28" s="1115" t="n">
        <v>8.199999999999999</v>
      </c>
      <c r="E28" s="12" t="n">
        <v>1.05</v>
      </c>
      <c r="F28" s="12" t="n">
        <v>12.8</v>
      </c>
      <c r="G28" s="12" t="n">
        <v>5500</v>
      </c>
      <c r="H28" s="12" t="n">
        <v>5.5</v>
      </c>
      <c r="I28" s="12" t="n">
        <v>90</v>
      </c>
      <c r="J28" s="12">
        <f>IFERROR(VLOOKUP(B28,'📈 Cổ Phiếu VN 🔍'!$A:$L,9,0),"")</f>
        <v/>
      </c>
      <c r="K28" s="10">
        <f>IFERROR(VLOOKUP(B28,'📈 Cổ Phiếu VN 🔍'!$A:$L,10,0),"")</f>
        <v/>
      </c>
      <c r="L28" s="13">
        <f>IFERROR(VLOOKUP(B28,'📈 Cổ Phiếu VN 🔍'!$A:$L,11,0),"")</f>
        <v/>
      </c>
      <c r="M28" s="14">
        <f>IFERROR(MAX(0,30-F28*1.2)+MIN(30,H28*1.2)+MAX(0,10+K28)*0.5+IF(L28="MUA",25,IF(L28="GIỮ",15,0)),"")</f>
        <v/>
      </c>
      <c r="N28" s="1050" t="n"/>
      <c r="O28" s="1050" t="n"/>
    </row>
    <row r="29" ht="15" customHeight="1" s="981">
      <c r="A29" s="3" t="n">
        <v>19</v>
      </c>
      <c r="B29" s="10" t="inlineStr">
        <is>
          <t>PLX</t>
        </is>
      </c>
      <c r="C29" s="1115" t="n">
        <v>39450</v>
      </c>
      <c r="D29" s="1115" t="n">
        <v>17.5</v>
      </c>
      <c r="E29" s="12" t="n">
        <v>2.1</v>
      </c>
      <c r="F29" s="12" t="n">
        <v>12.5</v>
      </c>
      <c r="G29" s="12" t="n">
        <v>68000</v>
      </c>
      <c r="H29" s="12" t="n">
        <v>-5.5</v>
      </c>
      <c r="I29" s="12" t="n">
        <v>90</v>
      </c>
      <c r="J29" s="12">
        <f>IFERROR(VLOOKUP(B29,'📈 Cổ Phiếu VN 🔍'!$A:$L,9,0),"")</f>
        <v/>
      </c>
      <c r="K29" s="10">
        <f>IFERROR(VLOOKUP(B29,'📈 Cổ Phiếu VN 🔍'!$A:$L,10,0),"")</f>
        <v/>
      </c>
      <c r="L29" s="13">
        <f>IFERROR(VLOOKUP(B29,'📈 Cổ Phiếu VN 🔍'!$A:$L,11,0),"")</f>
        <v/>
      </c>
      <c r="M29" s="14">
        <f>IFERROR(MAX(0,30-F29*1.2)+MIN(30,H29*1.2)+MAX(0,10+K29)*0.5+IF(L29="MUA",25,IF(L29="GIỮ",15,0)),"")</f>
        <v/>
      </c>
      <c r="N29" s="1050" t="n"/>
      <c r="O29" s="1050" t="n"/>
    </row>
    <row r="30" ht="15" customHeight="1" s="981">
      <c r="A30" s="3" t="n">
        <v>20</v>
      </c>
      <c r="B30" s="10" t="inlineStr">
        <is>
          <t>PHR</t>
        </is>
      </c>
      <c r="C30" s="1115" t="n">
        <v>67000</v>
      </c>
      <c r="D30" s="1115" t="n">
        <v>13.5</v>
      </c>
      <c r="E30" s="12" t="n">
        <v>1.7</v>
      </c>
      <c r="F30" s="12" t="n">
        <v>12.5</v>
      </c>
      <c r="G30" s="12" t="n">
        <v>7800</v>
      </c>
      <c r="H30" s="12" t="n">
        <v>22.5</v>
      </c>
      <c r="I30" s="12" t="n">
        <v>90</v>
      </c>
      <c r="J30" s="12">
        <f>IFERROR(VLOOKUP(B30,'📈 Cổ Phiếu VN 🔍'!$A:$L,9,0),"")</f>
        <v/>
      </c>
      <c r="K30" s="10">
        <f>IFERROR(VLOOKUP(B30,'📈 Cổ Phiếu VN 🔍'!$A:$L,10,0),"")</f>
        <v/>
      </c>
      <c r="L30" s="13">
        <f>IFERROR(VLOOKUP(B30,'📈 Cổ Phiếu VN 🔍'!$A:$L,11,0),"")</f>
        <v/>
      </c>
      <c r="M30" s="14">
        <f>IFERROR(MAX(0,30-F30*1.2)+MIN(30,H30*1.2)+MAX(0,10+K30)*0.5+IF(L30="MUA",25,IF(L30="GIỮ",15,0)),"")</f>
        <v/>
      </c>
      <c r="N30" s="1050" t="n"/>
      <c r="O30" s="1050" t="n"/>
    </row>
    <row r="31" ht="15" customHeight="1" s="981">
      <c r="A31" s="3" t="n">
        <v>20</v>
      </c>
      <c r="B31" s="10" t="n"/>
      <c r="C31" s="1115" t="n"/>
      <c r="D31" s="1115" t="n"/>
      <c r="E31" s="12" t="n"/>
      <c r="F31" s="12" t="n"/>
      <c r="G31" s="12" t="n"/>
      <c r="H31" s="12" t="n"/>
      <c r="I31" s="12" t="n"/>
      <c r="J31" s="12" t="n"/>
      <c r="K31" s="10" t="n"/>
      <c r="L31" s="13" t="n"/>
      <c r="M31" s="14" t="n"/>
      <c r="N31" s="1050" t="n"/>
      <c r="O31" s="1050" t="n"/>
    </row>
    <row r="32" ht="15" customHeight="1" s="981">
      <c r="A32" s="1050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050" t="n"/>
    </row>
    <row r="33" ht="21.75" customHeight="1" s="981">
      <c r="A33" s="967" t="inlineStr">
        <is>
          <t>🎯 6 PRESET CHIẾN LƯỢC — Tham khảo ngưỡng (copy vô ô vàng B6:I6)</t>
        </is>
      </c>
      <c r="B33" s="965" t="n"/>
      <c r="C33" s="965" t="n"/>
      <c r="D33" s="965" t="n"/>
      <c r="E33" s="965" t="n"/>
      <c r="F33" s="965" t="n"/>
      <c r="G33" s="965" t="n"/>
      <c r="H33" s="965" t="n"/>
      <c r="I33" s="965" t="n"/>
      <c r="J33" s="965" t="n"/>
      <c r="K33" s="965" t="n"/>
      <c r="L33" s="965" t="n"/>
      <c r="M33" s="966" t="n"/>
      <c r="N33" s="1050" t="n"/>
      <c r="O33" s="1050" t="n"/>
    </row>
    <row r="34" ht="27" customHeight="1" s="981">
      <c r="A34" s="971" t="inlineStr">
        <is>
          <t>Preset</t>
        </is>
      </c>
      <c r="B34" s="971" t="inlineStr">
        <is>
          <t>P/E max</t>
        </is>
      </c>
      <c r="C34" s="971" t="inlineStr">
        <is>
          <t>P/E min</t>
        </is>
      </c>
      <c r="D34" s="971" t="inlineStr">
        <is>
          <t>P/B max</t>
        </is>
      </c>
      <c r="E34" s="971" t="inlineStr">
        <is>
          <t>ROE min</t>
        </is>
      </c>
      <c r="F34" s="971" t="inlineStr">
        <is>
          <t>Vốn hóa min</t>
        </is>
      </c>
      <c r="G34" s="971" t="inlineStr">
        <is>
          <t>%YTD min</t>
        </is>
      </c>
      <c r="H34" s="971" t="inlineStr">
        <is>
          <t>Tín hiệu</t>
        </is>
      </c>
      <c r="I34" s="971" t="inlineStr">
        <is>
          <t>Ý nghĩa</t>
        </is>
      </c>
      <c r="J34" s="965" t="n"/>
      <c r="K34" s="965" t="n"/>
      <c r="L34" s="965" t="n"/>
      <c r="M34" s="966" t="n"/>
      <c r="N34" s="1050" t="n"/>
      <c r="O34" s="1050" t="n"/>
    </row>
    <row r="35" ht="54.75" customHeight="1" s="981">
      <c r="A35" s="3" t="inlineStr">
        <is>
          <t>Buffett Value</t>
        </is>
      </c>
      <c r="B35" s="16" t="n">
        <v>15</v>
      </c>
      <c r="C35" s="16" t="n">
        <v>5</v>
      </c>
      <c r="D35" s="16" t="n">
        <v>3</v>
      </c>
      <c r="E35" s="16" t="n">
        <v>15</v>
      </c>
      <c r="F35" s="16" t="n">
        <v>5000</v>
      </c>
      <c r="G35" s="16" t="n">
        <v>-20</v>
      </c>
      <c r="H35" s="16" t="inlineStr">
        <is>
          <t>MUA</t>
        </is>
      </c>
      <c r="I35" s="964" t="inlineStr">
        <is>
          <t>Cổ phiếu giá trị: rẻ + ROE cao + vốn hóa lớn</t>
        </is>
      </c>
      <c r="J35" s="965" t="n"/>
      <c r="K35" s="965" t="n"/>
      <c r="L35" s="965" t="n"/>
      <c r="M35" s="966" t="n"/>
      <c r="N35" s="1050" t="n"/>
      <c r="O35" s="1050" t="n"/>
    </row>
    <row r="36" ht="54.75" customHeight="1" s="981">
      <c r="A36" s="3" t="inlineStr">
        <is>
          <t>Lynch Growth</t>
        </is>
      </c>
      <c r="B36" s="16" t="n">
        <v>30</v>
      </c>
      <c r="C36" s="16" t="n">
        <v>10</v>
      </c>
      <c r="D36" s="16" t="n">
        <v>5</v>
      </c>
      <c r="E36" s="16" t="n">
        <v>20</v>
      </c>
      <c r="F36" s="16" t="n">
        <v>1000</v>
      </c>
      <c r="G36" s="16" t="n">
        <v>0</v>
      </c>
      <c r="H36" s="16" t="inlineStr">
        <is>
          <t>MUA</t>
        </is>
      </c>
      <c r="I36" s="964" t="inlineStr">
        <is>
          <t>Tăng trưởng: PE/Growth thấp + ROE cao</t>
        </is>
      </c>
      <c r="J36" s="965" t="n"/>
      <c r="K36" s="965" t="n"/>
      <c r="L36" s="965" t="n"/>
      <c r="M36" s="966" t="n"/>
      <c r="N36" s="1050" t="n"/>
      <c r="O36" s="1050" t="n"/>
    </row>
    <row r="37" ht="69" customHeight="1" s="981">
      <c r="A37" s="3" t="inlineStr">
        <is>
          <t>Greenblatt Magic</t>
        </is>
      </c>
      <c r="B37" s="16" t="n">
        <v>20</v>
      </c>
      <c r="C37" s="16" t="n">
        <v>5</v>
      </c>
      <c r="D37" s="16" t="n">
        <v>4</v>
      </c>
      <c r="E37" s="16" t="n">
        <v>20</v>
      </c>
      <c r="F37" s="16" t="n">
        <v>2000</v>
      </c>
      <c r="G37" s="16" t="n">
        <v>-30</v>
      </c>
      <c r="H37" s="16" t="inlineStr">
        <is>
          <t>MUA</t>
        </is>
      </c>
      <c r="I37" s="964" t="inlineStr">
        <is>
          <t>Magic Formula: EBIT/EV + ROIC</t>
        </is>
      </c>
      <c r="J37" s="965" t="n"/>
      <c r="K37" s="965" t="n"/>
      <c r="L37" s="965" t="n"/>
      <c r="M37" s="966" t="n"/>
      <c r="N37" s="1050" t="n"/>
      <c r="O37" s="1050" t="n"/>
    </row>
    <row r="38" ht="41.25" customHeight="1" s="981">
      <c r="A38" s="3" t="inlineStr">
        <is>
          <t>Defensive</t>
        </is>
      </c>
      <c r="B38" s="16" t="n">
        <v>20</v>
      </c>
      <c r="C38" s="16" t="n">
        <v>8</v>
      </c>
      <c r="D38" s="16" t="n">
        <v>2</v>
      </c>
      <c r="E38" s="16" t="n">
        <v>12</v>
      </c>
      <c r="F38" s="16" t="n">
        <v>10000</v>
      </c>
      <c r="G38" s="16" t="n">
        <v>-10</v>
      </c>
      <c r="H38" s="16" t="inlineStr">
        <is>
          <t>GIỮ</t>
        </is>
      </c>
      <c r="I38" s="964" t="inlineStr">
        <is>
          <t>Phòng thủ: blue chip + P/B thấp + vốn lớn</t>
        </is>
      </c>
      <c r="J38" s="965" t="n"/>
      <c r="K38" s="965" t="n"/>
      <c r="L38" s="965" t="n"/>
      <c r="M38" s="966" t="n"/>
      <c r="N38" s="1050" t="n"/>
      <c r="O38" s="1050" t="n"/>
    </row>
    <row r="39" ht="54.75" customHeight="1" s="981">
      <c r="A39" s="3" t="inlineStr">
        <is>
          <t>Momentum</t>
        </is>
      </c>
      <c r="B39" s="16" t="n">
        <v>25</v>
      </c>
      <c r="C39" s="16" t="n">
        <v>0</v>
      </c>
      <c r="D39" s="16" t="n">
        <v>5</v>
      </c>
      <c r="E39" s="16" t="n">
        <v>10</v>
      </c>
      <c r="F39" s="16" t="n">
        <v>1000</v>
      </c>
      <c r="G39" s="16" t="n">
        <v>15</v>
      </c>
      <c r="H39" s="16" t="inlineStr">
        <is>
          <t>MUA</t>
        </is>
      </c>
      <c r="I39" s="964" t="inlineStr">
        <is>
          <t>Xu hướng: %YTD cao + tín hiệu MUA</t>
        </is>
      </c>
      <c r="J39" s="965" t="n"/>
      <c r="K39" s="965" t="n"/>
      <c r="L39" s="965" t="n"/>
      <c r="M39" s="966" t="n"/>
      <c r="N39" s="1050" t="n"/>
      <c r="O39" s="1050" t="n"/>
    </row>
    <row r="40" ht="54.75" customHeight="1" s="981">
      <c r="A40" s="3" t="inlineStr">
        <is>
          <t>Deep Value</t>
        </is>
      </c>
      <c r="B40" s="16" t="n">
        <v>10</v>
      </c>
      <c r="C40" s="16" t="n">
        <v>3</v>
      </c>
      <c r="D40" s="16" t="n">
        <v>1.5</v>
      </c>
      <c r="E40" s="16" t="n">
        <v>8</v>
      </c>
      <c r="F40" s="16" t="n">
        <v>500</v>
      </c>
      <c r="G40" s="16" t="n">
        <v>-50</v>
      </c>
      <c r="H40" s="16" t="n"/>
      <c r="I40" s="964" t="inlineStr">
        <is>
          <t>Giá trị sâu: cực rẻ, có thể bị bán quá tay</t>
        </is>
      </c>
      <c r="J40" s="965" t="n"/>
      <c r="K40" s="965" t="n"/>
      <c r="L40" s="965" t="n"/>
      <c r="M40" s="966" t="n"/>
      <c r="N40" s="1050" t="n"/>
      <c r="O40" s="1050" t="n"/>
    </row>
    <row r="41" ht="15" customHeight="1" s="981">
      <c r="A41" s="1050" t="n"/>
      <c r="B41" s="1050" t="n"/>
      <c r="C41" s="1050" t="n"/>
      <c r="D41" s="1050" t="n"/>
      <c r="E41" s="1050" t="n"/>
      <c r="F41" s="1050" t="n"/>
      <c r="G41" s="1050" t="n"/>
      <c r="H41" s="1050" t="n"/>
      <c r="I41" s="1050" t="n"/>
      <c r="J41" s="1050" t="n"/>
      <c r="K41" s="1050" t="n"/>
      <c r="L41" s="1050" t="n"/>
      <c r="M41" s="1050" t="n"/>
      <c r="N41" s="1050" t="n"/>
      <c r="O41" s="1050" t="n"/>
    </row>
    <row r="42" ht="15" customHeight="1" s="981">
      <c r="A42" s="1050" t="n"/>
      <c r="B42" s="1050" t="n"/>
      <c r="C42" s="1050" t="n"/>
      <c r="D42" s="1050" t="n"/>
      <c r="E42" s="1050" t="n"/>
      <c r="F42" s="1050" t="n"/>
      <c r="G42" s="1050" t="n"/>
      <c r="H42" s="1050" t="n"/>
      <c r="I42" s="1050" t="n"/>
      <c r="J42" s="1050" t="n"/>
      <c r="K42" s="1050" t="n"/>
      <c r="L42" s="1050" t="n"/>
      <c r="M42" s="1050" t="n"/>
      <c r="N42" s="1050" t="n"/>
      <c r="O42" s="1050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  <c r="N43" s="1050" t="n"/>
      <c r="O43" s="1050" t="n"/>
    </row>
    <row r="44" ht="15" customHeight="1" s="981">
      <c r="A44" s="1050" t="n"/>
      <c r="B44" s="1050" t="n"/>
      <c r="C44" s="1050" t="n"/>
      <c r="D44" s="1050" t="n"/>
      <c r="E44" s="1050" t="n"/>
      <c r="F44" s="1050" t="n"/>
      <c r="G44" s="1050" t="n"/>
      <c r="H44" s="1050" t="n"/>
      <c r="I44" s="1050" t="n"/>
      <c r="J44" s="1050" t="n"/>
      <c r="K44" s="1050" t="n"/>
      <c r="L44" s="1050" t="n"/>
      <c r="M44" s="1050" t="n"/>
      <c r="N44" s="1050" t="n"/>
      <c r="O44" s="1050" t="n"/>
    </row>
    <row r="45" ht="15" customHeight="1" s="981">
      <c r="A45" s="1050" t="n"/>
      <c r="B45" s="1050" t="n"/>
      <c r="C45" s="1050" t="n"/>
      <c r="D45" s="1050" t="n"/>
      <c r="E45" s="1050" t="n"/>
      <c r="F45" s="1050" t="n"/>
      <c r="G45" s="1050" t="n"/>
      <c r="H45" s="1050" t="n"/>
      <c r="I45" s="1050" t="n"/>
      <c r="J45" s="1050" t="n"/>
      <c r="K45" s="1050" t="n"/>
      <c r="L45" s="1050" t="n"/>
      <c r="M45" s="1050" t="n"/>
      <c r="N45" s="1050" t="n"/>
      <c r="O45" s="1050" t="n"/>
    </row>
    <row r="46" ht="15" customHeight="1" s="981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  <c r="M46" s="1050" t="n"/>
      <c r="N46" s="1050" t="n"/>
      <c r="O46" s="1050" t="n"/>
    </row>
    <row r="47" ht="15" customHeight="1" s="981">
      <c r="A47" s="1050" t="n"/>
      <c r="B47" s="1050" t="n"/>
      <c r="C47" s="1050" t="n"/>
      <c r="D47" s="1050" t="n"/>
      <c r="E47" s="1050" t="n"/>
      <c r="F47" s="1050" t="n"/>
      <c r="G47" s="1050" t="n"/>
      <c r="H47" s="1050" t="n"/>
      <c r="I47" s="1050" t="n"/>
      <c r="J47" s="1050" t="n"/>
      <c r="K47" s="1050" t="n"/>
      <c r="L47" s="1050" t="n"/>
      <c r="M47" s="1050" t="n"/>
      <c r="N47" s="1050" t="n"/>
      <c r="O47" s="1050" t="n"/>
    </row>
    <row r="48" ht="15" customHeight="1" s="981">
      <c r="A48" s="1050" t="n"/>
      <c r="B48" s="1050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  <c r="N48" s="1050" t="n"/>
      <c r="O48" s="1050" t="n"/>
    </row>
    <row r="49" ht="15" customHeight="1" s="981">
      <c r="A49" s="1050" t="n"/>
      <c r="B49" s="1050" t="n"/>
      <c r="C49" s="1050" t="n"/>
      <c r="D49" s="1050" t="n"/>
      <c r="E49" s="1050" t="n"/>
      <c r="F49" s="1050" t="n"/>
      <c r="G49" s="1050" t="n"/>
      <c r="H49" s="1050" t="n"/>
      <c r="I49" s="1050" t="n"/>
      <c r="J49" s="1050" t="n"/>
      <c r="K49" s="1050" t="n"/>
      <c r="L49" s="1050" t="n"/>
      <c r="M49" s="1050" t="n"/>
      <c r="N49" s="1050" t="n"/>
      <c r="O49" s="1050" t="n"/>
    </row>
    <row r="50" ht="15" customHeight="1" s="981">
      <c r="A50" s="1050" t="n"/>
      <c r="B50" s="1050" t="n"/>
      <c r="C50" s="1050" t="n"/>
      <c r="D50" s="1050" t="n"/>
      <c r="E50" s="1050" t="n"/>
      <c r="F50" s="1050" t="n"/>
      <c r="G50" s="1050" t="n"/>
      <c r="H50" s="1050" t="n"/>
      <c r="I50" s="1050" t="n"/>
      <c r="J50" s="1050" t="n"/>
      <c r="K50" s="1050" t="n"/>
      <c r="L50" s="1050" t="n"/>
      <c r="M50" s="1050" t="n"/>
      <c r="N50" s="1050" t="n"/>
      <c r="O50" s="1050" t="n"/>
    </row>
    <row r="51" ht="15" customHeight="1" s="981">
      <c r="A51" s="1050" t="n"/>
      <c r="B51" s="1050" t="n"/>
      <c r="C51" s="1050" t="n"/>
      <c r="D51" s="1050" t="n"/>
      <c r="E51" s="1050" t="n"/>
      <c r="F51" s="1050" t="n"/>
      <c r="G51" s="1050" t="n"/>
      <c r="H51" s="1050" t="n"/>
      <c r="I51" s="1050" t="n"/>
      <c r="J51" s="1050" t="n"/>
      <c r="K51" s="1050" t="n"/>
      <c r="L51" s="1050" t="n"/>
      <c r="M51" s="1050" t="n"/>
      <c r="N51" s="1050" t="n"/>
      <c r="O51" s="1050" t="n"/>
    </row>
    <row r="52" ht="15" customHeight="1" s="981">
      <c r="A52" s="1050" t="n"/>
      <c r="B52" s="1050" t="n"/>
      <c r="C52" s="1050" t="n"/>
      <c r="D52" s="1050" t="n"/>
      <c r="E52" s="1050" t="n"/>
      <c r="F52" s="1050" t="n"/>
      <c r="G52" s="1050" t="n"/>
      <c r="H52" s="1050" t="n"/>
      <c r="I52" s="1050" t="n"/>
      <c r="J52" s="1050" t="n"/>
      <c r="K52" s="1050" t="n"/>
      <c r="L52" s="1050" t="n"/>
      <c r="M52" s="1050" t="n"/>
      <c r="N52" s="1050" t="n"/>
      <c r="O52" s="1050" t="n"/>
    </row>
    <row r="53" ht="15" customHeight="1" s="981">
      <c r="A53" s="1050" t="n"/>
      <c r="B53" s="1050" t="n"/>
      <c r="C53" s="1050" t="n"/>
      <c r="D53" s="1050" t="n"/>
      <c r="E53" s="1050" t="n"/>
      <c r="F53" s="1050" t="n"/>
      <c r="G53" s="1050" t="n"/>
      <c r="H53" s="1050" t="n"/>
      <c r="I53" s="1050" t="n"/>
      <c r="J53" s="1050" t="n"/>
      <c r="K53" s="1050" t="n"/>
      <c r="L53" s="1050" t="n"/>
      <c r="M53" s="1050" t="n"/>
      <c r="N53" s="1050" t="n"/>
      <c r="O53" s="1050" t="n"/>
    </row>
    <row r="54" ht="15" customHeight="1" s="981">
      <c r="A54" s="1050" t="n"/>
      <c r="B54" s="1050" t="n"/>
      <c r="C54" s="1050" t="n"/>
      <c r="D54" s="1050" t="n"/>
      <c r="E54" s="1050" t="n"/>
      <c r="F54" s="1050" t="n"/>
      <c r="G54" s="1050" t="n"/>
      <c r="H54" s="1050" t="n"/>
      <c r="I54" s="1050" t="n"/>
      <c r="J54" s="1050" t="n"/>
      <c r="K54" s="1050" t="n"/>
      <c r="L54" s="1050" t="n"/>
      <c r="M54" s="1050" t="n"/>
      <c r="N54" s="1050" t="n"/>
      <c r="O54" s="1050" t="n"/>
    </row>
    <row r="55" ht="15" customHeight="1" s="981">
      <c r="A55" s="1050" t="n"/>
      <c r="B55" s="1050" t="n"/>
      <c r="C55" s="1050" t="n"/>
      <c r="D55" s="1050" t="n"/>
      <c r="E55" s="1050" t="n"/>
      <c r="F55" s="1050" t="n"/>
      <c r="G55" s="1050" t="n"/>
      <c r="H55" s="1050" t="n"/>
      <c r="I55" s="1050" t="n"/>
      <c r="J55" s="1050" t="n"/>
      <c r="K55" s="1050" t="n"/>
      <c r="L55" s="1050" t="n"/>
      <c r="M55" s="1050" t="n"/>
      <c r="N55" s="1050" t="n"/>
      <c r="O55" s="1050" t="n"/>
    </row>
    <row r="56" ht="15" customHeight="1" s="981">
      <c r="A56" s="1050" t="n"/>
      <c r="B56" s="1050" t="n"/>
      <c r="C56" s="1050" t="n"/>
      <c r="D56" s="1050" t="n"/>
      <c r="E56" s="1050" t="n"/>
      <c r="F56" s="1050" t="n"/>
      <c r="G56" s="1050" t="n"/>
      <c r="H56" s="1050" t="n"/>
      <c r="I56" s="1050" t="n"/>
      <c r="J56" s="1050" t="n"/>
      <c r="K56" s="1050" t="n"/>
      <c r="L56" s="1050" t="n"/>
      <c r="M56" s="1050" t="n"/>
      <c r="N56" s="1050" t="n"/>
      <c r="O56" s="1050" t="n"/>
    </row>
    <row r="57" ht="15" customHeight="1" s="981">
      <c r="A57" s="1050" t="n"/>
      <c r="B57" s="1050" t="n"/>
      <c r="C57" s="1050" t="n"/>
      <c r="D57" s="1050" t="n"/>
      <c r="E57" s="1050" t="n"/>
      <c r="F57" s="1050" t="n"/>
      <c r="G57" s="1050" t="n"/>
      <c r="H57" s="1050" t="n"/>
      <c r="I57" s="1050" t="n"/>
      <c r="J57" s="1050" t="n"/>
      <c r="K57" s="1050" t="n"/>
      <c r="L57" s="1050" t="n"/>
      <c r="M57" s="1050" t="n"/>
      <c r="N57" s="1050" t="n"/>
      <c r="O57" s="1050" t="n"/>
    </row>
    <row r="58" ht="15" customHeight="1" s="981">
      <c r="A58" s="1050" t="n"/>
      <c r="B58" s="1050" t="n"/>
      <c r="C58" s="1050" t="n"/>
      <c r="D58" s="1050" t="n"/>
      <c r="E58" s="1050" t="n"/>
      <c r="F58" s="1050" t="n"/>
      <c r="G58" s="1050" t="n"/>
      <c r="H58" s="1050" t="n"/>
      <c r="I58" s="1050" t="n"/>
      <c r="J58" s="1050" t="n"/>
      <c r="K58" s="1050" t="n"/>
      <c r="L58" s="1050" t="n"/>
      <c r="M58" s="1050" t="n"/>
      <c r="N58" s="1050" t="n"/>
      <c r="O58" s="1050" t="n"/>
    </row>
    <row r="59" ht="15" customHeight="1" s="981">
      <c r="A59" s="1050" t="n"/>
      <c r="B59" s="1050" t="n"/>
      <c r="C59" s="1050" t="n"/>
      <c r="D59" s="1050" t="n"/>
      <c r="E59" s="1050" t="n"/>
      <c r="F59" s="1050" t="n"/>
      <c r="G59" s="1050" t="n"/>
      <c r="H59" s="1050" t="n"/>
      <c r="I59" s="1050" t="n"/>
      <c r="J59" s="1050" t="n"/>
      <c r="K59" s="1050" t="n"/>
      <c r="L59" s="1050" t="n"/>
      <c r="M59" s="1050" t="n"/>
      <c r="N59" s="1050" t="n"/>
      <c r="O59" s="1050" t="n"/>
    </row>
    <row r="60" ht="15" customHeight="1" s="981">
      <c r="A60" s="1050" t="n"/>
      <c r="B60" s="1050" t="n"/>
      <c r="C60" s="1050" t="n"/>
      <c r="D60" s="1050" t="n"/>
      <c r="E60" s="1050" t="n"/>
      <c r="F60" s="1050" t="n"/>
      <c r="G60" s="1050" t="n"/>
      <c r="H60" s="1050" t="n"/>
      <c r="I60" s="1050" t="n"/>
      <c r="J60" s="1050" t="n"/>
      <c r="K60" s="1050" t="n"/>
      <c r="L60" s="1050" t="n"/>
      <c r="M60" s="1050" t="n"/>
      <c r="N60" s="1050" t="n"/>
      <c r="O60" s="1050" t="n"/>
    </row>
    <row r="61" ht="15" customHeight="1" s="981">
      <c r="A61" s="1050" t="n"/>
      <c r="B61" s="1050" t="n"/>
      <c r="C61" s="1050" t="n"/>
      <c r="D61" s="1050" t="n"/>
      <c r="E61" s="1050" t="n"/>
      <c r="F61" s="1050" t="n"/>
      <c r="G61" s="1050" t="n"/>
      <c r="H61" s="1050" t="n"/>
      <c r="I61" s="1050" t="n"/>
      <c r="J61" s="1050" t="n"/>
      <c r="K61" s="1050" t="n"/>
      <c r="L61" s="1050" t="n"/>
      <c r="M61" s="1050" t="n"/>
      <c r="N61" s="1050" t="n"/>
      <c r="O61" s="1050" t="n"/>
    </row>
    <row r="62" ht="15" customHeight="1" s="981">
      <c r="A62" s="1050" t="n"/>
      <c r="B62" s="1050" t="n"/>
      <c r="C62" s="1050" t="n"/>
      <c r="D62" s="1050" t="n"/>
      <c r="E62" s="1050" t="n"/>
      <c r="F62" s="1050" t="n"/>
      <c r="G62" s="1050" t="n"/>
      <c r="H62" s="1050" t="n"/>
      <c r="I62" s="1050" t="n"/>
      <c r="J62" s="1050" t="n"/>
      <c r="K62" s="1050" t="n"/>
      <c r="L62" s="1050" t="n"/>
      <c r="M62" s="1050" t="n"/>
      <c r="N62" s="1050" t="n"/>
      <c r="O62" s="1050" t="n"/>
    </row>
    <row r="63" ht="15" customHeight="1" s="981">
      <c r="A63" s="1050" t="n"/>
      <c r="B63" s="1050" t="n"/>
      <c r="C63" s="1050" t="n"/>
      <c r="D63" s="1050" t="n"/>
      <c r="E63" s="1050" t="n"/>
      <c r="F63" s="1050" t="n"/>
      <c r="G63" s="1050" t="n"/>
      <c r="H63" s="1050" t="n"/>
      <c r="I63" s="1050" t="n"/>
      <c r="J63" s="1050" t="n"/>
      <c r="K63" s="1050" t="n"/>
      <c r="L63" s="1050" t="n"/>
      <c r="M63" s="1050" t="n"/>
      <c r="N63" s="1050" t="n"/>
      <c r="O63" s="1050" t="n"/>
    </row>
    <row r="64" ht="15" customHeight="1" s="981">
      <c r="A64" s="1050" t="n"/>
      <c r="B64" s="1050" t="n"/>
      <c r="C64" s="1050" t="n"/>
      <c r="D64" s="1050" t="n"/>
      <c r="E64" s="1050" t="n"/>
      <c r="F64" s="1050" t="n"/>
      <c r="G64" s="1050" t="n"/>
      <c r="H64" s="1050" t="n"/>
      <c r="I64" s="1050" t="n"/>
      <c r="J64" s="1050" t="n"/>
      <c r="K64" s="1050" t="n"/>
      <c r="L64" s="1050" t="n"/>
      <c r="M64" s="1050" t="n"/>
      <c r="N64" s="1050" t="n"/>
      <c r="O64" s="1050" t="n"/>
    </row>
    <row r="65" ht="15" customHeight="1" s="981">
      <c r="A65" s="1050" t="n"/>
      <c r="B65" s="1050" t="n"/>
      <c r="C65" s="1050" t="n"/>
      <c r="D65" s="1050" t="n"/>
      <c r="E65" s="1050" t="n"/>
      <c r="F65" s="1050" t="n"/>
      <c r="G65" s="1050" t="n"/>
      <c r="H65" s="1050" t="n"/>
      <c r="I65" s="1050" t="n"/>
      <c r="J65" s="1050" t="n"/>
      <c r="K65" s="1050" t="n"/>
      <c r="L65" s="1050" t="n"/>
      <c r="M65" s="1050" t="n"/>
      <c r="N65" s="1050" t="n"/>
      <c r="O65" s="1050" t="n"/>
    </row>
    <row r="66" ht="15" customHeight="1" s="981">
      <c r="A66" s="1050" t="n"/>
      <c r="B66" s="1050" t="n"/>
      <c r="C66" s="1050" t="n"/>
      <c r="D66" s="1050" t="n"/>
      <c r="E66" s="1050" t="n"/>
      <c r="F66" s="1050" t="n"/>
      <c r="G66" s="1050" t="n"/>
      <c r="H66" s="1050" t="n"/>
      <c r="I66" s="1050" t="n"/>
      <c r="J66" s="1050" t="n"/>
      <c r="K66" s="1050" t="n"/>
      <c r="L66" s="1050" t="n"/>
      <c r="M66" s="1050" t="n"/>
      <c r="N66" s="1050" t="n"/>
      <c r="O66" s="1050" t="n"/>
    </row>
    <row r="67" ht="15" customHeight="1" s="981">
      <c r="A67" s="1050" t="n"/>
      <c r="B67" s="1050" t="n"/>
      <c r="C67" s="1050" t="n"/>
      <c r="D67" s="1050" t="n"/>
      <c r="E67" s="1050" t="n"/>
      <c r="F67" s="1050" t="n"/>
      <c r="G67" s="1050" t="n"/>
      <c r="H67" s="1050" t="n"/>
      <c r="I67" s="1050" t="n"/>
      <c r="J67" s="1050" t="n"/>
      <c r="K67" s="1050" t="n"/>
      <c r="L67" s="1050" t="n"/>
      <c r="M67" s="1050" t="n"/>
      <c r="N67" s="1050" t="n"/>
      <c r="O67" s="1050" t="n"/>
    </row>
    <row r="68" ht="15" customHeight="1" s="981">
      <c r="A68" s="1050" t="n"/>
      <c r="B68" s="1050" t="n"/>
      <c r="C68" s="1050" t="n"/>
      <c r="D68" s="1050" t="n"/>
      <c r="E68" s="1050" t="n"/>
      <c r="F68" s="1050" t="n"/>
      <c r="G68" s="1050" t="n"/>
      <c r="H68" s="1050" t="n"/>
      <c r="I68" s="1050" t="n"/>
      <c r="J68" s="1050" t="n"/>
      <c r="K68" s="1050" t="n"/>
      <c r="L68" s="1050" t="n"/>
      <c r="M68" s="1050" t="n"/>
      <c r="N68" s="1050" t="n"/>
      <c r="O68" s="1050" t="n"/>
    </row>
    <row r="69" ht="15" customHeight="1" s="981">
      <c r="A69" s="1050" t="n"/>
      <c r="B69" s="1050" t="n"/>
      <c r="C69" s="1050" t="n"/>
      <c r="D69" s="1050" t="n"/>
      <c r="E69" s="1050" t="n"/>
      <c r="F69" s="1050" t="n"/>
      <c r="G69" s="1050" t="n"/>
      <c r="H69" s="1050" t="n"/>
      <c r="I69" s="1050" t="n"/>
      <c r="J69" s="1050" t="n"/>
      <c r="K69" s="1050" t="n"/>
      <c r="L69" s="1050" t="n"/>
      <c r="M69" s="1050" t="n"/>
      <c r="N69" s="1050" t="n"/>
      <c r="O69" s="1050" t="n"/>
    </row>
    <row r="70" ht="15" customHeight="1" s="981">
      <c r="A70" s="1050" t="n"/>
      <c r="B70" s="1050" t="n"/>
      <c r="C70" s="1050" t="n"/>
      <c r="D70" s="1050" t="n"/>
      <c r="E70" s="1050" t="n"/>
      <c r="F70" s="1050" t="n"/>
      <c r="G70" s="1050" t="n"/>
      <c r="H70" s="1050" t="n"/>
      <c r="I70" s="1050" t="n"/>
      <c r="J70" s="1050" t="n"/>
      <c r="K70" s="1050" t="n"/>
      <c r="L70" s="1050" t="n"/>
      <c r="M70" s="1050" t="n"/>
      <c r="N70" s="1050" t="n"/>
      <c r="O70" s="1050" t="n"/>
    </row>
    <row r="71" ht="15" customHeight="1" s="981">
      <c r="A71" s="1050" t="n"/>
      <c r="B71" s="1050" t="n"/>
      <c r="C71" s="1050" t="n"/>
      <c r="D71" s="1050" t="n"/>
      <c r="E71" s="1050" t="n"/>
      <c r="F71" s="1050" t="n"/>
      <c r="G71" s="1050" t="n"/>
      <c r="H71" s="1050" t="n"/>
      <c r="I71" s="1050" t="n"/>
      <c r="J71" s="1050" t="n"/>
      <c r="K71" s="1050" t="n"/>
      <c r="L71" s="1050" t="n"/>
      <c r="M71" s="1050" t="n"/>
      <c r="N71" s="1050" t="n"/>
      <c r="O71" s="1050" t="n"/>
    </row>
    <row r="72" ht="15" customHeight="1" s="981">
      <c r="A72" s="1050" t="n"/>
      <c r="B72" s="1050" t="n"/>
      <c r="C72" s="1050" t="n"/>
      <c r="D72" s="1050" t="n"/>
      <c r="E72" s="1050" t="n"/>
      <c r="F72" s="1050" t="n"/>
      <c r="G72" s="1050" t="n"/>
      <c r="H72" s="1050" t="n"/>
      <c r="I72" s="1050" t="n"/>
      <c r="J72" s="1050" t="n"/>
      <c r="K72" s="1050" t="n"/>
      <c r="L72" s="1050" t="n"/>
      <c r="M72" s="1050" t="n"/>
      <c r="N72" s="1050" t="n"/>
      <c r="O72" s="1050" t="n"/>
    </row>
    <row r="73" ht="15" customHeight="1" s="981">
      <c r="A73" s="1050" t="n"/>
      <c r="B73" s="1050" t="n"/>
      <c r="C73" s="1050" t="n"/>
      <c r="D73" s="1050" t="n"/>
      <c r="E73" s="1050" t="n"/>
      <c r="F73" s="1050" t="n"/>
      <c r="G73" s="1050" t="n"/>
      <c r="H73" s="1050" t="n"/>
      <c r="I73" s="1050" t="n"/>
      <c r="J73" s="1050" t="n"/>
      <c r="K73" s="1050" t="n"/>
      <c r="L73" s="1050" t="n"/>
      <c r="M73" s="1050" t="n"/>
      <c r="N73" s="1050" t="n"/>
      <c r="O73" s="1050" t="n"/>
    </row>
    <row r="74" ht="15" customHeight="1" s="981">
      <c r="A74" s="1050" t="n"/>
      <c r="B74" s="1050" t="n"/>
      <c r="C74" s="1050" t="n"/>
      <c r="D74" s="1050" t="n"/>
      <c r="E74" s="1050" t="n"/>
      <c r="F74" s="1050" t="n"/>
      <c r="G74" s="1050" t="n"/>
      <c r="H74" s="1050" t="n"/>
      <c r="I74" s="1050" t="n"/>
      <c r="J74" s="1050" t="n"/>
      <c r="K74" s="1050" t="n"/>
      <c r="L74" s="1050" t="n"/>
      <c r="M74" s="1050" t="n"/>
      <c r="N74" s="1050" t="n"/>
      <c r="O74" s="1050" t="n"/>
    </row>
    <row r="75" ht="15" customHeight="1" s="981">
      <c r="A75" s="1050" t="n"/>
      <c r="B75" s="1050" t="n"/>
      <c r="C75" s="1050" t="n"/>
      <c r="D75" s="1050" t="n"/>
      <c r="E75" s="1050" t="n"/>
      <c r="F75" s="1050" t="n"/>
      <c r="G75" s="1050" t="n"/>
      <c r="H75" s="1050" t="n"/>
      <c r="I75" s="1050" t="n"/>
      <c r="J75" s="1050" t="n"/>
      <c r="K75" s="1050" t="n"/>
      <c r="L75" s="1050" t="n"/>
      <c r="M75" s="1050" t="n"/>
      <c r="N75" s="1050" t="n"/>
      <c r="O75" s="1050" t="n"/>
    </row>
    <row r="76" ht="15" customHeight="1" s="981">
      <c r="A76" s="1050" t="n"/>
      <c r="B76" s="1050" t="n"/>
      <c r="C76" s="1050" t="n"/>
      <c r="D76" s="1050" t="n"/>
      <c r="E76" s="1050" t="n"/>
      <c r="F76" s="1050" t="n"/>
      <c r="G76" s="1050" t="n"/>
      <c r="H76" s="1050" t="n"/>
      <c r="I76" s="1050" t="n"/>
      <c r="J76" s="1050" t="n"/>
      <c r="K76" s="1050" t="n"/>
      <c r="L76" s="1050" t="n"/>
      <c r="M76" s="1050" t="n"/>
      <c r="N76" s="1050" t="n"/>
      <c r="O76" s="1050" t="n"/>
    </row>
    <row r="77" ht="15" customHeight="1" s="981">
      <c r="A77" s="1050" t="n"/>
      <c r="B77" s="1050" t="n"/>
      <c r="C77" s="1050" t="n"/>
      <c r="D77" s="1050" t="n"/>
      <c r="E77" s="1050" t="n"/>
      <c r="F77" s="1050" t="n"/>
      <c r="G77" s="1050" t="n"/>
      <c r="H77" s="1050" t="n"/>
      <c r="I77" s="1050" t="n"/>
      <c r="J77" s="1050" t="n"/>
      <c r="K77" s="1050" t="n"/>
      <c r="L77" s="1050" t="n"/>
      <c r="M77" s="1050" t="n"/>
      <c r="N77" s="1050" t="n"/>
      <c r="O77" s="1050" t="n"/>
    </row>
    <row r="78" ht="15" customHeight="1" s="981">
      <c r="A78" s="1050" t="n"/>
      <c r="B78" s="1050" t="n"/>
      <c r="C78" s="1050" t="n"/>
      <c r="D78" s="1050" t="n"/>
      <c r="E78" s="1050" t="n"/>
      <c r="F78" s="1050" t="n"/>
      <c r="G78" s="1050" t="n"/>
      <c r="H78" s="1050" t="n"/>
      <c r="I78" s="1050" t="n"/>
      <c r="J78" s="1050" t="n"/>
      <c r="K78" s="1050" t="n"/>
      <c r="L78" s="1050" t="n"/>
      <c r="M78" s="1050" t="n"/>
      <c r="N78" s="1050" t="n"/>
      <c r="O78" s="1050" t="n"/>
    </row>
    <row r="79" ht="15" customHeight="1" s="981">
      <c r="A79" s="1050" t="n"/>
      <c r="B79" s="1050" t="n"/>
      <c r="C79" s="1050" t="n"/>
      <c r="D79" s="1050" t="n"/>
      <c r="E79" s="1050" t="n"/>
      <c r="F79" s="1050" t="n"/>
      <c r="G79" s="1050" t="n"/>
      <c r="H79" s="1050" t="n"/>
      <c r="I79" s="1050" t="n"/>
      <c r="J79" s="1050" t="n"/>
      <c r="K79" s="1050" t="n"/>
      <c r="L79" s="1050" t="n"/>
      <c r="M79" s="1050" t="n"/>
      <c r="N79" s="1050" t="n"/>
      <c r="O79" s="1050" t="n"/>
    </row>
    <row r="80" ht="15" customHeight="1" s="981">
      <c r="A80" s="1050" t="n"/>
      <c r="B80" s="1050" t="n"/>
      <c r="C80" s="1050" t="n"/>
      <c r="D80" s="1050" t="n"/>
      <c r="E80" s="1050" t="n"/>
      <c r="F80" s="1050" t="n"/>
      <c r="G80" s="1050" t="n"/>
      <c r="H80" s="1050" t="n"/>
      <c r="I80" s="1050" t="n"/>
      <c r="J80" s="1050" t="n"/>
      <c r="K80" s="1050" t="n"/>
      <c r="L80" s="1050" t="n"/>
      <c r="M80" s="1050" t="n"/>
      <c r="N80" s="1050" t="n"/>
      <c r="O80" s="1050" t="n"/>
    </row>
    <row r="81" ht="15" customHeight="1" s="981">
      <c r="A81" s="1050" t="n"/>
      <c r="B81" s="1050" t="n"/>
      <c r="C81" s="1050" t="n"/>
      <c r="D81" s="1050" t="n"/>
      <c r="E81" s="1050" t="n"/>
      <c r="F81" s="1050" t="n"/>
      <c r="G81" s="1050" t="n"/>
      <c r="H81" s="1050" t="n"/>
      <c r="I81" s="1050" t="n"/>
      <c r="J81" s="1050" t="n"/>
      <c r="K81" s="1050" t="n"/>
      <c r="L81" s="1050" t="n"/>
      <c r="M81" s="1050" t="n"/>
      <c r="N81" s="1050" t="n"/>
      <c r="O81" s="1050" t="n"/>
    </row>
    <row r="82" ht="15" customHeight="1" s="981">
      <c r="A82" s="1050" t="n"/>
      <c r="B82" s="1050" t="n"/>
      <c r="C82" s="1050" t="n"/>
      <c r="D82" s="1050" t="n"/>
      <c r="E82" s="1050" t="n"/>
      <c r="F82" s="1050" t="n"/>
      <c r="G82" s="1050" t="n"/>
      <c r="H82" s="1050" t="n"/>
      <c r="I82" s="1050" t="n"/>
      <c r="J82" s="1050" t="n"/>
      <c r="K82" s="1050" t="n"/>
      <c r="L82" s="1050" t="n"/>
      <c r="M82" s="1050" t="n"/>
      <c r="N82" s="1050" t="n"/>
      <c r="O82" s="1050" t="n"/>
    </row>
    <row r="83" ht="15" customHeight="1" s="981">
      <c r="A83" s="1050" t="n"/>
      <c r="B83" s="1050" t="n"/>
      <c r="C83" s="1050" t="n"/>
      <c r="D83" s="1050" t="n"/>
      <c r="E83" s="1050" t="n"/>
      <c r="F83" s="1050" t="n"/>
      <c r="G83" s="1050" t="n"/>
      <c r="H83" s="1050" t="n"/>
      <c r="I83" s="1050" t="n"/>
      <c r="J83" s="1050" t="n"/>
      <c r="K83" s="1050" t="n"/>
      <c r="L83" s="1050" t="n"/>
      <c r="M83" s="1050" t="n"/>
      <c r="N83" s="1050" t="n"/>
      <c r="O83" s="1050" t="n"/>
    </row>
    <row r="84" ht="15" customHeight="1" s="981">
      <c r="A84" s="1050" t="n"/>
      <c r="B84" s="1050" t="n"/>
      <c r="C84" s="1050" t="n"/>
      <c r="D84" s="1050" t="n"/>
      <c r="E84" s="1050" t="n"/>
      <c r="F84" s="1050" t="n"/>
      <c r="G84" s="1050" t="n"/>
      <c r="H84" s="1050" t="n"/>
      <c r="I84" s="1050" t="n"/>
      <c r="J84" s="1050" t="n"/>
      <c r="K84" s="1050" t="n"/>
      <c r="L84" s="1050" t="n"/>
      <c r="M84" s="1050" t="n"/>
      <c r="N84" s="1050" t="n"/>
      <c r="O84" s="1050" t="n"/>
    </row>
    <row r="85" ht="15" customHeight="1" s="981">
      <c r="A85" s="1050" t="n"/>
      <c r="B85" s="1050" t="n"/>
      <c r="C85" s="1050" t="n"/>
      <c r="D85" s="1050" t="n"/>
      <c r="E85" s="1050" t="n"/>
      <c r="F85" s="1050" t="n"/>
      <c r="G85" s="1050" t="n"/>
      <c r="H85" s="1050" t="n"/>
      <c r="I85" s="1050" t="n"/>
      <c r="J85" s="1050" t="n"/>
      <c r="K85" s="1050" t="n"/>
      <c r="L85" s="1050" t="n"/>
      <c r="M85" s="1050" t="n"/>
      <c r="N85" s="1050" t="n"/>
      <c r="O85" s="1050" t="n"/>
    </row>
    <row r="86" ht="15" customHeight="1" s="981">
      <c r="A86" s="1050" t="n"/>
      <c r="B86" s="1050" t="n"/>
      <c r="C86" s="1050" t="n"/>
      <c r="D86" s="1050" t="n"/>
      <c r="E86" s="1050" t="n"/>
      <c r="F86" s="1050" t="n"/>
      <c r="G86" s="1050" t="n"/>
      <c r="H86" s="1050" t="n"/>
      <c r="I86" s="1050" t="n"/>
      <c r="J86" s="1050" t="n"/>
      <c r="K86" s="1050" t="n"/>
      <c r="L86" s="1050" t="n"/>
      <c r="M86" s="1050" t="n"/>
      <c r="N86" s="1050" t="n"/>
      <c r="O86" s="1050" t="n"/>
    </row>
    <row r="87" ht="15" customHeight="1" s="981">
      <c r="A87" s="1050" t="n"/>
      <c r="B87" s="1050" t="n"/>
      <c r="C87" s="1050" t="n"/>
      <c r="D87" s="1050" t="n"/>
      <c r="E87" s="1050" t="n"/>
      <c r="F87" s="1050" t="n"/>
      <c r="G87" s="1050" t="n"/>
      <c r="H87" s="1050" t="n"/>
      <c r="I87" s="1050" t="n"/>
      <c r="J87" s="1050" t="n"/>
      <c r="K87" s="1050" t="n"/>
      <c r="L87" s="1050" t="n"/>
      <c r="M87" s="1050" t="n"/>
      <c r="N87" s="1050" t="n"/>
      <c r="O87" s="1050" t="n"/>
    </row>
    <row r="88" ht="15" customHeight="1" s="981">
      <c r="A88" s="1050" t="n"/>
      <c r="B88" s="1050" t="n"/>
      <c r="C88" s="1050" t="n"/>
      <c r="D88" s="1050" t="n"/>
      <c r="E88" s="1050" t="n"/>
      <c r="F88" s="1050" t="n"/>
      <c r="G88" s="1050" t="n"/>
      <c r="H88" s="1050" t="n"/>
      <c r="I88" s="1050" t="n"/>
      <c r="J88" s="1050" t="n"/>
      <c r="K88" s="1050" t="n"/>
      <c r="L88" s="1050" t="n"/>
      <c r="M88" s="1050" t="n"/>
      <c r="N88" s="1050" t="n"/>
      <c r="O88" s="1050" t="n"/>
    </row>
    <row r="89" ht="15" customHeight="1" s="981">
      <c r="A89" s="1050" t="n"/>
      <c r="B89" s="1050" t="n"/>
      <c r="C89" s="1050" t="n"/>
      <c r="D89" s="1050" t="n"/>
      <c r="E89" s="1050" t="n"/>
      <c r="F89" s="1050" t="n"/>
      <c r="G89" s="1050" t="n"/>
      <c r="H89" s="1050" t="n"/>
      <c r="I89" s="1050" t="n"/>
      <c r="J89" s="1050" t="n"/>
      <c r="K89" s="1050" t="n"/>
      <c r="L89" s="1050" t="n"/>
      <c r="M89" s="1050" t="n"/>
      <c r="N89" s="1050" t="n"/>
      <c r="O89" s="1050" t="n"/>
    </row>
    <row r="90" ht="15" customHeight="1" s="981">
      <c r="A90" s="1050" t="n"/>
      <c r="B90" s="1050" t="n"/>
      <c r="C90" s="1050" t="n"/>
      <c r="D90" s="1050" t="n"/>
      <c r="E90" s="1050" t="n"/>
      <c r="F90" s="1050" t="n"/>
      <c r="G90" s="1050" t="n"/>
      <c r="H90" s="1050" t="n"/>
      <c r="I90" s="1050" t="n"/>
      <c r="J90" s="1050" t="n"/>
      <c r="K90" s="1050" t="n"/>
      <c r="L90" s="1050" t="n"/>
      <c r="M90" s="1050" t="n"/>
      <c r="N90" s="1050" t="n"/>
      <c r="O90" s="1050" t="n"/>
    </row>
    <row r="91" ht="15" customHeight="1" s="981">
      <c r="A91" s="1050" t="n"/>
      <c r="B91" s="1050" t="n"/>
      <c r="C91" s="1050" t="n"/>
      <c r="D91" s="1050" t="n"/>
      <c r="E91" s="1050" t="n"/>
      <c r="F91" s="1050" t="n"/>
      <c r="G91" s="1050" t="n"/>
      <c r="H91" s="1050" t="n"/>
      <c r="I91" s="1050" t="n"/>
      <c r="J91" s="1050" t="n"/>
      <c r="K91" s="1050" t="n"/>
      <c r="L91" s="1050" t="n"/>
      <c r="M91" s="1050" t="n"/>
      <c r="N91" s="1050" t="n"/>
      <c r="O91" s="1050" t="n"/>
    </row>
    <row r="92" ht="15" customHeight="1" s="981">
      <c r="A92" s="1050" t="n"/>
      <c r="B92" s="1050" t="n"/>
      <c r="C92" s="1050" t="n"/>
      <c r="D92" s="1050" t="n"/>
      <c r="E92" s="1050" t="n"/>
      <c r="F92" s="1050" t="n"/>
      <c r="G92" s="1050" t="n"/>
      <c r="H92" s="1050" t="n"/>
      <c r="I92" s="1050" t="n"/>
      <c r="J92" s="1050" t="n"/>
      <c r="K92" s="1050" t="n"/>
      <c r="L92" s="1050" t="n"/>
      <c r="M92" s="1050" t="n"/>
      <c r="N92" s="1050" t="n"/>
      <c r="O92" s="1050" t="n"/>
    </row>
    <row r="93" ht="15" customHeight="1" s="981">
      <c r="A93" s="1050" t="n"/>
      <c r="B93" s="1050" t="n"/>
      <c r="C93" s="1050" t="n"/>
      <c r="D93" s="1050" t="n"/>
      <c r="E93" s="1050" t="n"/>
      <c r="F93" s="1050" t="n"/>
      <c r="G93" s="1050" t="n"/>
      <c r="H93" s="1050" t="n"/>
      <c r="I93" s="1050" t="n"/>
      <c r="J93" s="1050" t="n"/>
      <c r="K93" s="1050" t="n"/>
      <c r="L93" s="1050" t="n"/>
      <c r="M93" s="1050" t="n"/>
      <c r="N93" s="1050" t="n"/>
      <c r="O93" s="1050" t="n"/>
    </row>
    <row r="94" ht="15" customHeight="1" s="981">
      <c r="A94" s="1050" t="n"/>
      <c r="B94" s="1050" t="n"/>
      <c r="C94" s="1050" t="n"/>
      <c r="D94" s="1050" t="n"/>
      <c r="E94" s="1050" t="n"/>
      <c r="F94" s="1050" t="n"/>
      <c r="G94" s="1050" t="n"/>
      <c r="H94" s="1050" t="n"/>
      <c r="I94" s="1050" t="n"/>
      <c r="J94" s="1050" t="n"/>
      <c r="K94" s="1050" t="n"/>
      <c r="L94" s="1050" t="n"/>
      <c r="M94" s="1050" t="n"/>
      <c r="N94" s="1050" t="n"/>
      <c r="O94" s="1050" t="n"/>
    </row>
    <row r="95" ht="15" customHeight="1" s="981">
      <c r="A95" s="1050" t="n"/>
      <c r="B95" s="1050" t="n"/>
      <c r="C95" s="1050" t="n"/>
      <c r="D95" s="1050" t="n"/>
      <c r="E95" s="1050" t="n"/>
      <c r="F95" s="1050" t="n"/>
      <c r="G95" s="1050" t="n"/>
      <c r="H95" s="1050" t="n"/>
      <c r="I95" s="1050" t="n"/>
      <c r="J95" s="1050" t="n"/>
      <c r="K95" s="1050" t="n"/>
      <c r="L95" s="1050" t="n"/>
      <c r="M95" s="1050" t="n"/>
      <c r="N95" s="1050" t="n"/>
      <c r="O95" s="1050" t="n"/>
    </row>
    <row r="96" ht="15" customHeight="1" s="981">
      <c r="A96" s="1050" t="n"/>
      <c r="B96" s="1050" t="n"/>
      <c r="C96" s="1050" t="n"/>
      <c r="D96" s="1050" t="n"/>
      <c r="E96" s="1050" t="n"/>
      <c r="F96" s="1050" t="n"/>
      <c r="G96" s="1050" t="n"/>
      <c r="H96" s="1050" t="n"/>
      <c r="I96" s="1050" t="n"/>
      <c r="J96" s="1050" t="n"/>
      <c r="K96" s="1050" t="n"/>
      <c r="L96" s="1050" t="n"/>
      <c r="M96" s="1050" t="n"/>
      <c r="N96" s="1050" t="n"/>
      <c r="O96" s="1050" t="n"/>
    </row>
    <row r="97" ht="15" customHeight="1" s="981">
      <c r="A97" s="1050" t="n"/>
      <c r="B97" s="1050" t="n"/>
      <c r="C97" s="1050" t="n"/>
      <c r="D97" s="1050" t="n"/>
      <c r="E97" s="1050" t="n"/>
      <c r="F97" s="1050" t="n"/>
      <c r="G97" s="1050" t="n"/>
      <c r="H97" s="1050" t="n"/>
      <c r="I97" s="1050" t="n"/>
      <c r="J97" s="1050" t="n"/>
      <c r="K97" s="1050" t="n"/>
      <c r="L97" s="1050" t="n"/>
      <c r="M97" s="1050" t="n"/>
      <c r="N97" s="1050" t="n"/>
      <c r="O97" s="1050" t="n"/>
    </row>
    <row r="98" ht="15" customHeight="1" s="981">
      <c r="A98" s="1050" t="n"/>
      <c r="B98" s="1050" t="n"/>
      <c r="C98" s="1050" t="n"/>
      <c r="D98" s="1050" t="n"/>
      <c r="E98" s="1050" t="n"/>
      <c r="F98" s="1050" t="n"/>
      <c r="G98" s="1050" t="n"/>
      <c r="H98" s="1050" t="n"/>
      <c r="I98" s="1050" t="n"/>
      <c r="J98" s="1050" t="n"/>
      <c r="K98" s="1050" t="n"/>
      <c r="L98" s="1050" t="n"/>
      <c r="M98" s="1050" t="n"/>
      <c r="N98" s="1050" t="n"/>
      <c r="O98" s="1050" t="n"/>
    </row>
    <row r="99" ht="15" customHeight="1" s="981">
      <c r="A99" s="1050" t="n"/>
      <c r="B99" s="1050" t="n"/>
      <c r="C99" s="1050" t="n"/>
      <c r="D99" s="1050" t="n"/>
      <c r="E99" s="1050" t="n"/>
      <c r="F99" s="1050" t="n"/>
      <c r="G99" s="1050" t="n"/>
      <c r="H99" s="1050" t="n"/>
      <c r="I99" s="1050" t="n"/>
      <c r="J99" s="1050" t="n"/>
      <c r="K99" s="1050" t="n"/>
      <c r="L99" s="1050" t="n"/>
      <c r="M99" s="1050" t="n"/>
      <c r="N99" s="1050" t="n"/>
      <c r="O99" s="1050" t="n"/>
    </row>
    <row r="100" ht="15" customHeight="1" s="981">
      <c r="A100" s="1050" t="n"/>
      <c r="B100" s="1050" t="n"/>
      <c r="C100" s="1050" t="n"/>
      <c r="D100" s="1050" t="n"/>
      <c r="E100" s="1050" t="n"/>
      <c r="F100" s="1050" t="n"/>
      <c r="G100" s="1050" t="n"/>
      <c r="H100" s="1050" t="n"/>
      <c r="I100" s="1050" t="n"/>
      <c r="J100" s="1050" t="n"/>
      <c r="K100" s="1050" t="n"/>
      <c r="L100" s="1050" t="n"/>
      <c r="M100" s="1050" t="n"/>
      <c r="N100" s="1050" t="n"/>
      <c r="O100" s="1050" t="n"/>
    </row>
    <row r="101" ht="15" customHeight="1" s="981">
      <c r="A101" s="1050" t="n"/>
      <c r="B101" s="1050" t="n"/>
      <c r="C101" s="1050" t="n"/>
      <c r="D101" s="1050" t="n"/>
      <c r="E101" s="1050" t="n"/>
      <c r="F101" s="1050" t="n"/>
      <c r="G101" s="1050" t="n"/>
      <c r="H101" s="1050" t="n"/>
      <c r="I101" s="1050" t="n"/>
      <c r="J101" s="1050" t="n"/>
      <c r="K101" s="1050" t="n"/>
      <c r="L101" s="1050" t="n"/>
      <c r="M101" s="1050" t="n"/>
      <c r="N101" s="1050" t="n"/>
      <c r="O101" s="1050" t="n"/>
    </row>
    <row r="102" ht="15" customHeight="1" s="981">
      <c r="A102" s="1050" t="n"/>
      <c r="B102" s="1050" t="n"/>
      <c r="C102" s="1050" t="n"/>
      <c r="D102" s="1050" t="n"/>
      <c r="E102" s="1050" t="n"/>
      <c r="F102" s="1050" t="n"/>
      <c r="G102" s="1050" t="n"/>
      <c r="H102" s="1050" t="n"/>
      <c r="I102" s="1050" t="n"/>
      <c r="J102" s="1050" t="n"/>
      <c r="K102" s="1050" t="n"/>
      <c r="L102" s="1050" t="n"/>
      <c r="M102" s="1050" t="n"/>
      <c r="N102" s="1050" t="n"/>
      <c r="O102" s="1050" t="n"/>
    </row>
    <row r="103" ht="15" customHeight="1" s="981">
      <c r="A103" s="1050" t="n"/>
      <c r="B103" s="1050" t="n"/>
      <c r="C103" s="1050" t="n"/>
      <c r="D103" s="1050" t="n"/>
      <c r="E103" s="1050" t="n"/>
      <c r="F103" s="1050" t="n"/>
      <c r="G103" s="1050" t="n"/>
      <c r="H103" s="1050" t="n"/>
      <c r="I103" s="1050" t="n"/>
      <c r="J103" s="1050" t="n"/>
      <c r="K103" s="1050" t="n"/>
      <c r="L103" s="1050" t="n"/>
      <c r="M103" s="1050" t="n"/>
      <c r="N103" s="1050" t="n"/>
      <c r="O103" s="1050" t="n"/>
    </row>
    <row r="104" ht="15" customHeight="1" s="981">
      <c r="A104" s="1050" t="n"/>
      <c r="B104" s="1050" t="n"/>
      <c r="C104" s="1050" t="n"/>
      <c r="D104" s="1050" t="n"/>
      <c r="E104" s="1050" t="n"/>
      <c r="F104" s="1050" t="n"/>
      <c r="G104" s="1050" t="n"/>
      <c r="H104" s="1050" t="n"/>
      <c r="I104" s="1050" t="n"/>
      <c r="J104" s="1050" t="n"/>
      <c r="K104" s="1050" t="n"/>
      <c r="L104" s="1050" t="n"/>
      <c r="M104" s="1050" t="n"/>
      <c r="N104" s="1050" t="n"/>
      <c r="O104" s="1050" t="n"/>
    </row>
    <row r="105" ht="15" customHeight="1" s="981">
      <c r="A105" s="1050" t="n"/>
      <c r="B105" s="1050" t="n"/>
      <c r="C105" s="1050" t="n"/>
      <c r="D105" s="1050" t="n"/>
      <c r="E105" s="1050" t="n"/>
      <c r="F105" s="1050" t="n"/>
      <c r="G105" s="1050" t="n"/>
      <c r="H105" s="1050" t="n"/>
      <c r="I105" s="1050" t="n"/>
      <c r="J105" s="1050" t="n"/>
      <c r="K105" s="1050" t="n"/>
      <c r="L105" s="1050" t="n"/>
      <c r="M105" s="1050" t="n"/>
      <c r="N105" s="1050" t="n"/>
      <c r="O105" s="1050" t="n"/>
    </row>
    <row r="106" ht="15" customHeight="1" s="981">
      <c r="A106" s="1050" t="n"/>
      <c r="B106" s="1050" t="n"/>
      <c r="C106" s="1050" t="n"/>
      <c r="D106" s="1050" t="n"/>
      <c r="E106" s="1050" t="n"/>
      <c r="F106" s="1050" t="n"/>
      <c r="G106" s="1050" t="n"/>
      <c r="H106" s="1050" t="n"/>
      <c r="I106" s="1050" t="n"/>
      <c r="J106" s="1050" t="n"/>
      <c r="K106" s="1050" t="n"/>
      <c r="L106" s="1050" t="n"/>
      <c r="M106" s="1050" t="n"/>
      <c r="N106" s="1050" t="n"/>
      <c r="O106" s="1050" t="n"/>
    </row>
    <row r="107" ht="15" customHeight="1" s="981">
      <c r="A107" s="1050" t="n"/>
      <c r="B107" s="1050" t="n"/>
      <c r="C107" s="1050" t="n"/>
      <c r="D107" s="1050" t="n"/>
      <c r="E107" s="1050" t="n"/>
      <c r="F107" s="1050" t="n"/>
      <c r="G107" s="1050" t="n"/>
      <c r="H107" s="1050" t="n"/>
      <c r="I107" s="1050" t="n"/>
      <c r="J107" s="1050" t="n"/>
      <c r="K107" s="1050" t="n"/>
      <c r="L107" s="1050" t="n"/>
      <c r="M107" s="1050" t="n"/>
      <c r="N107" s="1050" t="n"/>
      <c r="O107" s="1050" t="n"/>
    </row>
    <row r="108" ht="15" customHeight="1" s="981">
      <c r="A108" s="1050" t="n"/>
      <c r="B108" s="1050" t="n"/>
      <c r="C108" s="1050" t="n"/>
      <c r="D108" s="1050" t="n"/>
      <c r="E108" s="1050" t="n"/>
      <c r="F108" s="1050" t="n"/>
      <c r="G108" s="1050" t="n"/>
      <c r="H108" s="1050" t="n"/>
      <c r="I108" s="1050" t="n"/>
      <c r="J108" s="1050" t="n"/>
      <c r="K108" s="1050" t="n"/>
      <c r="L108" s="1050" t="n"/>
      <c r="M108" s="1050" t="n"/>
      <c r="N108" s="1050" t="n"/>
      <c r="O108" s="1050" t="n"/>
    </row>
    <row r="109" ht="15" customHeight="1" s="981">
      <c r="A109" s="1050" t="n"/>
      <c r="B109" s="1050" t="n"/>
      <c r="C109" s="1050" t="n"/>
      <c r="D109" s="1050" t="n"/>
      <c r="E109" s="1050" t="n"/>
      <c r="F109" s="1050" t="n"/>
      <c r="G109" s="1050" t="n"/>
      <c r="H109" s="1050" t="n"/>
      <c r="I109" s="1050" t="n"/>
      <c r="J109" s="1050" t="n"/>
      <c r="K109" s="1050" t="n"/>
      <c r="L109" s="1050" t="n"/>
      <c r="M109" s="1050" t="n"/>
      <c r="N109" s="1050" t="n"/>
      <c r="O109" s="1050" t="n"/>
    </row>
    <row r="110" ht="15" customHeight="1" s="981">
      <c r="A110" s="1050" t="n"/>
      <c r="B110" s="1050" t="n"/>
      <c r="C110" s="1050" t="n"/>
      <c r="D110" s="1050" t="n"/>
      <c r="E110" s="1050" t="n"/>
      <c r="F110" s="1050" t="n"/>
      <c r="G110" s="1050" t="n"/>
      <c r="H110" s="1050" t="n"/>
      <c r="I110" s="1050" t="n"/>
      <c r="J110" s="1050" t="n"/>
      <c r="K110" s="1050" t="n"/>
      <c r="L110" s="1050" t="n"/>
      <c r="M110" s="1050" t="n"/>
      <c r="N110" s="1050" t="n"/>
      <c r="O110" s="1050" t="n"/>
    </row>
    <row r="111" ht="15" customHeight="1" s="981">
      <c r="A111" s="1050" t="n"/>
      <c r="B111" s="1050" t="n"/>
      <c r="C111" s="1050" t="n"/>
      <c r="D111" s="1050" t="n"/>
      <c r="E111" s="1050" t="n"/>
      <c r="F111" s="1050" t="n"/>
      <c r="G111" s="1050" t="n"/>
      <c r="H111" s="1050" t="n"/>
      <c r="I111" s="1050" t="n"/>
      <c r="J111" s="1050" t="n"/>
      <c r="K111" s="1050" t="n"/>
      <c r="L111" s="1050" t="n"/>
      <c r="M111" s="1050" t="n"/>
      <c r="N111" s="1050" t="n"/>
      <c r="O111" s="1050" t="n"/>
    </row>
    <row r="112" ht="15" customHeight="1" s="981">
      <c r="A112" s="1050" t="n"/>
      <c r="B112" s="1050" t="n"/>
      <c r="C112" s="1050" t="n"/>
      <c r="D112" s="1050" t="n"/>
      <c r="E112" s="1050" t="n"/>
      <c r="F112" s="1050" t="n"/>
      <c r="G112" s="1050" t="n"/>
      <c r="H112" s="1050" t="n"/>
      <c r="I112" s="1050" t="n"/>
      <c r="J112" s="1050" t="n"/>
      <c r="K112" s="1050" t="n"/>
      <c r="L112" s="1050" t="n"/>
      <c r="M112" s="1050" t="n"/>
      <c r="N112" s="1050" t="n"/>
      <c r="O112" s="1050" t="n"/>
    </row>
    <row r="113" ht="15" customHeight="1" s="981">
      <c r="A113" s="1050" t="n"/>
      <c r="B113" s="1050" t="n"/>
      <c r="C113" s="1050" t="n"/>
      <c r="D113" s="1050" t="n"/>
      <c r="E113" s="1050" t="n"/>
      <c r="F113" s="1050" t="n"/>
      <c r="G113" s="1050" t="n"/>
      <c r="H113" s="1050" t="n"/>
      <c r="I113" s="1050" t="n"/>
      <c r="J113" s="1050" t="n"/>
      <c r="K113" s="1050" t="n"/>
      <c r="L113" s="1050" t="n"/>
      <c r="M113" s="1050" t="n"/>
      <c r="N113" s="1050" t="n"/>
      <c r="O113" s="1050" t="n"/>
    </row>
    <row r="114" ht="15" customHeight="1" s="981">
      <c r="A114" s="1050" t="n"/>
      <c r="B114" s="1050" t="n"/>
      <c r="C114" s="1050" t="n"/>
      <c r="D114" s="1050" t="n"/>
      <c r="E114" s="1050" t="n"/>
      <c r="F114" s="1050" t="n"/>
      <c r="G114" s="1050" t="n"/>
      <c r="H114" s="1050" t="n"/>
      <c r="I114" s="1050" t="n"/>
      <c r="J114" s="1050" t="n"/>
      <c r="K114" s="1050" t="n"/>
      <c r="L114" s="1050" t="n"/>
      <c r="M114" s="1050" t="n"/>
      <c r="N114" s="1050" t="n"/>
      <c r="O114" s="1050" t="n"/>
    </row>
    <row r="115" ht="15" customHeight="1" s="981">
      <c r="A115" s="1050" t="n"/>
      <c r="B115" s="1050" t="n"/>
      <c r="C115" s="1050" t="n"/>
      <c r="D115" s="1050" t="n"/>
      <c r="E115" s="1050" t="n"/>
      <c r="F115" s="1050" t="n"/>
      <c r="G115" s="1050" t="n"/>
      <c r="H115" s="1050" t="n"/>
      <c r="I115" s="1050" t="n"/>
      <c r="J115" s="1050" t="n"/>
      <c r="K115" s="1050" t="n"/>
      <c r="L115" s="1050" t="n"/>
      <c r="M115" s="1050" t="n"/>
      <c r="N115" s="1050" t="n"/>
      <c r="O115" s="1050" t="n"/>
    </row>
    <row r="116" ht="15" customHeight="1" s="981">
      <c r="A116" s="1050" t="n"/>
      <c r="B116" s="1050" t="n"/>
      <c r="C116" s="1050" t="n"/>
      <c r="D116" s="1050" t="n"/>
      <c r="E116" s="1050" t="n"/>
      <c r="F116" s="1050" t="n"/>
      <c r="G116" s="1050" t="n"/>
      <c r="H116" s="1050" t="n"/>
      <c r="I116" s="1050" t="n"/>
      <c r="J116" s="1050" t="n"/>
      <c r="K116" s="1050" t="n"/>
      <c r="L116" s="1050" t="n"/>
      <c r="M116" s="1050" t="n"/>
      <c r="N116" s="1050" t="n"/>
      <c r="O116" s="1050" t="n"/>
    </row>
    <row r="117" ht="15" customHeight="1" s="981">
      <c r="A117" s="1050" t="n"/>
      <c r="B117" s="1050" t="n"/>
      <c r="C117" s="1050" t="n"/>
      <c r="D117" s="1050" t="n"/>
      <c r="E117" s="1050" t="n"/>
      <c r="F117" s="1050" t="n"/>
      <c r="G117" s="1050" t="n"/>
      <c r="H117" s="1050" t="n"/>
      <c r="I117" s="1050" t="n"/>
      <c r="J117" s="1050" t="n"/>
      <c r="K117" s="1050" t="n"/>
      <c r="L117" s="1050" t="n"/>
      <c r="M117" s="1050" t="n"/>
      <c r="N117" s="1050" t="n"/>
      <c r="O117" s="1050" t="n"/>
    </row>
    <row r="118" ht="15" customHeight="1" s="981">
      <c r="A118" s="1050" t="n"/>
      <c r="B118" s="1050" t="n"/>
      <c r="C118" s="1050" t="n"/>
      <c r="D118" s="1050" t="n"/>
      <c r="E118" s="1050" t="n"/>
      <c r="F118" s="1050" t="n"/>
      <c r="G118" s="1050" t="n"/>
      <c r="H118" s="1050" t="n"/>
      <c r="I118" s="1050" t="n"/>
      <c r="J118" s="1050" t="n"/>
      <c r="K118" s="1050" t="n"/>
      <c r="L118" s="1050" t="n"/>
      <c r="M118" s="1050" t="n"/>
      <c r="N118" s="1050" t="n"/>
      <c r="O118" s="1050" t="n"/>
    </row>
    <row r="119" ht="15" customHeight="1" s="981">
      <c r="A119" s="1050" t="n"/>
      <c r="B119" s="1050" t="n"/>
      <c r="C119" s="1050" t="n"/>
      <c r="D119" s="1050" t="n"/>
      <c r="E119" s="1050" t="n"/>
      <c r="F119" s="1050" t="n"/>
      <c r="G119" s="1050" t="n"/>
      <c r="H119" s="1050" t="n"/>
      <c r="I119" s="1050" t="n"/>
      <c r="J119" s="1050" t="n"/>
      <c r="K119" s="1050" t="n"/>
      <c r="L119" s="1050" t="n"/>
      <c r="M119" s="1050" t="n"/>
      <c r="N119" s="1050" t="n"/>
      <c r="O119" s="1050" t="n"/>
    </row>
    <row r="120" ht="15" customHeight="1" s="981">
      <c r="A120" s="1050" t="n"/>
      <c r="B120" s="1050" t="n"/>
      <c r="C120" s="1050" t="n"/>
      <c r="D120" s="1050" t="n"/>
      <c r="E120" s="1050" t="n"/>
      <c r="F120" s="1050" t="n"/>
      <c r="G120" s="1050" t="n"/>
      <c r="H120" s="1050" t="n"/>
      <c r="I120" s="1050" t="n"/>
      <c r="J120" s="1050" t="n"/>
      <c r="K120" s="1050" t="n"/>
      <c r="L120" s="1050" t="n"/>
      <c r="M120" s="1050" t="n"/>
      <c r="N120" s="1050" t="n"/>
      <c r="O120" s="1050" t="n"/>
    </row>
    <row r="121" ht="15" customHeight="1" s="981">
      <c r="A121" s="1050" t="n"/>
      <c r="B121" s="1050" t="n"/>
      <c r="C121" s="1050" t="n"/>
      <c r="D121" s="1050" t="n"/>
      <c r="E121" s="1050" t="n"/>
      <c r="F121" s="1050" t="n"/>
      <c r="G121" s="1050" t="n"/>
      <c r="H121" s="1050" t="n"/>
      <c r="I121" s="1050" t="n"/>
      <c r="J121" s="1050" t="n"/>
      <c r="K121" s="1050" t="n"/>
      <c r="L121" s="1050" t="n"/>
      <c r="M121" s="1050" t="n"/>
      <c r="N121" s="1050" t="n"/>
      <c r="O121" s="1050" t="n"/>
    </row>
    <row r="122" ht="15" customHeight="1" s="981">
      <c r="A122" s="1050" t="n"/>
      <c r="B122" s="1050" t="n"/>
      <c r="C122" s="1050" t="n"/>
      <c r="D122" s="1050" t="n"/>
      <c r="E122" s="1050" t="n"/>
      <c r="F122" s="1050" t="n"/>
      <c r="G122" s="1050" t="n"/>
      <c r="H122" s="1050" t="n"/>
      <c r="I122" s="1050" t="n"/>
      <c r="J122" s="1050" t="n"/>
      <c r="K122" s="1050" t="n"/>
      <c r="L122" s="1050" t="n"/>
      <c r="M122" s="1050" t="n"/>
      <c r="N122" s="1050" t="n"/>
      <c r="O122" s="1050" t="n"/>
    </row>
    <row r="123" ht="15" customHeight="1" s="981">
      <c r="A123" s="1050" t="n"/>
      <c r="B123" s="1050" t="n"/>
      <c r="C123" s="1050" t="n"/>
      <c r="D123" s="1050" t="n"/>
      <c r="E123" s="1050" t="n"/>
      <c r="F123" s="1050" t="n"/>
      <c r="G123" s="1050" t="n"/>
      <c r="H123" s="1050" t="n"/>
      <c r="I123" s="1050" t="n"/>
      <c r="J123" s="1050" t="n"/>
      <c r="K123" s="1050" t="n"/>
      <c r="L123" s="1050" t="n"/>
      <c r="M123" s="1050" t="n"/>
      <c r="N123" s="1050" t="n"/>
      <c r="O123" s="1050" t="n"/>
    </row>
    <row r="124" ht="15" customHeight="1" s="981">
      <c r="A124" s="1050" t="n"/>
      <c r="B124" s="1050" t="n"/>
      <c r="C124" s="1050" t="n"/>
      <c r="D124" s="1050" t="n"/>
      <c r="E124" s="1050" t="n"/>
      <c r="F124" s="1050" t="n"/>
      <c r="G124" s="1050" t="n"/>
      <c r="H124" s="1050" t="n"/>
      <c r="I124" s="1050" t="n"/>
      <c r="J124" s="1050" t="n"/>
      <c r="K124" s="1050" t="n"/>
      <c r="L124" s="1050" t="n"/>
      <c r="M124" s="1050" t="n"/>
      <c r="N124" s="1050" t="n"/>
      <c r="O124" s="1050" t="n"/>
    </row>
    <row r="125" ht="15" customHeight="1" s="981">
      <c r="A125" s="1050" t="n"/>
      <c r="B125" s="1050" t="n"/>
      <c r="C125" s="1050" t="n"/>
      <c r="D125" s="1050" t="n"/>
      <c r="E125" s="1050" t="n"/>
      <c r="F125" s="1050" t="n"/>
      <c r="G125" s="1050" t="n"/>
      <c r="H125" s="1050" t="n"/>
      <c r="I125" s="1050" t="n"/>
      <c r="J125" s="1050" t="n"/>
      <c r="K125" s="1050" t="n"/>
      <c r="L125" s="1050" t="n"/>
      <c r="M125" s="1050" t="n"/>
      <c r="N125" s="1050" t="n"/>
      <c r="O125" s="1050" t="n"/>
    </row>
    <row r="126" ht="15" customHeight="1" s="981">
      <c r="A126" s="1050" t="n"/>
      <c r="B126" s="1050" t="n"/>
      <c r="C126" s="1050" t="n"/>
      <c r="D126" s="1050" t="n"/>
      <c r="E126" s="1050" t="n"/>
      <c r="F126" s="1050" t="n"/>
      <c r="G126" s="1050" t="n"/>
      <c r="H126" s="1050" t="n"/>
      <c r="I126" s="1050" t="n"/>
      <c r="J126" s="1050" t="n"/>
      <c r="K126" s="1050" t="n"/>
      <c r="L126" s="1050" t="n"/>
      <c r="M126" s="1050" t="n"/>
      <c r="N126" s="1050" t="n"/>
      <c r="O126" s="1050" t="n"/>
    </row>
    <row r="127" ht="15" customHeight="1" s="981">
      <c r="A127" s="1050" t="n"/>
      <c r="B127" s="1050" t="n"/>
      <c r="C127" s="1050" t="n"/>
      <c r="D127" s="1050" t="n"/>
      <c r="E127" s="1050" t="n"/>
      <c r="F127" s="1050" t="n"/>
      <c r="G127" s="1050" t="n"/>
      <c r="H127" s="1050" t="n"/>
      <c r="I127" s="1050" t="n"/>
      <c r="J127" s="1050" t="n"/>
      <c r="K127" s="1050" t="n"/>
      <c r="L127" s="1050" t="n"/>
      <c r="M127" s="1050" t="n"/>
      <c r="N127" s="1050" t="n"/>
      <c r="O127" s="1050" t="n"/>
    </row>
    <row r="128" ht="15" customHeight="1" s="981">
      <c r="A128" s="1050" t="n"/>
      <c r="B128" s="1050" t="n"/>
      <c r="C128" s="1050" t="n"/>
      <c r="D128" s="1050" t="n"/>
      <c r="E128" s="1050" t="n"/>
      <c r="F128" s="1050" t="n"/>
      <c r="G128" s="1050" t="n"/>
      <c r="H128" s="1050" t="n"/>
      <c r="I128" s="1050" t="n"/>
      <c r="J128" s="1050" t="n"/>
      <c r="K128" s="1050" t="n"/>
      <c r="L128" s="1050" t="n"/>
      <c r="M128" s="1050" t="n"/>
      <c r="N128" s="1050" t="n"/>
      <c r="O128" s="1050" t="n"/>
    </row>
    <row r="129" ht="15" customHeight="1" s="981">
      <c r="A129" s="1050" t="n"/>
      <c r="B129" s="1050" t="n"/>
      <c r="C129" s="1050" t="n"/>
      <c r="D129" s="1050" t="n"/>
      <c r="E129" s="1050" t="n"/>
      <c r="F129" s="1050" t="n"/>
      <c r="G129" s="1050" t="n"/>
      <c r="H129" s="1050" t="n"/>
      <c r="I129" s="1050" t="n"/>
      <c r="J129" s="1050" t="n"/>
      <c r="K129" s="1050" t="n"/>
      <c r="L129" s="1050" t="n"/>
      <c r="M129" s="1050" t="n"/>
      <c r="N129" s="1050" t="n"/>
      <c r="O129" s="1050" t="n"/>
    </row>
    <row r="130" ht="15" customHeight="1" s="981">
      <c r="A130" s="1050" t="n"/>
      <c r="B130" s="1050" t="n"/>
      <c r="C130" s="1050" t="n"/>
      <c r="D130" s="1050" t="n"/>
      <c r="E130" s="1050" t="n"/>
      <c r="F130" s="1050" t="n"/>
      <c r="G130" s="1050" t="n"/>
      <c r="H130" s="1050" t="n"/>
      <c r="I130" s="1050" t="n"/>
      <c r="J130" s="1050" t="n"/>
      <c r="K130" s="1050" t="n"/>
      <c r="L130" s="1050" t="n"/>
      <c r="M130" s="1050" t="n"/>
      <c r="N130" s="1050" t="n"/>
      <c r="O130" s="1050" t="n"/>
    </row>
    <row r="131" ht="15" customHeight="1" s="981">
      <c r="A131" s="1050" t="n"/>
      <c r="B131" s="1050" t="n"/>
      <c r="C131" s="1050" t="n"/>
      <c r="D131" s="1050" t="n"/>
      <c r="E131" s="1050" t="n"/>
      <c r="F131" s="1050" t="n"/>
      <c r="G131" s="1050" t="n"/>
      <c r="H131" s="1050" t="n"/>
      <c r="I131" s="1050" t="n"/>
      <c r="J131" s="1050" t="n"/>
      <c r="K131" s="1050" t="n"/>
      <c r="L131" s="1050" t="n"/>
      <c r="M131" s="1050" t="n"/>
      <c r="N131" s="1050" t="n"/>
      <c r="O131" s="1050" t="n"/>
    </row>
    <row r="132" ht="15" customHeight="1" s="981">
      <c r="A132" s="1050" t="n"/>
      <c r="B132" s="1050" t="n"/>
      <c r="C132" s="1050" t="n"/>
      <c r="D132" s="1050" t="n"/>
      <c r="E132" s="1050" t="n"/>
      <c r="F132" s="1050" t="n"/>
      <c r="G132" s="1050" t="n"/>
      <c r="H132" s="1050" t="n"/>
      <c r="I132" s="1050" t="n"/>
      <c r="J132" s="1050" t="n"/>
      <c r="K132" s="1050" t="n"/>
      <c r="L132" s="1050" t="n"/>
      <c r="M132" s="1050" t="n"/>
      <c r="N132" s="1050" t="n"/>
      <c r="O132" s="1050" t="n"/>
    </row>
    <row r="133" ht="15" customHeight="1" s="981">
      <c r="A133" s="1050" t="n"/>
      <c r="B133" s="1050" t="n"/>
      <c r="C133" s="1050" t="n"/>
      <c r="D133" s="1050" t="n"/>
      <c r="E133" s="1050" t="n"/>
      <c r="F133" s="1050" t="n"/>
      <c r="G133" s="1050" t="n"/>
      <c r="H133" s="1050" t="n"/>
      <c r="I133" s="1050" t="n"/>
      <c r="J133" s="1050" t="n"/>
      <c r="K133" s="1050" t="n"/>
      <c r="L133" s="1050" t="n"/>
      <c r="M133" s="1050" t="n"/>
      <c r="N133" s="1050" t="n"/>
      <c r="O133" s="1050" t="n"/>
    </row>
    <row r="134" ht="15" customHeight="1" s="981">
      <c r="A134" s="1050" t="n"/>
      <c r="B134" s="1050" t="n"/>
      <c r="C134" s="1050" t="n"/>
      <c r="D134" s="1050" t="n"/>
      <c r="E134" s="1050" t="n"/>
      <c r="F134" s="1050" t="n"/>
      <c r="G134" s="1050" t="n"/>
      <c r="H134" s="1050" t="n"/>
      <c r="I134" s="1050" t="n"/>
      <c r="J134" s="1050" t="n"/>
      <c r="K134" s="1050" t="n"/>
      <c r="L134" s="1050" t="n"/>
      <c r="M134" s="1050" t="n"/>
      <c r="N134" s="1050" t="n"/>
      <c r="O134" s="1050" t="n"/>
    </row>
    <row r="135" ht="15" customHeight="1" s="981">
      <c r="A135" s="1050" t="n"/>
      <c r="B135" s="1050" t="n"/>
      <c r="C135" s="1050" t="n"/>
      <c r="D135" s="1050" t="n"/>
      <c r="E135" s="1050" t="n"/>
      <c r="F135" s="1050" t="n"/>
      <c r="G135" s="1050" t="n"/>
      <c r="H135" s="1050" t="n"/>
      <c r="I135" s="1050" t="n"/>
      <c r="J135" s="1050" t="n"/>
      <c r="K135" s="1050" t="n"/>
      <c r="L135" s="1050" t="n"/>
      <c r="M135" s="1050" t="n"/>
      <c r="N135" s="1050" t="n"/>
      <c r="O135" s="1050" t="n"/>
    </row>
    <row r="136" ht="15" customHeight="1" s="981">
      <c r="A136" s="1050" t="n"/>
      <c r="B136" s="1050" t="n"/>
      <c r="C136" s="1050" t="n"/>
      <c r="D136" s="1050" t="n"/>
      <c r="E136" s="1050" t="n"/>
      <c r="F136" s="1050" t="n"/>
      <c r="G136" s="1050" t="n"/>
      <c r="H136" s="1050" t="n"/>
      <c r="I136" s="1050" t="n"/>
      <c r="J136" s="1050" t="n"/>
      <c r="K136" s="1050" t="n"/>
      <c r="L136" s="1050" t="n"/>
      <c r="M136" s="1050" t="n"/>
      <c r="N136" s="1050" t="n"/>
      <c r="O136" s="1050" t="n"/>
    </row>
    <row r="137" ht="15" customHeight="1" s="981">
      <c r="A137" s="1050" t="n"/>
      <c r="B137" s="1050" t="n"/>
      <c r="C137" s="1050" t="n"/>
      <c r="D137" s="1050" t="n"/>
      <c r="E137" s="1050" t="n"/>
      <c r="F137" s="1050" t="n"/>
      <c r="G137" s="1050" t="n"/>
      <c r="H137" s="1050" t="n"/>
      <c r="I137" s="1050" t="n"/>
      <c r="J137" s="1050" t="n"/>
      <c r="K137" s="1050" t="n"/>
      <c r="L137" s="1050" t="n"/>
      <c r="M137" s="1050" t="n"/>
      <c r="N137" s="1050" t="n"/>
      <c r="O137" s="1050" t="n"/>
    </row>
    <row r="138" ht="15" customHeight="1" s="981">
      <c r="A138" s="1050" t="n"/>
      <c r="B138" s="1050" t="n"/>
      <c r="C138" s="1050" t="n"/>
      <c r="D138" s="1050" t="n"/>
      <c r="E138" s="1050" t="n"/>
      <c r="F138" s="1050" t="n"/>
      <c r="G138" s="1050" t="n"/>
      <c r="H138" s="1050" t="n"/>
      <c r="I138" s="1050" t="n"/>
      <c r="J138" s="1050" t="n"/>
      <c r="K138" s="1050" t="n"/>
      <c r="L138" s="1050" t="n"/>
      <c r="M138" s="1050" t="n"/>
      <c r="N138" s="1050" t="n"/>
      <c r="O138" s="1050" t="n"/>
    </row>
    <row r="139" ht="15" customHeight="1" s="981">
      <c r="A139" s="1050" t="n"/>
      <c r="B139" s="1050" t="n"/>
      <c r="C139" s="1050" t="n"/>
      <c r="D139" s="1050" t="n"/>
      <c r="E139" s="1050" t="n"/>
      <c r="F139" s="1050" t="n"/>
      <c r="G139" s="1050" t="n"/>
      <c r="H139" s="1050" t="n"/>
      <c r="I139" s="1050" t="n"/>
      <c r="J139" s="1050" t="n"/>
      <c r="K139" s="1050" t="n"/>
      <c r="L139" s="1050" t="n"/>
      <c r="M139" s="1050" t="n"/>
      <c r="N139" s="1050" t="n"/>
      <c r="O139" s="1050" t="n"/>
    </row>
    <row r="140" ht="15" customHeight="1" s="981">
      <c r="A140" s="1050" t="n"/>
      <c r="B140" s="1050" t="n"/>
      <c r="C140" s="1050" t="n"/>
      <c r="D140" s="1050" t="n"/>
      <c r="E140" s="1050" t="n"/>
      <c r="F140" s="1050" t="n"/>
      <c r="G140" s="1050" t="n"/>
      <c r="H140" s="1050" t="n"/>
      <c r="I140" s="1050" t="n"/>
      <c r="J140" s="1050" t="n"/>
      <c r="K140" s="1050" t="n"/>
      <c r="L140" s="1050" t="n"/>
      <c r="M140" s="1050" t="n"/>
      <c r="N140" s="1050" t="n"/>
      <c r="O140" s="1050" t="n"/>
    </row>
    <row r="141" ht="15" customHeight="1" s="981">
      <c r="A141" s="1050" t="n"/>
      <c r="B141" s="1050" t="n"/>
      <c r="C141" s="1050" t="n"/>
      <c r="D141" s="1050" t="n"/>
      <c r="E141" s="1050" t="n"/>
      <c r="F141" s="1050" t="n"/>
      <c r="G141" s="1050" t="n"/>
      <c r="H141" s="1050" t="n"/>
      <c r="I141" s="1050" t="n"/>
      <c r="J141" s="1050" t="n"/>
      <c r="K141" s="1050" t="n"/>
      <c r="L141" s="1050" t="n"/>
      <c r="M141" s="1050" t="n"/>
      <c r="N141" s="1050" t="n"/>
      <c r="O141" s="1050" t="n"/>
    </row>
    <row r="142" ht="15" customHeight="1" s="981">
      <c r="A142" s="1050" t="n"/>
      <c r="B142" s="1050" t="n"/>
      <c r="C142" s="1050" t="n"/>
      <c r="D142" s="1050" t="n"/>
      <c r="E142" s="1050" t="n"/>
      <c r="F142" s="1050" t="n"/>
      <c r="G142" s="1050" t="n"/>
      <c r="H142" s="1050" t="n"/>
      <c r="I142" s="1050" t="n"/>
      <c r="J142" s="1050" t="n"/>
      <c r="K142" s="1050" t="n"/>
      <c r="L142" s="1050" t="n"/>
      <c r="M142" s="1050" t="n"/>
      <c r="N142" s="1050" t="n"/>
      <c r="O142" s="1050" t="n"/>
    </row>
    <row r="143" ht="15" customHeight="1" s="981">
      <c r="A143" s="1050" t="n"/>
      <c r="B143" s="1050" t="n"/>
      <c r="C143" s="1050" t="n"/>
      <c r="D143" s="1050" t="n"/>
      <c r="E143" s="1050" t="n"/>
      <c r="F143" s="1050" t="n"/>
      <c r="G143" s="1050" t="n"/>
      <c r="H143" s="1050" t="n"/>
      <c r="I143" s="1050" t="n"/>
      <c r="J143" s="1050" t="n"/>
      <c r="K143" s="1050" t="n"/>
      <c r="L143" s="1050" t="n"/>
      <c r="M143" s="1050" t="n"/>
      <c r="N143" s="1050" t="n"/>
      <c r="O143" s="1050" t="n"/>
    </row>
    <row r="144" ht="15" customHeight="1" s="981">
      <c r="A144" s="1050" t="n"/>
      <c r="B144" s="1050" t="n"/>
      <c r="C144" s="1050" t="n"/>
      <c r="D144" s="1050" t="n"/>
      <c r="E144" s="1050" t="n"/>
      <c r="F144" s="1050" t="n"/>
      <c r="G144" s="1050" t="n"/>
      <c r="H144" s="1050" t="n"/>
      <c r="I144" s="1050" t="n"/>
      <c r="J144" s="1050" t="n"/>
      <c r="K144" s="1050" t="n"/>
      <c r="L144" s="1050" t="n"/>
      <c r="M144" s="1050" t="n"/>
      <c r="N144" s="1050" t="n"/>
      <c r="O144" s="1050" t="n"/>
    </row>
    <row r="145" ht="15" customHeight="1" s="981">
      <c r="A145" s="1050" t="n"/>
      <c r="B145" s="1050" t="n"/>
      <c r="C145" s="1050" t="n"/>
      <c r="D145" s="1050" t="n"/>
      <c r="E145" s="1050" t="n"/>
      <c r="F145" s="1050" t="n"/>
      <c r="G145" s="1050" t="n"/>
      <c r="H145" s="1050" t="n"/>
      <c r="I145" s="1050" t="n"/>
      <c r="J145" s="1050" t="n"/>
      <c r="K145" s="1050" t="n"/>
      <c r="L145" s="1050" t="n"/>
      <c r="M145" s="1050" t="n"/>
      <c r="N145" s="1050" t="n"/>
      <c r="O145" s="1050" t="n"/>
    </row>
    <row r="146" ht="15" customHeight="1" s="981">
      <c r="A146" s="1050" t="n"/>
      <c r="B146" s="1050" t="n"/>
      <c r="C146" s="1050" t="n"/>
      <c r="D146" s="1050" t="n"/>
      <c r="E146" s="1050" t="n"/>
      <c r="F146" s="1050" t="n"/>
      <c r="G146" s="1050" t="n"/>
      <c r="H146" s="1050" t="n"/>
      <c r="I146" s="1050" t="n"/>
      <c r="J146" s="1050" t="n"/>
      <c r="K146" s="1050" t="n"/>
      <c r="L146" s="1050" t="n"/>
      <c r="M146" s="1050" t="n"/>
      <c r="N146" s="1050" t="n"/>
      <c r="O146" s="1050" t="n"/>
    </row>
    <row r="147" ht="15" customHeight="1" s="981">
      <c r="A147" s="1050" t="n"/>
      <c r="B147" s="1050" t="n"/>
      <c r="C147" s="1050" t="n"/>
      <c r="D147" s="1050" t="n"/>
      <c r="E147" s="1050" t="n"/>
      <c r="F147" s="1050" t="n"/>
      <c r="G147" s="1050" t="n"/>
      <c r="H147" s="1050" t="n"/>
      <c r="I147" s="1050" t="n"/>
      <c r="J147" s="1050" t="n"/>
      <c r="K147" s="1050" t="n"/>
      <c r="L147" s="1050" t="n"/>
      <c r="M147" s="1050" t="n"/>
      <c r="N147" s="1050" t="n"/>
      <c r="O147" s="1050" t="n"/>
    </row>
    <row r="148" ht="15" customHeight="1" s="981">
      <c r="A148" s="1050" t="n"/>
      <c r="B148" s="1050" t="n"/>
      <c r="C148" s="1050" t="n"/>
      <c r="D148" s="1050" t="n"/>
      <c r="E148" s="1050" t="n"/>
      <c r="F148" s="1050" t="n"/>
      <c r="G148" s="1050" t="n"/>
      <c r="H148" s="1050" t="n"/>
      <c r="I148" s="1050" t="n"/>
      <c r="J148" s="1050" t="n"/>
      <c r="K148" s="1050" t="n"/>
      <c r="L148" s="1050" t="n"/>
      <c r="M148" s="1050" t="n"/>
      <c r="N148" s="1050" t="n"/>
      <c r="O148" s="1050" t="n"/>
    </row>
    <row r="149" ht="15" customHeight="1" s="981">
      <c r="A149" s="1050" t="n"/>
      <c r="B149" s="1050" t="n"/>
      <c r="C149" s="1050" t="n"/>
      <c r="D149" s="1050" t="n"/>
      <c r="E149" s="1050" t="n"/>
      <c r="F149" s="1050" t="n"/>
      <c r="G149" s="1050" t="n"/>
      <c r="H149" s="1050" t="n"/>
      <c r="I149" s="1050" t="n"/>
      <c r="J149" s="1050" t="n"/>
      <c r="K149" s="1050" t="n"/>
      <c r="L149" s="1050" t="n"/>
      <c r="M149" s="1050" t="n"/>
      <c r="N149" s="1050" t="n"/>
      <c r="O149" s="1050" t="n"/>
    </row>
    <row r="150" ht="15" customHeight="1" s="981">
      <c r="A150" s="1050" t="n"/>
      <c r="B150" s="1050" t="n"/>
      <c r="C150" s="1050" t="n"/>
      <c r="D150" s="1050" t="n"/>
      <c r="E150" s="1050" t="n"/>
      <c r="F150" s="1050" t="n"/>
      <c r="G150" s="1050" t="n"/>
      <c r="H150" s="1050" t="n"/>
      <c r="I150" s="1050" t="n"/>
      <c r="J150" s="1050" t="n"/>
      <c r="K150" s="1050" t="n"/>
      <c r="L150" s="1050" t="n"/>
      <c r="M150" s="1050" t="n"/>
      <c r="N150" s="1050" t="n"/>
      <c r="O150" s="1050" t="n"/>
    </row>
    <row r="151" ht="15" customHeight="1" s="981">
      <c r="A151" s="1050" t="n"/>
      <c r="B151" s="1050" t="n"/>
      <c r="C151" s="1050" t="n"/>
      <c r="D151" s="1050" t="n"/>
      <c r="E151" s="1050" t="n"/>
      <c r="F151" s="1050" t="n"/>
      <c r="G151" s="1050" t="n"/>
      <c r="H151" s="1050" t="n"/>
      <c r="I151" s="1050" t="n"/>
      <c r="J151" s="1050" t="n"/>
      <c r="K151" s="1050" t="n"/>
      <c r="L151" s="1050" t="n"/>
      <c r="M151" s="1050" t="n"/>
      <c r="N151" s="1050" t="n"/>
      <c r="O151" s="1050" t="n"/>
    </row>
    <row r="152" ht="15" customHeight="1" s="981">
      <c r="A152" s="1050" t="n"/>
      <c r="B152" s="1050" t="n"/>
      <c r="C152" s="1050" t="n"/>
      <c r="D152" s="1050" t="n"/>
      <c r="E152" s="1050" t="n"/>
      <c r="F152" s="1050" t="n"/>
      <c r="G152" s="1050" t="n"/>
      <c r="H152" s="1050" t="n"/>
      <c r="I152" s="1050" t="n"/>
      <c r="J152" s="1050" t="n"/>
      <c r="K152" s="1050" t="n"/>
      <c r="L152" s="1050" t="n"/>
      <c r="M152" s="1050" t="n"/>
      <c r="N152" s="1050" t="n"/>
      <c r="O152" s="1050" t="n"/>
    </row>
    <row r="153" ht="15" customHeight="1" s="981">
      <c r="A153" s="1050" t="n"/>
      <c r="B153" s="1050" t="n"/>
      <c r="C153" s="1050" t="n"/>
      <c r="D153" s="1050" t="n"/>
      <c r="E153" s="1050" t="n"/>
      <c r="F153" s="1050" t="n"/>
      <c r="G153" s="1050" t="n"/>
      <c r="H153" s="1050" t="n"/>
      <c r="I153" s="1050" t="n"/>
      <c r="J153" s="1050" t="n"/>
      <c r="K153" s="1050" t="n"/>
      <c r="L153" s="1050" t="n"/>
      <c r="M153" s="1050" t="n"/>
      <c r="N153" s="1050" t="n"/>
      <c r="O153" s="1050" t="n"/>
    </row>
    <row r="154" ht="15" customHeight="1" s="981">
      <c r="A154" s="1050" t="n"/>
      <c r="B154" s="1050" t="n"/>
      <c r="C154" s="1050" t="n"/>
      <c r="D154" s="1050" t="n"/>
      <c r="E154" s="1050" t="n"/>
      <c r="F154" s="1050" t="n"/>
      <c r="G154" s="1050" t="n"/>
      <c r="H154" s="1050" t="n"/>
      <c r="I154" s="1050" t="n"/>
      <c r="J154" s="1050" t="n"/>
      <c r="K154" s="1050" t="n"/>
      <c r="L154" s="1050" t="n"/>
      <c r="M154" s="1050" t="n"/>
      <c r="N154" s="1050" t="n"/>
      <c r="O154" s="1050" t="n"/>
    </row>
    <row r="155" ht="15" customHeight="1" s="981">
      <c r="A155" s="1050" t="n"/>
      <c r="B155" s="1050" t="n"/>
      <c r="C155" s="1050" t="n"/>
      <c r="D155" s="1050" t="n"/>
      <c r="E155" s="1050" t="n"/>
      <c r="F155" s="1050" t="n"/>
      <c r="G155" s="1050" t="n"/>
      <c r="H155" s="1050" t="n"/>
      <c r="I155" s="1050" t="n"/>
      <c r="J155" s="1050" t="n"/>
      <c r="K155" s="1050" t="n"/>
      <c r="L155" s="1050" t="n"/>
      <c r="M155" s="1050" t="n"/>
      <c r="N155" s="1050" t="n"/>
      <c r="O155" s="1050" t="n"/>
    </row>
    <row r="156" ht="15" customHeight="1" s="981">
      <c r="A156" s="1050" t="n"/>
      <c r="B156" s="1050" t="n"/>
      <c r="C156" s="1050" t="n"/>
      <c r="D156" s="1050" t="n"/>
      <c r="E156" s="1050" t="n"/>
      <c r="F156" s="1050" t="n"/>
      <c r="G156" s="1050" t="n"/>
      <c r="H156" s="1050" t="n"/>
      <c r="I156" s="1050" t="n"/>
      <c r="J156" s="1050" t="n"/>
      <c r="K156" s="1050" t="n"/>
      <c r="L156" s="1050" t="n"/>
      <c r="M156" s="1050" t="n"/>
      <c r="N156" s="1050" t="n"/>
      <c r="O156" s="1050" t="n"/>
    </row>
    <row r="157" ht="15" customHeight="1" s="981">
      <c r="A157" s="1050" t="n"/>
      <c r="B157" s="1050" t="n"/>
      <c r="C157" s="1050" t="n"/>
      <c r="D157" s="1050" t="n"/>
      <c r="E157" s="1050" t="n"/>
      <c r="F157" s="1050" t="n"/>
      <c r="G157" s="1050" t="n"/>
      <c r="H157" s="1050" t="n"/>
      <c r="I157" s="1050" t="n"/>
      <c r="J157" s="1050" t="n"/>
      <c r="K157" s="1050" t="n"/>
      <c r="L157" s="1050" t="n"/>
      <c r="M157" s="1050" t="n"/>
      <c r="N157" s="1050" t="n"/>
      <c r="O157" s="1050" t="n"/>
    </row>
    <row r="158" ht="15" customHeight="1" s="981">
      <c r="A158" s="1050" t="n"/>
      <c r="B158" s="1050" t="n"/>
      <c r="C158" s="1050" t="n"/>
      <c r="D158" s="1050" t="n"/>
      <c r="E158" s="1050" t="n"/>
      <c r="F158" s="1050" t="n"/>
      <c r="G158" s="1050" t="n"/>
      <c r="H158" s="1050" t="n"/>
      <c r="I158" s="1050" t="n"/>
      <c r="J158" s="1050" t="n"/>
      <c r="K158" s="1050" t="n"/>
      <c r="L158" s="1050" t="n"/>
      <c r="M158" s="1050" t="n"/>
      <c r="N158" s="1050" t="n"/>
      <c r="O158" s="1050" t="n"/>
    </row>
    <row r="159" ht="15" customHeight="1" s="981">
      <c r="A159" s="1050" t="n"/>
      <c r="B159" s="1050" t="n"/>
      <c r="C159" s="1050" t="n"/>
      <c r="D159" s="1050" t="n"/>
      <c r="E159" s="1050" t="n"/>
      <c r="F159" s="1050" t="n"/>
      <c r="G159" s="1050" t="n"/>
      <c r="H159" s="1050" t="n"/>
      <c r="I159" s="1050" t="n"/>
      <c r="J159" s="1050" t="n"/>
      <c r="K159" s="1050" t="n"/>
      <c r="L159" s="1050" t="n"/>
      <c r="M159" s="1050" t="n"/>
      <c r="N159" s="1050" t="n"/>
      <c r="O159" s="1050" t="n"/>
    </row>
    <row r="160" ht="15" customHeight="1" s="981">
      <c r="A160" s="1050" t="n"/>
      <c r="B160" s="1050" t="n"/>
      <c r="C160" s="1050" t="n"/>
      <c r="D160" s="1050" t="n"/>
      <c r="E160" s="1050" t="n"/>
      <c r="F160" s="1050" t="n"/>
      <c r="G160" s="1050" t="n"/>
      <c r="H160" s="1050" t="n"/>
      <c r="I160" s="1050" t="n"/>
      <c r="J160" s="1050" t="n"/>
      <c r="K160" s="1050" t="n"/>
      <c r="L160" s="1050" t="n"/>
      <c r="M160" s="1050" t="n"/>
      <c r="N160" s="1050" t="n"/>
      <c r="O160" s="1050" t="n"/>
    </row>
    <row r="161" ht="15" customHeight="1" s="981">
      <c r="A161" s="1050" t="n"/>
      <c r="B161" s="1050" t="n"/>
      <c r="C161" s="1050" t="n"/>
      <c r="D161" s="1050" t="n"/>
      <c r="E161" s="1050" t="n"/>
      <c r="F161" s="1050" t="n"/>
      <c r="G161" s="1050" t="n"/>
      <c r="H161" s="1050" t="n"/>
      <c r="I161" s="1050" t="n"/>
      <c r="J161" s="1050" t="n"/>
      <c r="K161" s="1050" t="n"/>
      <c r="L161" s="1050" t="n"/>
      <c r="M161" s="1050" t="n"/>
      <c r="N161" s="1050" t="n"/>
      <c r="O161" s="1050" t="n"/>
    </row>
    <row r="162" ht="15" customHeight="1" s="981">
      <c r="A162" s="1050" t="n"/>
      <c r="B162" s="1050" t="n"/>
      <c r="C162" s="1050" t="n"/>
      <c r="D162" s="1050" t="n"/>
      <c r="E162" s="1050" t="n"/>
      <c r="F162" s="1050" t="n"/>
      <c r="G162" s="1050" t="n"/>
      <c r="H162" s="1050" t="n"/>
      <c r="I162" s="1050" t="n"/>
      <c r="J162" s="1050" t="n"/>
      <c r="K162" s="1050" t="n"/>
      <c r="L162" s="1050" t="n"/>
      <c r="M162" s="1050" t="n"/>
      <c r="N162" s="1050" t="n"/>
      <c r="O162" s="1050" t="n"/>
    </row>
    <row r="163" ht="15" customHeight="1" s="981">
      <c r="A163" s="1050" t="n"/>
      <c r="B163" s="1050" t="n"/>
      <c r="C163" s="1050" t="n"/>
      <c r="D163" s="1050" t="n"/>
      <c r="E163" s="1050" t="n"/>
      <c r="F163" s="1050" t="n"/>
      <c r="G163" s="1050" t="n"/>
      <c r="H163" s="1050" t="n"/>
      <c r="I163" s="1050" t="n"/>
      <c r="J163" s="1050" t="n"/>
      <c r="K163" s="1050" t="n"/>
      <c r="L163" s="1050" t="n"/>
      <c r="M163" s="1050" t="n"/>
      <c r="N163" s="1050" t="n"/>
      <c r="O163" s="1050" t="n"/>
    </row>
    <row r="164" ht="15" customHeight="1" s="981">
      <c r="A164" s="1050" t="n"/>
      <c r="B164" s="1050" t="n"/>
      <c r="C164" s="1050" t="n"/>
      <c r="D164" s="1050" t="n"/>
      <c r="E164" s="1050" t="n"/>
      <c r="F164" s="1050" t="n"/>
      <c r="G164" s="1050" t="n"/>
      <c r="H164" s="1050" t="n"/>
      <c r="I164" s="1050" t="n"/>
      <c r="J164" s="1050" t="n"/>
      <c r="K164" s="1050" t="n"/>
      <c r="L164" s="1050" t="n"/>
      <c r="M164" s="1050" t="n"/>
      <c r="N164" s="1050" t="n"/>
      <c r="O164" s="1050" t="n"/>
    </row>
    <row r="165" ht="15" customHeight="1" s="981">
      <c r="A165" s="1050" t="n"/>
      <c r="B165" s="1050" t="n"/>
      <c r="C165" s="1050" t="n"/>
      <c r="D165" s="1050" t="n"/>
      <c r="E165" s="1050" t="n"/>
      <c r="F165" s="1050" t="n"/>
      <c r="G165" s="1050" t="n"/>
      <c r="H165" s="1050" t="n"/>
      <c r="I165" s="1050" t="n"/>
      <c r="J165" s="1050" t="n"/>
      <c r="K165" s="1050" t="n"/>
      <c r="L165" s="1050" t="n"/>
      <c r="M165" s="1050" t="n"/>
      <c r="N165" s="1050" t="n"/>
      <c r="O165" s="1050" t="n"/>
    </row>
    <row r="166" ht="15" customHeight="1" s="981">
      <c r="A166" s="1050" t="n"/>
      <c r="B166" s="1050" t="n"/>
      <c r="C166" s="1050" t="n"/>
      <c r="D166" s="1050" t="n"/>
      <c r="E166" s="1050" t="n"/>
      <c r="F166" s="1050" t="n"/>
      <c r="G166" s="1050" t="n"/>
      <c r="H166" s="1050" t="n"/>
      <c r="I166" s="1050" t="n"/>
      <c r="J166" s="1050" t="n"/>
      <c r="K166" s="1050" t="n"/>
      <c r="L166" s="1050" t="n"/>
      <c r="M166" s="1050" t="n"/>
      <c r="N166" s="1050" t="n"/>
      <c r="O166" s="1050" t="n"/>
    </row>
    <row r="167" ht="15" customHeight="1" s="981">
      <c r="A167" s="1050" t="n"/>
      <c r="B167" s="1050" t="n"/>
      <c r="C167" s="1050" t="n"/>
      <c r="D167" s="1050" t="n"/>
      <c r="E167" s="1050" t="n"/>
      <c r="F167" s="1050" t="n"/>
      <c r="G167" s="1050" t="n"/>
      <c r="H167" s="1050" t="n"/>
      <c r="I167" s="1050" t="n"/>
      <c r="J167" s="1050" t="n"/>
      <c r="K167" s="1050" t="n"/>
      <c r="L167" s="1050" t="n"/>
      <c r="M167" s="1050" t="n"/>
      <c r="N167" s="1050" t="n"/>
      <c r="O167" s="1050" t="n"/>
    </row>
    <row r="168" ht="15" customHeight="1" s="981">
      <c r="A168" s="1050" t="n"/>
      <c r="B168" s="1050" t="n"/>
      <c r="C168" s="1050" t="n"/>
      <c r="D168" s="1050" t="n"/>
      <c r="E168" s="1050" t="n"/>
      <c r="F168" s="1050" t="n"/>
      <c r="G168" s="1050" t="n"/>
      <c r="H168" s="1050" t="n"/>
      <c r="I168" s="1050" t="n"/>
      <c r="J168" s="1050" t="n"/>
      <c r="K168" s="1050" t="n"/>
      <c r="L168" s="1050" t="n"/>
      <c r="M168" s="1050" t="n"/>
      <c r="N168" s="1050" t="n"/>
      <c r="O168" s="1050" t="n"/>
    </row>
    <row r="169" ht="15" customHeight="1" s="981">
      <c r="A169" s="1050" t="n"/>
      <c r="B169" s="1050" t="n"/>
      <c r="C169" s="1050" t="n"/>
      <c r="D169" s="1050" t="n"/>
      <c r="E169" s="1050" t="n"/>
      <c r="F169" s="1050" t="n"/>
      <c r="G169" s="1050" t="n"/>
      <c r="H169" s="1050" t="n"/>
      <c r="I169" s="1050" t="n"/>
      <c r="J169" s="1050" t="n"/>
      <c r="K169" s="1050" t="n"/>
      <c r="L169" s="1050" t="n"/>
      <c r="M169" s="1050" t="n"/>
      <c r="N169" s="1050" t="n"/>
      <c r="O169" s="1050" t="n"/>
    </row>
    <row r="170" ht="15" customHeight="1" s="981">
      <c r="A170" s="1050" t="n"/>
      <c r="B170" s="1050" t="n"/>
      <c r="C170" s="1050" t="n"/>
      <c r="D170" s="1050" t="n"/>
      <c r="E170" s="1050" t="n"/>
      <c r="F170" s="1050" t="n"/>
      <c r="G170" s="1050" t="n"/>
      <c r="H170" s="1050" t="n"/>
      <c r="I170" s="1050" t="n"/>
      <c r="J170" s="1050" t="n"/>
      <c r="K170" s="1050" t="n"/>
      <c r="L170" s="1050" t="n"/>
      <c r="M170" s="1050" t="n"/>
      <c r="N170" s="1050" t="n"/>
      <c r="O170" s="1050" t="n"/>
    </row>
    <row r="171" ht="15" customHeight="1" s="981">
      <c r="A171" s="1050" t="n"/>
      <c r="B171" s="1050" t="n"/>
      <c r="C171" s="1050" t="n"/>
      <c r="D171" s="1050" t="n"/>
      <c r="E171" s="1050" t="n"/>
      <c r="F171" s="1050" t="n"/>
      <c r="G171" s="1050" t="n"/>
      <c r="H171" s="1050" t="n"/>
      <c r="I171" s="1050" t="n"/>
      <c r="J171" s="1050" t="n"/>
      <c r="K171" s="1050" t="n"/>
      <c r="L171" s="1050" t="n"/>
      <c r="M171" s="1050" t="n"/>
      <c r="N171" s="1050" t="n"/>
      <c r="O171" s="1050" t="n"/>
    </row>
    <row r="172" ht="15" customHeight="1" s="981">
      <c r="A172" s="1050" t="n"/>
      <c r="B172" s="1050" t="n"/>
      <c r="C172" s="1050" t="n"/>
      <c r="D172" s="1050" t="n"/>
      <c r="E172" s="1050" t="n"/>
      <c r="F172" s="1050" t="n"/>
      <c r="G172" s="1050" t="n"/>
      <c r="H172" s="1050" t="n"/>
      <c r="I172" s="1050" t="n"/>
      <c r="J172" s="1050" t="n"/>
      <c r="K172" s="1050" t="n"/>
      <c r="L172" s="1050" t="n"/>
      <c r="M172" s="1050" t="n"/>
      <c r="N172" s="1050" t="n"/>
      <c r="O172" s="1050" t="n"/>
    </row>
    <row r="173" ht="15" customHeight="1" s="981">
      <c r="A173" s="1050" t="n"/>
      <c r="B173" s="1050" t="n"/>
      <c r="C173" s="1050" t="n"/>
      <c r="D173" s="1050" t="n"/>
      <c r="E173" s="1050" t="n"/>
      <c r="F173" s="1050" t="n"/>
      <c r="G173" s="1050" t="n"/>
      <c r="H173" s="1050" t="n"/>
      <c r="I173" s="1050" t="n"/>
      <c r="J173" s="1050" t="n"/>
      <c r="K173" s="1050" t="n"/>
      <c r="L173" s="1050" t="n"/>
      <c r="M173" s="1050" t="n"/>
      <c r="N173" s="1050" t="n"/>
      <c r="O173" s="1050" t="n"/>
    </row>
    <row r="174" ht="15" customHeight="1" s="981">
      <c r="A174" s="1050" t="n"/>
      <c r="B174" s="1050" t="n"/>
      <c r="C174" s="1050" t="n"/>
      <c r="D174" s="1050" t="n"/>
      <c r="E174" s="1050" t="n"/>
      <c r="F174" s="1050" t="n"/>
      <c r="G174" s="1050" t="n"/>
      <c r="H174" s="1050" t="n"/>
      <c r="I174" s="1050" t="n"/>
      <c r="J174" s="1050" t="n"/>
      <c r="K174" s="1050" t="n"/>
      <c r="L174" s="1050" t="n"/>
      <c r="M174" s="1050" t="n"/>
      <c r="N174" s="1050" t="n"/>
      <c r="O174" s="1050" t="n"/>
    </row>
    <row r="175" ht="15" customHeight="1" s="981">
      <c r="A175" s="1050" t="n"/>
      <c r="B175" s="1050" t="n"/>
      <c r="C175" s="1050" t="n"/>
      <c r="D175" s="1050" t="n"/>
      <c r="E175" s="1050" t="n"/>
      <c r="F175" s="1050" t="n"/>
      <c r="G175" s="1050" t="n"/>
      <c r="H175" s="1050" t="n"/>
      <c r="I175" s="1050" t="n"/>
      <c r="J175" s="1050" t="n"/>
      <c r="K175" s="1050" t="n"/>
      <c r="L175" s="1050" t="n"/>
      <c r="M175" s="1050" t="n"/>
      <c r="N175" s="1050" t="n"/>
      <c r="O175" s="1050" t="n"/>
    </row>
    <row r="176" ht="15" customHeight="1" s="981">
      <c r="A176" s="1050" t="n"/>
      <c r="B176" s="1050" t="n"/>
      <c r="C176" s="1050" t="n"/>
      <c r="D176" s="1050" t="n"/>
      <c r="E176" s="1050" t="n"/>
      <c r="F176" s="1050" t="n"/>
      <c r="G176" s="1050" t="n"/>
      <c r="H176" s="1050" t="n"/>
      <c r="I176" s="1050" t="n"/>
      <c r="J176" s="1050" t="n"/>
      <c r="K176" s="1050" t="n"/>
      <c r="L176" s="1050" t="n"/>
      <c r="M176" s="1050" t="n"/>
      <c r="N176" s="1050" t="n"/>
      <c r="O176" s="1050" t="n"/>
    </row>
    <row r="177" ht="15" customHeight="1" s="981">
      <c r="A177" s="1050" t="n"/>
      <c r="B177" s="1050" t="n"/>
      <c r="C177" s="1050" t="n"/>
      <c r="D177" s="1050" t="n"/>
      <c r="E177" s="1050" t="n"/>
      <c r="F177" s="1050" t="n"/>
      <c r="G177" s="1050" t="n"/>
      <c r="H177" s="1050" t="n"/>
      <c r="I177" s="1050" t="n"/>
      <c r="J177" s="1050" t="n"/>
      <c r="K177" s="1050" t="n"/>
      <c r="L177" s="1050" t="n"/>
      <c r="M177" s="1050" t="n"/>
      <c r="N177" s="1050" t="n"/>
      <c r="O177" s="1050" t="n"/>
    </row>
    <row r="178" ht="15" customHeight="1" s="981">
      <c r="A178" s="1050" t="n"/>
      <c r="B178" s="1050" t="n"/>
      <c r="C178" s="1050" t="n"/>
      <c r="D178" s="1050" t="n"/>
      <c r="E178" s="1050" t="n"/>
      <c r="F178" s="1050" t="n"/>
      <c r="G178" s="1050" t="n"/>
      <c r="H178" s="1050" t="n"/>
      <c r="I178" s="1050" t="n"/>
      <c r="J178" s="1050" t="n"/>
      <c r="K178" s="1050" t="n"/>
      <c r="L178" s="1050" t="n"/>
      <c r="M178" s="1050" t="n"/>
      <c r="N178" s="1050" t="n"/>
      <c r="O178" s="1050" t="n"/>
    </row>
    <row r="179" ht="15" customHeight="1" s="981">
      <c r="A179" s="1050" t="n"/>
      <c r="B179" s="1050" t="n"/>
      <c r="C179" s="1050" t="n"/>
      <c r="D179" s="1050" t="n"/>
      <c r="E179" s="1050" t="n"/>
      <c r="F179" s="1050" t="n"/>
      <c r="G179" s="1050" t="n"/>
      <c r="H179" s="1050" t="n"/>
      <c r="I179" s="1050" t="n"/>
      <c r="J179" s="1050" t="n"/>
      <c r="K179" s="1050" t="n"/>
      <c r="L179" s="1050" t="n"/>
      <c r="M179" s="1050" t="n"/>
      <c r="N179" s="1050" t="n"/>
      <c r="O179" s="1050" t="n"/>
    </row>
    <row r="180" ht="15" customHeight="1" s="981">
      <c r="A180" s="1050" t="n"/>
      <c r="B180" s="1050" t="n"/>
      <c r="C180" s="1050" t="n"/>
      <c r="D180" s="1050" t="n"/>
      <c r="E180" s="1050" t="n"/>
      <c r="F180" s="1050" t="n"/>
      <c r="G180" s="1050" t="n"/>
      <c r="H180" s="1050" t="n"/>
      <c r="I180" s="1050" t="n"/>
      <c r="J180" s="1050" t="n"/>
      <c r="K180" s="1050" t="n"/>
      <c r="L180" s="1050" t="n"/>
      <c r="M180" s="1050" t="n"/>
      <c r="N180" s="1050" t="n"/>
      <c r="O180" s="1050" t="n"/>
    </row>
    <row r="181" ht="15" customHeight="1" s="981">
      <c r="A181" s="1050" t="n"/>
      <c r="B181" s="1050" t="n"/>
      <c r="C181" s="1050" t="n"/>
      <c r="D181" s="1050" t="n"/>
      <c r="E181" s="1050" t="n"/>
      <c r="F181" s="1050" t="n"/>
      <c r="G181" s="1050" t="n"/>
      <c r="H181" s="1050" t="n"/>
      <c r="I181" s="1050" t="n"/>
      <c r="J181" s="1050" t="n"/>
      <c r="K181" s="1050" t="n"/>
      <c r="L181" s="1050" t="n"/>
      <c r="M181" s="1050" t="n"/>
      <c r="N181" s="1050" t="n"/>
      <c r="O181" s="1050" t="n"/>
    </row>
    <row r="182" ht="15" customHeight="1" s="981">
      <c r="A182" s="1050" t="n"/>
      <c r="B182" s="1050" t="n"/>
      <c r="C182" s="1050" t="n"/>
      <c r="D182" s="1050" t="n"/>
      <c r="E182" s="1050" t="n"/>
      <c r="F182" s="1050" t="n"/>
      <c r="G182" s="1050" t="n"/>
      <c r="H182" s="1050" t="n"/>
      <c r="I182" s="1050" t="n"/>
      <c r="J182" s="1050" t="n"/>
      <c r="K182" s="1050" t="n"/>
      <c r="L182" s="1050" t="n"/>
      <c r="M182" s="1050" t="n"/>
      <c r="N182" s="1050" t="n"/>
      <c r="O182" s="1050" t="n"/>
    </row>
    <row r="183" ht="15" customHeight="1" s="981">
      <c r="A183" s="1050" t="n"/>
      <c r="B183" s="1050" t="n"/>
      <c r="C183" s="1050" t="n"/>
      <c r="D183" s="1050" t="n"/>
      <c r="E183" s="1050" t="n"/>
      <c r="F183" s="1050" t="n"/>
      <c r="G183" s="1050" t="n"/>
      <c r="H183" s="1050" t="n"/>
      <c r="I183" s="1050" t="n"/>
      <c r="J183" s="1050" t="n"/>
      <c r="K183" s="1050" t="n"/>
      <c r="L183" s="1050" t="n"/>
      <c r="M183" s="1050" t="n"/>
      <c r="N183" s="1050" t="n"/>
      <c r="O183" s="1050" t="n"/>
    </row>
    <row r="184" ht="15" customHeight="1" s="981">
      <c r="A184" s="1050" t="n"/>
      <c r="B184" s="1050" t="n"/>
      <c r="C184" s="1050" t="n"/>
      <c r="D184" s="1050" t="n"/>
      <c r="E184" s="1050" t="n"/>
      <c r="F184" s="1050" t="n"/>
      <c r="G184" s="1050" t="n"/>
      <c r="H184" s="1050" t="n"/>
      <c r="I184" s="1050" t="n"/>
      <c r="J184" s="1050" t="n"/>
      <c r="K184" s="1050" t="n"/>
      <c r="L184" s="1050" t="n"/>
      <c r="M184" s="1050" t="n"/>
      <c r="N184" s="1050" t="n"/>
      <c r="O184" s="1050" t="n"/>
    </row>
    <row r="185" ht="15" customHeight="1" s="981">
      <c r="A185" s="1050" t="n"/>
      <c r="B185" s="1050" t="n"/>
      <c r="C185" s="1050" t="n"/>
      <c r="D185" s="1050" t="n"/>
      <c r="E185" s="1050" t="n"/>
      <c r="F185" s="1050" t="n"/>
      <c r="G185" s="1050" t="n"/>
      <c r="H185" s="1050" t="n"/>
      <c r="I185" s="1050" t="n"/>
      <c r="J185" s="1050" t="n"/>
      <c r="K185" s="1050" t="n"/>
      <c r="L185" s="1050" t="n"/>
      <c r="M185" s="1050" t="n"/>
      <c r="N185" s="1050" t="n"/>
      <c r="O185" s="1050" t="n"/>
    </row>
    <row r="186" ht="15" customHeight="1" s="981">
      <c r="A186" s="1050" t="n"/>
      <c r="B186" s="1050" t="n"/>
      <c r="C186" s="1050" t="n"/>
      <c r="D186" s="1050" t="n"/>
      <c r="E186" s="1050" t="n"/>
      <c r="F186" s="1050" t="n"/>
      <c r="G186" s="1050" t="n"/>
      <c r="H186" s="1050" t="n"/>
      <c r="I186" s="1050" t="n"/>
      <c r="J186" s="1050" t="n"/>
      <c r="K186" s="1050" t="n"/>
      <c r="L186" s="1050" t="n"/>
      <c r="M186" s="1050" t="n"/>
      <c r="N186" s="1050" t="n"/>
      <c r="O186" s="1050" t="n"/>
    </row>
    <row r="187" ht="15" customHeight="1" s="981">
      <c r="A187" s="1050" t="n"/>
      <c r="B187" s="1050" t="n"/>
      <c r="C187" s="1050" t="n"/>
      <c r="D187" s="1050" t="n"/>
      <c r="E187" s="1050" t="n"/>
      <c r="F187" s="1050" t="n"/>
      <c r="G187" s="1050" t="n"/>
      <c r="H187" s="1050" t="n"/>
      <c r="I187" s="1050" t="n"/>
      <c r="J187" s="1050" t="n"/>
      <c r="K187" s="1050" t="n"/>
      <c r="L187" s="1050" t="n"/>
      <c r="M187" s="1050" t="n"/>
      <c r="N187" s="1050" t="n"/>
      <c r="O187" s="1050" t="n"/>
    </row>
    <row r="188" ht="15" customHeight="1" s="981">
      <c r="A188" s="1050" t="n"/>
      <c r="B188" s="1050" t="n"/>
      <c r="C188" s="1050" t="n"/>
      <c r="D188" s="1050" t="n"/>
      <c r="E188" s="1050" t="n"/>
      <c r="F188" s="1050" t="n"/>
      <c r="G188" s="1050" t="n"/>
      <c r="H188" s="1050" t="n"/>
      <c r="I188" s="1050" t="n"/>
      <c r="J188" s="1050" t="n"/>
      <c r="K188" s="1050" t="n"/>
      <c r="L188" s="1050" t="n"/>
      <c r="M188" s="1050" t="n"/>
      <c r="N188" s="1050" t="n"/>
      <c r="O188" s="1050" t="n"/>
    </row>
    <row r="189" ht="15" customHeight="1" s="981">
      <c r="A189" s="1050" t="n"/>
      <c r="B189" s="1050" t="n"/>
      <c r="C189" s="1050" t="n"/>
      <c r="D189" s="1050" t="n"/>
      <c r="E189" s="1050" t="n"/>
      <c r="F189" s="1050" t="n"/>
      <c r="G189" s="1050" t="n"/>
      <c r="H189" s="1050" t="n"/>
      <c r="I189" s="1050" t="n"/>
      <c r="J189" s="1050" t="n"/>
      <c r="K189" s="1050" t="n"/>
      <c r="L189" s="1050" t="n"/>
      <c r="M189" s="1050" t="n"/>
      <c r="N189" s="1050" t="n"/>
      <c r="O189" s="1050" t="n"/>
    </row>
    <row r="190" ht="15" customHeight="1" s="981">
      <c r="A190" s="1050" t="n"/>
      <c r="B190" s="1050" t="n"/>
      <c r="C190" s="1050" t="n"/>
      <c r="D190" s="1050" t="n"/>
      <c r="E190" s="1050" t="n"/>
      <c r="F190" s="1050" t="n"/>
      <c r="G190" s="1050" t="n"/>
      <c r="H190" s="1050" t="n"/>
      <c r="I190" s="1050" t="n"/>
      <c r="J190" s="1050" t="n"/>
      <c r="K190" s="1050" t="n"/>
      <c r="L190" s="1050" t="n"/>
      <c r="M190" s="1050" t="n"/>
      <c r="N190" s="1050" t="n"/>
      <c r="O190" s="1050" t="n"/>
    </row>
    <row r="191" ht="15" customHeight="1" s="981">
      <c r="A191" s="1050" t="n"/>
      <c r="B191" s="1050" t="n"/>
      <c r="C191" s="1050" t="n"/>
      <c r="D191" s="1050" t="n"/>
      <c r="E191" s="1050" t="n"/>
      <c r="F191" s="1050" t="n"/>
      <c r="G191" s="1050" t="n"/>
      <c r="H191" s="1050" t="n"/>
      <c r="I191" s="1050" t="n"/>
      <c r="J191" s="1050" t="n"/>
      <c r="K191" s="1050" t="n"/>
      <c r="L191" s="1050" t="n"/>
      <c r="M191" s="1050" t="n"/>
      <c r="N191" s="1050" t="n"/>
      <c r="O191" s="1050" t="n"/>
    </row>
    <row r="192" ht="15" customHeight="1" s="981">
      <c r="A192" s="1050" t="n"/>
      <c r="B192" s="1050" t="n"/>
      <c r="C192" s="1050" t="n"/>
      <c r="D192" s="1050" t="n"/>
      <c r="E192" s="1050" t="n"/>
      <c r="F192" s="1050" t="n"/>
      <c r="G192" s="1050" t="n"/>
      <c r="H192" s="1050" t="n"/>
      <c r="I192" s="1050" t="n"/>
      <c r="J192" s="1050" t="n"/>
      <c r="K192" s="1050" t="n"/>
      <c r="L192" s="1050" t="n"/>
      <c r="M192" s="1050" t="n"/>
      <c r="N192" s="1050" t="n"/>
      <c r="O192" s="1050" t="n"/>
    </row>
    <row r="193" ht="15" customHeight="1" s="981">
      <c r="A193" s="1050" t="n"/>
      <c r="B193" s="1050" t="n"/>
      <c r="C193" s="1050" t="n"/>
      <c r="D193" s="1050" t="n"/>
      <c r="E193" s="1050" t="n"/>
      <c r="F193" s="1050" t="n"/>
      <c r="G193" s="1050" t="n"/>
      <c r="H193" s="1050" t="n"/>
      <c r="I193" s="1050" t="n"/>
      <c r="J193" s="1050" t="n"/>
      <c r="K193" s="1050" t="n"/>
      <c r="L193" s="1050" t="n"/>
      <c r="M193" s="1050" t="n"/>
      <c r="N193" s="1050" t="n"/>
      <c r="O193" s="1050" t="n"/>
    </row>
    <row r="194" ht="15" customHeight="1" s="981">
      <c r="A194" s="1050" t="n"/>
      <c r="B194" s="1050" t="n"/>
      <c r="C194" s="1050" t="n"/>
      <c r="D194" s="1050" t="n"/>
      <c r="E194" s="1050" t="n"/>
      <c r="F194" s="1050" t="n"/>
      <c r="G194" s="1050" t="n"/>
      <c r="H194" s="1050" t="n"/>
      <c r="I194" s="1050" t="n"/>
      <c r="J194" s="1050" t="n"/>
      <c r="K194" s="1050" t="n"/>
      <c r="L194" s="1050" t="n"/>
      <c r="M194" s="1050" t="n"/>
      <c r="N194" s="1050" t="n"/>
      <c r="O194" s="1050" t="n"/>
    </row>
    <row r="195" ht="15" customHeight="1" s="981">
      <c r="A195" s="1050" t="n"/>
      <c r="B195" s="1050" t="n"/>
      <c r="C195" s="1050" t="n"/>
      <c r="D195" s="1050" t="n"/>
      <c r="E195" s="1050" t="n"/>
      <c r="F195" s="1050" t="n"/>
      <c r="G195" s="1050" t="n"/>
      <c r="H195" s="1050" t="n"/>
      <c r="I195" s="1050" t="n"/>
      <c r="J195" s="1050" t="n"/>
      <c r="K195" s="1050" t="n"/>
      <c r="L195" s="1050" t="n"/>
      <c r="M195" s="1050" t="n"/>
      <c r="N195" s="1050" t="n"/>
      <c r="O195" s="1050" t="n"/>
    </row>
    <row r="196" ht="15" customHeight="1" s="981">
      <c r="A196" s="1050" t="n"/>
      <c r="B196" s="1050" t="n"/>
      <c r="C196" s="1050" t="n"/>
      <c r="D196" s="1050" t="n"/>
      <c r="E196" s="1050" t="n"/>
      <c r="F196" s="1050" t="n"/>
      <c r="G196" s="1050" t="n"/>
      <c r="H196" s="1050" t="n"/>
      <c r="I196" s="1050" t="n"/>
      <c r="J196" s="1050" t="n"/>
      <c r="K196" s="1050" t="n"/>
      <c r="L196" s="1050" t="n"/>
      <c r="M196" s="1050" t="n"/>
      <c r="N196" s="1050" t="n"/>
      <c r="O196" s="1050" t="n"/>
    </row>
    <row r="197" ht="15" customHeight="1" s="981">
      <c r="A197" s="1050" t="n"/>
      <c r="B197" s="1050" t="n"/>
      <c r="C197" s="1050" t="n"/>
      <c r="D197" s="1050" t="n"/>
      <c r="E197" s="1050" t="n"/>
      <c r="F197" s="1050" t="n"/>
      <c r="G197" s="1050" t="n"/>
      <c r="H197" s="1050" t="n"/>
      <c r="I197" s="1050" t="n"/>
      <c r="J197" s="1050" t="n"/>
      <c r="K197" s="1050" t="n"/>
      <c r="L197" s="1050" t="n"/>
      <c r="M197" s="1050" t="n"/>
      <c r="N197" s="1050" t="n"/>
      <c r="O197" s="1050" t="n"/>
    </row>
    <row r="198" ht="15" customHeight="1" s="981">
      <c r="A198" s="1050" t="n"/>
      <c r="B198" s="1050" t="n"/>
      <c r="C198" s="1050" t="n"/>
      <c r="D198" s="1050" t="n"/>
      <c r="E198" s="1050" t="n"/>
      <c r="F198" s="1050" t="n"/>
      <c r="G198" s="1050" t="n"/>
      <c r="H198" s="1050" t="n"/>
      <c r="I198" s="1050" t="n"/>
      <c r="J198" s="1050" t="n"/>
      <c r="K198" s="1050" t="n"/>
      <c r="L198" s="1050" t="n"/>
      <c r="M198" s="1050" t="n"/>
      <c r="N198" s="1050" t="n"/>
      <c r="O198" s="1050" t="n"/>
    </row>
    <row r="199" ht="15" customHeight="1" s="981">
      <c r="A199" s="1050" t="n"/>
      <c r="B199" s="1050" t="n"/>
      <c r="C199" s="1050" t="n"/>
      <c r="D199" s="1050" t="n"/>
      <c r="E199" s="1050" t="n"/>
      <c r="F199" s="1050" t="n"/>
      <c r="G199" s="1050" t="n"/>
      <c r="H199" s="1050" t="n"/>
      <c r="I199" s="1050" t="n"/>
      <c r="J199" s="1050" t="n"/>
      <c r="K199" s="1050" t="n"/>
      <c r="L199" s="1050" t="n"/>
      <c r="M199" s="1050" t="n"/>
      <c r="N199" s="1050" t="n"/>
      <c r="O199" s="1050" t="n"/>
    </row>
    <row r="200" ht="15" customHeight="1" s="981">
      <c r="A200" s="1050" t="n"/>
      <c r="B200" s="1050" t="n"/>
      <c r="C200" s="1050" t="n"/>
      <c r="D200" s="1050" t="n"/>
      <c r="E200" s="1050" t="n"/>
      <c r="F200" s="1050" t="n"/>
      <c r="G200" s="1050" t="n"/>
      <c r="H200" s="1050" t="n"/>
      <c r="I200" s="1050" t="n"/>
      <c r="J200" s="1050" t="n"/>
      <c r="K200" s="1050" t="n"/>
      <c r="L200" s="1050" t="n"/>
      <c r="M200" s="1050" t="n"/>
      <c r="N200" s="1050" t="n"/>
      <c r="O200" s="1050" t="n"/>
    </row>
    <row r="201" ht="15" customHeight="1" s="981">
      <c r="A201" s="1050" t="n"/>
      <c r="B201" s="1050" t="n"/>
      <c r="C201" s="1050" t="n"/>
      <c r="D201" s="1050" t="n"/>
      <c r="E201" s="1050" t="n"/>
      <c r="F201" s="1050" t="n"/>
      <c r="G201" s="1050" t="n"/>
      <c r="H201" s="1050" t="n"/>
      <c r="I201" s="1050" t="n"/>
      <c r="J201" s="1050" t="n"/>
      <c r="K201" s="1050" t="n"/>
      <c r="L201" s="1050" t="n"/>
      <c r="M201" s="1050" t="n"/>
      <c r="N201" s="1050" t="n"/>
      <c r="O201" s="1050" t="n"/>
    </row>
    <row r="202" ht="15" customHeight="1" s="981">
      <c r="A202" s="1050" t="n"/>
      <c r="B202" s="1050" t="n"/>
      <c r="C202" s="1050" t="n"/>
      <c r="D202" s="1050" t="n"/>
      <c r="E202" s="1050" t="n"/>
      <c r="F202" s="1050" t="n"/>
      <c r="G202" s="1050" t="n"/>
      <c r="H202" s="1050" t="n"/>
      <c r="I202" s="1050" t="n"/>
      <c r="J202" s="1050" t="n"/>
      <c r="K202" s="1050" t="n"/>
      <c r="L202" s="1050" t="n"/>
      <c r="M202" s="1050" t="n"/>
      <c r="N202" s="1050" t="n"/>
      <c r="O202" s="1050" t="n"/>
    </row>
    <row r="203" ht="15" customHeight="1" s="981">
      <c r="A203" s="1050" t="n"/>
      <c r="B203" s="1050" t="n"/>
      <c r="C203" s="1050" t="n"/>
      <c r="D203" s="1050" t="n"/>
      <c r="E203" s="1050" t="n"/>
      <c r="F203" s="1050" t="n"/>
      <c r="G203" s="1050" t="n"/>
      <c r="H203" s="1050" t="n"/>
      <c r="I203" s="1050" t="n"/>
      <c r="J203" s="1050" t="n"/>
      <c r="K203" s="1050" t="n"/>
      <c r="L203" s="1050" t="n"/>
      <c r="M203" s="1050" t="n"/>
      <c r="N203" s="1050" t="n"/>
      <c r="O203" s="1050" t="n"/>
    </row>
    <row r="204" ht="15" customHeight="1" s="981">
      <c r="A204" s="1050" t="n"/>
      <c r="B204" s="1050" t="n"/>
      <c r="C204" s="1050" t="n"/>
      <c r="D204" s="1050" t="n"/>
      <c r="E204" s="1050" t="n"/>
      <c r="F204" s="1050" t="n"/>
      <c r="G204" s="1050" t="n"/>
      <c r="H204" s="1050" t="n"/>
      <c r="I204" s="1050" t="n"/>
      <c r="J204" s="1050" t="n"/>
      <c r="K204" s="1050" t="n"/>
      <c r="L204" s="1050" t="n"/>
      <c r="M204" s="1050" t="n"/>
      <c r="N204" s="1050" t="n"/>
      <c r="O204" s="1050" t="n"/>
    </row>
    <row r="205" ht="15" customHeight="1" s="981">
      <c r="A205" s="1050" t="n"/>
      <c r="B205" s="1050" t="n"/>
      <c r="C205" s="1050" t="n"/>
      <c r="D205" s="1050" t="n"/>
      <c r="E205" s="1050" t="n"/>
      <c r="F205" s="1050" t="n"/>
      <c r="G205" s="1050" t="n"/>
      <c r="H205" s="1050" t="n"/>
      <c r="I205" s="1050" t="n"/>
      <c r="J205" s="1050" t="n"/>
      <c r="K205" s="1050" t="n"/>
      <c r="L205" s="1050" t="n"/>
      <c r="M205" s="1050" t="n"/>
      <c r="N205" s="1050" t="n"/>
      <c r="O205" s="1050" t="n"/>
    </row>
    <row r="206" ht="15" customHeight="1" s="981">
      <c r="A206" s="1050" t="n"/>
      <c r="B206" s="1050" t="n"/>
      <c r="C206" s="1050" t="n"/>
      <c r="D206" s="1050" t="n"/>
      <c r="E206" s="1050" t="n"/>
      <c r="F206" s="1050" t="n"/>
      <c r="G206" s="1050" t="n"/>
      <c r="H206" s="1050" t="n"/>
      <c r="I206" s="1050" t="n"/>
      <c r="J206" s="1050" t="n"/>
      <c r="K206" s="1050" t="n"/>
      <c r="L206" s="1050" t="n"/>
      <c r="M206" s="1050" t="n"/>
      <c r="N206" s="1050" t="n"/>
      <c r="O206" s="1050" t="n"/>
    </row>
    <row r="207" ht="15" customHeight="1" s="981">
      <c r="A207" s="1050" t="n"/>
      <c r="B207" s="1050" t="n"/>
      <c r="C207" s="1050" t="n"/>
      <c r="D207" s="1050" t="n"/>
      <c r="E207" s="1050" t="n"/>
      <c r="F207" s="1050" t="n"/>
      <c r="G207" s="1050" t="n"/>
      <c r="H207" s="1050" t="n"/>
      <c r="I207" s="1050" t="n"/>
      <c r="J207" s="1050" t="n"/>
      <c r="K207" s="1050" t="n"/>
      <c r="L207" s="1050" t="n"/>
      <c r="M207" s="1050" t="n"/>
      <c r="N207" s="1050" t="n"/>
      <c r="O207" s="1050" t="n"/>
    </row>
    <row r="208" ht="15" customHeight="1" s="981">
      <c r="A208" s="1050" t="n"/>
      <c r="B208" s="1050" t="n"/>
      <c r="C208" s="1050" t="n"/>
      <c r="D208" s="1050" t="n"/>
      <c r="E208" s="1050" t="n"/>
      <c r="F208" s="1050" t="n"/>
      <c r="G208" s="1050" t="n"/>
      <c r="H208" s="1050" t="n"/>
      <c r="I208" s="1050" t="n"/>
      <c r="J208" s="1050" t="n"/>
      <c r="K208" s="1050" t="n"/>
      <c r="L208" s="1050" t="n"/>
      <c r="M208" s="1050" t="n"/>
      <c r="N208" s="1050" t="n"/>
      <c r="O208" s="1050" t="n"/>
    </row>
    <row r="209" ht="15" customHeight="1" s="981">
      <c r="A209" s="1050" t="n"/>
      <c r="B209" s="1050" t="n"/>
      <c r="C209" s="1050" t="n"/>
      <c r="D209" s="1050" t="n"/>
      <c r="E209" s="1050" t="n"/>
      <c r="F209" s="1050" t="n"/>
      <c r="G209" s="1050" t="n"/>
      <c r="H209" s="1050" t="n"/>
      <c r="I209" s="1050" t="n"/>
      <c r="J209" s="1050" t="n"/>
      <c r="K209" s="1050" t="n"/>
      <c r="L209" s="1050" t="n"/>
      <c r="M209" s="1050" t="n"/>
      <c r="N209" s="1050" t="n"/>
      <c r="O209" s="1050" t="n"/>
    </row>
    <row r="210" ht="15" customHeight="1" s="981">
      <c r="A210" s="1050" t="n"/>
      <c r="B210" s="1050" t="n"/>
      <c r="C210" s="1050" t="n"/>
      <c r="D210" s="1050" t="n"/>
      <c r="E210" s="1050" t="n"/>
      <c r="F210" s="1050" t="n"/>
      <c r="G210" s="1050" t="n"/>
      <c r="H210" s="1050" t="n"/>
      <c r="I210" s="1050" t="n"/>
      <c r="J210" s="1050" t="n"/>
      <c r="K210" s="1050" t="n"/>
      <c r="L210" s="1050" t="n"/>
      <c r="M210" s="1050" t="n"/>
      <c r="N210" s="1050" t="n"/>
      <c r="O210" s="1050" t="n"/>
    </row>
    <row r="211" ht="15" customHeight="1" s="981">
      <c r="A211" s="1050" t="n"/>
      <c r="B211" s="1050" t="n"/>
      <c r="C211" s="1050" t="n"/>
      <c r="D211" s="1050" t="n"/>
      <c r="E211" s="1050" t="n"/>
      <c r="F211" s="1050" t="n"/>
      <c r="G211" s="1050" t="n"/>
      <c r="H211" s="1050" t="n"/>
      <c r="I211" s="1050" t="n"/>
      <c r="J211" s="1050" t="n"/>
      <c r="K211" s="1050" t="n"/>
      <c r="L211" s="1050" t="n"/>
      <c r="M211" s="1050" t="n"/>
      <c r="N211" s="1050" t="n"/>
      <c r="O211" s="1050" t="n"/>
    </row>
    <row r="212" ht="15" customHeight="1" s="981">
      <c r="A212" s="1050" t="n"/>
      <c r="B212" s="1050" t="n"/>
      <c r="C212" s="1050" t="n"/>
      <c r="D212" s="1050" t="n"/>
      <c r="E212" s="1050" t="n"/>
      <c r="F212" s="1050" t="n"/>
      <c r="G212" s="1050" t="n"/>
      <c r="H212" s="1050" t="n"/>
      <c r="I212" s="1050" t="n"/>
      <c r="J212" s="1050" t="n"/>
      <c r="K212" s="1050" t="n"/>
      <c r="L212" s="1050" t="n"/>
      <c r="M212" s="1050" t="n"/>
      <c r="N212" s="1050" t="n"/>
      <c r="O212" s="1050" t="n"/>
    </row>
    <row r="213" ht="15" customHeight="1" s="981">
      <c r="A213" s="1050" t="n"/>
      <c r="B213" s="1050" t="n"/>
      <c r="C213" s="1050" t="n"/>
      <c r="D213" s="1050" t="n"/>
      <c r="E213" s="1050" t="n"/>
      <c r="F213" s="1050" t="n"/>
      <c r="G213" s="1050" t="n"/>
      <c r="H213" s="1050" t="n"/>
      <c r="I213" s="1050" t="n"/>
      <c r="J213" s="1050" t="n"/>
      <c r="K213" s="1050" t="n"/>
      <c r="L213" s="1050" t="n"/>
      <c r="M213" s="1050" t="n"/>
      <c r="N213" s="1050" t="n"/>
      <c r="O213" s="1050" t="n"/>
    </row>
    <row r="214" ht="15" customHeight="1" s="981">
      <c r="A214" s="1050" t="n"/>
      <c r="B214" s="1050" t="n"/>
      <c r="C214" s="1050" t="n"/>
      <c r="D214" s="1050" t="n"/>
      <c r="E214" s="1050" t="n"/>
      <c r="F214" s="1050" t="n"/>
      <c r="G214" s="1050" t="n"/>
      <c r="H214" s="1050" t="n"/>
      <c r="I214" s="1050" t="n"/>
      <c r="J214" s="1050" t="n"/>
      <c r="K214" s="1050" t="n"/>
      <c r="L214" s="1050" t="n"/>
      <c r="M214" s="1050" t="n"/>
      <c r="N214" s="1050" t="n"/>
      <c r="O214" s="1050" t="n"/>
    </row>
    <row r="215" ht="15" customHeight="1" s="981">
      <c r="A215" s="1050" t="n"/>
      <c r="B215" s="1050" t="n"/>
      <c r="C215" s="1050" t="n"/>
      <c r="D215" s="1050" t="n"/>
      <c r="E215" s="1050" t="n"/>
      <c r="F215" s="1050" t="n"/>
      <c r="G215" s="1050" t="n"/>
      <c r="H215" s="1050" t="n"/>
      <c r="I215" s="1050" t="n"/>
      <c r="J215" s="1050" t="n"/>
      <c r="K215" s="1050" t="n"/>
      <c r="L215" s="1050" t="n"/>
      <c r="M215" s="1050" t="n"/>
      <c r="N215" s="1050" t="n"/>
      <c r="O215" s="1050" t="n"/>
    </row>
    <row r="216" ht="15" customHeight="1" s="981">
      <c r="A216" s="1050" t="n"/>
      <c r="B216" s="1050" t="n"/>
      <c r="C216" s="1050" t="n"/>
      <c r="D216" s="1050" t="n"/>
      <c r="E216" s="1050" t="n"/>
      <c r="F216" s="1050" t="n"/>
      <c r="G216" s="1050" t="n"/>
      <c r="H216" s="1050" t="n"/>
      <c r="I216" s="1050" t="n"/>
      <c r="J216" s="1050" t="n"/>
      <c r="K216" s="1050" t="n"/>
      <c r="L216" s="1050" t="n"/>
      <c r="M216" s="1050" t="n"/>
      <c r="N216" s="1050" t="n"/>
      <c r="O216" s="1050" t="n"/>
    </row>
    <row r="217" ht="15" customHeight="1" s="981">
      <c r="A217" s="1050" t="n"/>
      <c r="B217" s="1050" t="n"/>
      <c r="C217" s="1050" t="n"/>
      <c r="D217" s="1050" t="n"/>
      <c r="E217" s="1050" t="n"/>
      <c r="F217" s="1050" t="n"/>
      <c r="G217" s="1050" t="n"/>
      <c r="H217" s="1050" t="n"/>
      <c r="I217" s="1050" t="n"/>
      <c r="J217" s="1050" t="n"/>
      <c r="K217" s="1050" t="n"/>
      <c r="L217" s="1050" t="n"/>
      <c r="M217" s="1050" t="n"/>
      <c r="N217" s="1050" t="n"/>
      <c r="O217" s="1050" t="n"/>
    </row>
    <row r="218" ht="15" customHeight="1" s="981">
      <c r="A218" s="1050" t="n"/>
      <c r="B218" s="1050" t="n"/>
      <c r="C218" s="1050" t="n"/>
      <c r="D218" s="1050" t="n"/>
      <c r="E218" s="1050" t="n"/>
      <c r="F218" s="1050" t="n"/>
      <c r="G218" s="1050" t="n"/>
      <c r="H218" s="1050" t="n"/>
      <c r="I218" s="1050" t="n"/>
      <c r="J218" s="1050" t="n"/>
      <c r="K218" s="1050" t="n"/>
      <c r="L218" s="1050" t="n"/>
      <c r="M218" s="1050" t="n"/>
      <c r="N218" s="1050" t="n"/>
      <c r="O218" s="1050" t="n"/>
    </row>
    <row r="219" ht="15" customHeight="1" s="981">
      <c r="A219" s="1050" t="n"/>
      <c r="B219" s="1050" t="n"/>
      <c r="C219" s="1050" t="n"/>
      <c r="D219" s="1050" t="n"/>
      <c r="E219" s="1050" t="n"/>
      <c r="F219" s="1050" t="n"/>
      <c r="G219" s="1050" t="n"/>
      <c r="H219" s="1050" t="n"/>
      <c r="I219" s="1050" t="n"/>
      <c r="J219" s="1050" t="n"/>
      <c r="K219" s="1050" t="n"/>
      <c r="L219" s="1050" t="n"/>
      <c r="M219" s="1050" t="n"/>
      <c r="N219" s="1050" t="n"/>
      <c r="O219" s="1050" t="n"/>
    </row>
    <row r="220" ht="15" customHeight="1" s="981">
      <c r="A220" s="1050" t="n"/>
      <c r="B220" s="1050" t="n"/>
      <c r="C220" s="1050" t="n"/>
      <c r="D220" s="1050" t="n"/>
      <c r="E220" s="1050" t="n"/>
      <c r="F220" s="1050" t="n"/>
      <c r="G220" s="1050" t="n"/>
      <c r="H220" s="1050" t="n"/>
      <c r="I220" s="1050" t="n"/>
      <c r="J220" s="1050" t="n"/>
      <c r="K220" s="1050" t="n"/>
      <c r="L220" s="1050" t="n"/>
      <c r="M220" s="1050" t="n"/>
      <c r="N220" s="1050" t="n"/>
      <c r="O220" s="1050" t="n"/>
    </row>
    <row r="221" ht="15" customHeight="1" s="981">
      <c r="A221" s="1050" t="n"/>
      <c r="B221" s="1050" t="n"/>
      <c r="C221" s="1050" t="n"/>
      <c r="D221" s="1050" t="n"/>
      <c r="E221" s="1050" t="n"/>
      <c r="F221" s="1050" t="n"/>
      <c r="G221" s="1050" t="n"/>
      <c r="H221" s="1050" t="n"/>
      <c r="I221" s="1050" t="n"/>
      <c r="J221" s="1050" t="n"/>
      <c r="K221" s="1050" t="n"/>
      <c r="L221" s="1050" t="n"/>
      <c r="M221" s="1050" t="n"/>
      <c r="N221" s="1050" t="n"/>
      <c r="O221" s="1050" t="n"/>
    </row>
    <row r="222" ht="15" customHeight="1" s="981">
      <c r="A222" s="1050" t="n"/>
      <c r="B222" s="1050" t="n"/>
      <c r="C222" s="1050" t="n"/>
      <c r="D222" s="1050" t="n"/>
      <c r="E222" s="1050" t="n"/>
      <c r="F222" s="1050" t="n"/>
      <c r="G222" s="1050" t="n"/>
      <c r="H222" s="1050" t="n"/>
      <c r="I222" s="1050" t="n"/>
      <c r="J222" s="1050" t="n"/>
      <c r="K222" s="1050" t="n"/>
      <c r="L222" s="1050" t="n"/>
      <c r="M222" s="1050" t="n"/>
      <c r="N222" s="1050" t="n"/>
      <c r="O222" s="1050" t="n"/>
    </row>
    <row r="223" ht="15" customHeight="1" s="981">
      <c r="A223" s="1050" t="n"/>
      <c r="B223" s="1050" t="n"/>
      <c r="C223" s="1050" t="n"/>
      <c r="D223" s="1050" t="n"/>
      <c r="E223" s="1050" t="n"/>
      <c r="F223" s="1050" t="n"/>
      <c r="G223" s="1050" t="n"/>
      <c r="H223" s="1050" t="n"/>
      <c r="I223" s="1050" t="n"/>
      <c r="J223" s="1050" t="n"/>
      <c r="K223" s="1050" t="n"/>
      <c r="L223" s="1050" t="n"/>
      <c r="M223" s="1050" t="n"/>
      <c r="N223" s="1050" t="n"/>
      <c r="O223" s="1050" t="n"/>
    </row>
    <row r="224" ht="15" customHeight="1" s="981">
      <c r="A224" s="1050" t="n"/>
      <c r="B224" s="1050" t="n"/>
      <c r="C224" s="1050" t="n"/>
      <c r="D224" s="1050" t="n"/>
      <c r="E224" s="1050" t="n"/>
      <c r="F224" s="1050" t="n"/>
      <c r="G224" s="1050" t="n"/>
      <c r="H224" s="1050" t="n"/>
      <c r="I224" s="1050" t="n"/>
      <c r="J224" s="1050" t="n"/>
      <c r="K224" s="1050" t="n"/>
      <c r="L224" s="1050" t="n"/>
      <c r="M224" s="1050" t="n"/>
      <c r="N224" s="1050" t="n"/>
      <c r="O224" s="1050" t="n"/>
    </row>
    <row r="225" ht="15" customHeight="1" s="981">
      <c r="A225" s="1050" t="n"/>
      <c r="B225" s="1050" t="n"/>
      <c r="C225" s="1050" t="n"/>
      <c r="D225" s="1050" t="n"/>
      <c r="E225" s="1050" t="n"/>
      <c r="F225" s="1050" t="n"/>
      <c r="G225" s="1050" t="n"/>
      <c r="H225" s="1050" t="n"/>
      <c r="I225" s="1050" t="n"/>
      <c r="J225" s="1050" t="n"/>
      <c r="K225" s="1050" t="n"/>
      <c r="L225" s="1050" t="n"/>
      <c r="M225" s="1050" t="n"/>
      <c r="N225" s="1050" t="n"/>
      <c r="O225" s="1050" t="n"/>
    </row>
    <row r="226" ht="15" customHeight="1" s="981">
      <c r="A226" s="1050" t="n"/>
      <c r="B226" s="1050" t="n"/>
      <c r="C226" s="1050" t="n"/>
      <c r="D226" s="1050" t="n"/>
      <c r="E226" s="1050" t="n"/>
      <c r="F226" s="1050" t="n"/>
      <c r="G226" s="1050" t="n"/>
      <c r="H226" s="1050" t="n"/>
      <c r="I226" s="1050" t="n"/>
      <c r="J226" s="1050" t="n"/>
      <c r="K226" s="1050" t="n"/>
      <c r="L226" s="1050" t="n"/>
      <c r="M226" s="1050" t="n"/>
      <c r="N226" s="1050" t="n"/>
      <c r="O226" s="1050" t="n"/>
    </row>
    <row r="227" ht="15" customHeight="1" s="981">
      <c r="A227" s="1050" t="n"/>
      <c r="B227" s="1050" t="n"/>
      <c r="C227" s="1050" t="n"/>
      <c r="D227" s="1050" t="n"/>
      <c r="E227" s="1050" t="n"/>
      <c r="F227" s="1050" t="n"/>
      <c r="G227" s="1050" t="n"/>
      <c r="H227" s="1050" t="n"/>
      <c r="I227" s="1050" t="n"/>
      <c r="J227" s="1050" t="n"/>
      <c r="K227" s="1050" t="n"/>
      <c r="L227" s="1050" t="n"/>
      <c r="M227" s="1050" t="n"/>
      <c r="N227" s="1050" t="n"/>
      <c r="O227" s="1050" t="n"/>
    </row>
    <row r="228" ht="15" customHeight="1" s="981">
      <c r="A228" s="1050" t="n"/>
      <c r="B228" s="1050" t="n"/>
      <c r="C228" s="1050" t="n"/>
      <c r="D228" s="1050" t="n"/>
      <c r="E228" s="1050" t="n"/>
      <c r="F228" s="1050" t="n"/>
      <c r="G228" s="1050" t="n"/>
      <c r="H228" s="1050" t="n"/>
      <c r="I228" s="1050" t="n"/>
      <c r="J228" s="1050" t="n"/>
      <c r="K228" s="1050" t="n"/>
      <c r="L228" s="1050" t="n"/>
      <c r="M228" s="1050" t="n"/>
      <c r="N228" s="1050" t="n"/>
      <c r="O228" s="1050" t="n"/>
    </row>
    <row r="229" ht="15" customHeight="1" s="981">
      <c r="A229" s="1050" t="n"/>
      <c r="B229" s="1050" t="n"/>
      <c r="C229" s="1050" t="n"/>
      <c r="D229" s="1050" t="n"/>
      <c r="E229" s="1050" t="n"/>
      <c r="F229" s="1050" t="n"/>
      <c r="G229" s="1050" t="n"/>
      <c r="H229" s="1050" t="n"/>
      <c r="I229" s="1050" t="n"/>
      <c r="J229" s="1050" t="n"/>
      <c r="K229" s="1050" t="n"/>
      <c r="L229" s="1050" t="n"/>
      <c r="M229" s="1050" t="n"/>
      <c r="N229" s="1050" t="n"/>
      <c r="O229" s="1050" t="n"/>
    </row>
    <row r="230" ht="15" customHeight="1" s="981">
      <c r="A230" s="1050" t="n"/>
      <c r="B230" s="1050" t="n"/>
      <c r="C230" s="1050" t="n"/>
      <c r="D230" s="1050" t="n"/>
      <c r="E230" s="1050" t="n"/>
      <c r="F230" s="1050" t="n"/>
      <c r="G230" s="1050" t="n"/>
      <c r="H230" s="1050" t="n"/>
      <c r="I230" s="1050" t="n"/>
      <c r="J230" s="1050" t="n"/>
      <c r="K230" s="1050" t="n"/>
      <c r="L230" s="1050" t="n"/>
      <c r="M230" s="1050" t="n"/>
      <c r="N230" s="1050" t="n"/>
      <c r="O230" s="1050" t="n"/>
    </row>
    <row r="231" ht="15" customHeight="1" s="981">
      <c r="A231" s="1050" t="n"/>
      <c r="B231" s="1050" t="n"/>
      <c r="C231" s="1050" t="n"/>
      <c r="D231" s="1050" t="n"/>
      <c r="E231" s="1050" t="n"/>
      <c r="F231" s="1050" t="n"/>
      <c r="G231" s="1050" t="n"/>
      <c r="H231" s="1050" t="n"/>
      <c r="I231" s="1050" t="n"/>
      <c r="J231" s="1050" t="n"/>
      <c r="K231" s="1050" t="n"/>
      <c r="L231" s="1050" t="n"/>
      <c r="M231" s="1050" t="n"/>
      <c r="N231" s="1050" t="n"/>
      <c r="O231" s="1050" t="n"/>
    </row>
    <row r="232" ht="15" customHeight="1" s="981">
      <c r="A232" s="1050" t="n"/>
      <c r="B232" s="1050" t="n"/>
      <c r="C232" s="1050" t="n"/>
      <c r="D232" s="1050" t="n"/>
      <c r="E232" s="1050" t="n"/>
      <c r="F232" s="1050" t="n"/>
      <c r="G232" s="1050" t="n"/>
      <c r="H232" s="1050" t="n"/>
      <c r="I232" s="1050" t="n"/>
      <c r="J232" s="1050" t="n"/>
      <c r="K232" s="1050" t="n"/>
      <c r="L232" s="1050" t="n"/>
      <c r="M232" s="1050" t="n"/>
      <c r="N232" s="1050" t="n"/>
      <c r="O232" s="1050" t="n"/>
    </row>
    <row r="233" ht="15" customHeight="1" s="981">
      <c r="A233" s="1050" t="n"/>
      <c r="B233" s="1050" t="n"/>
      <c r="C233" s="1050" t="n"/>
      <c r="D233" s="1050" t="n"/>
      <c r="E233" s="1050" t="n"/>
      <c r="F233" s="1050" t="n"/>
      <c r="G233" s="1050" t="n"/>
      <c r="H233" s="1050" t="n"/>
      <c r="I233" s="1050" t="n"/>
      <c r="J233" s="1050" t="n"/>
      <c r="K233" s="1050" t="n"/>
      <c r="L233" s="1050" t="n"/>
      <c r="M233" s="1050" t="n"/>
      <c r="N233" s="1050" t="n"/>
      <c r="O233" s="1050" t="n"/>
    </row>
    <row r="234" ht="15" customHeight="1" s="981">
      <c r="A234" s="1050" t="n"/>
      <c r="B234" s="1050" t="n"/>
      <c r="C234" s="1050" t="n"/>
      <c r="D234" s="1050" t="n"/>
      <c r="E234" s="1050" t="n"/>
      <c r="F234" s="1050" t="n"/>
      <c r="G234" s="1050" t="n"/>
      <c r="H234" s="1050" t="n"/>
      <c r="I234" s="1050" t="n"/>
      <c r="J234" s="1050" t="n"/>
      <c r="K234" s="1050" t="n"/>
      <c r="L234" s="1050" t="n"/>
      <c r="M234" s="1050" t="n"/>
      <c r="N234" s="1050" t="n"/>
      <c r="O234" s="1050" t="n"/>
    </row>
    <row r="235" ht="15" customHeight="1" s="981">
      <c r="A235" s="1050" t="n"/>
      <c r="B235" s="1050" t="n"/>
      <c r="C235" s="1050" t="n"/>
      <c r="D235" s="1050" t="n"/>
      <c r="E235" s="1050" t="n"/>
      <c r="F235" s="1050" t="n"/>
      <c r="G235" s="1050" t="n"/>
      <c r="H235" s="1050" t="n"/>
      <c r="I235" s="1050" t="n"/>
      <c r="J235" s="1050" t="n"/>
      <c r="K235" s="1050" t="n"/>
      <c r="L235" s="1050" t="n"/>
      <c r="M235" s="1050" t="n"/>
      <c r="N235" s="1050" t="n"/>
      <c r="O235" s="1050" t="n"/>
    </row>
    <row r="236" ht="15" customHeight="1" s="981">
      <c r="A236" s="1050" t="n"/>
      <c r="B236" s="1050" t="n"/>
      <c r="C236" s="1050" t="n"/>
      <c r="D236" s="1050" t="n"/>
      <c r="E236" s="1050" t="n"/>
      <c r="F236" s="1050" t="n"/>
      <c r="G236" s="1050" t="n"/>
      <c r="H236" s="1050" t="n"/>
      <c r="I236" s="1050" t="n"/>
      <c r="J236" s="1050" t="n"/>
      <c r="K236" s="1050" t="n"/>
      <c r="L236" s="1050" t="n"/>
      <c r="M236" s="1050" t="n"/>
      <c r="N236" s="1050" t="n"/>
      <c r="O236" s="1050" t="n"/>
    </row>
    <row r="237" ht="15" customHeight="1" s="981">
      <c r="A237" s="1050" t="n"/>
      <c r="B237" s="1050" t="n"/>
      <c r="C237" s="1050" t="n"/>
      <c r="D237" s="1050" t="n"/>
      <c r="E237" s="1050" t="n"/>
      <c r="F237" s="1050" t="n"/>
      <c r="G237" s="1050" t="n"/>
      <c r="H237" s="1050" t="n"/>
      <c r="I237" s="1050" t="n"/>
      <c r="J237" s="1050" t="n"/>
      <c r="K237" s="1050" t="n"/>
      <c r="L237" s="1050" t="n"/>
      <c r="M237" s="1050" t="n"/>
      <c r="N237" s="1050" t="n"/>
      <c r="O237" s="1050" t="n"/>
    </row>
    <row r="238" ht="15" customHeight="1" s="981">
      <c r="A238" s="1050" t="n"/>
      <c r="B238" s="1050" t="n"/>
      <c r="C238" s="1050" t="n"/>
      <c r="D238" s="1050" t="n"/>
      <c r="E238" s="1050" t="n"/>
      <c r="F238" s="1050" t="n"/>
      <c r="G238" s="1050" t="n"/>
      <c r="H238" s="1050" t="n"/>
      <c r="I238" s="1050" t="n"/>
      <c r="J238" s="1050" t="n"/>
      <c r="K238" s="1050" t="n"/>
      <c r="L238" s="1050" t="n"/>
      <c r="M238" s="1050" t="n"/>
      <c r="N238" s="1050" t="n"/>
      <c r="O238" s="1050" t="n"/>
    </row>
    <row r="239" ht="15" customHeight="1" s="981">
      <c r="A239" s="1050" t="n"/>
      <c r="B239" s="1050" t="n"/>
      <c r="C239" s="1050" t="n"/>
      <c r="D239" s="1050" t="n"/>
      <c r="E239" s="1050" t="n"/>
      <c r="F239" s="1050" t="n"/>
      <c r="G239" s="1050" t="n"/>
      <c r="H239" s="1050" t="n"/>
      <c r="I239" s="1050" t="n"/>
      <c r="J239" s="1050" t="n"/>
      <c r="K239" s="1050" t="n"/>
      <c r="L239" s="1050" t="n"/>
      <c r="M239" s="1050" t="n"/>
      <c r="N239" s="1050" t="n"/>
      <c r="O239" s="1050" t="n"/>
    </row>
    <row r="240" ht="15" customHeight="1" s="981">
      <c r="A240" s="1050" t="n"/>
      <c r="B240" s="1050" t="n"/>
      <c r="C240" s="1050" t="n"/>
      <c r="D240" s="1050" t="n"/>
      <c r="E240" s="1050" t="n"/>
      <c r="F240" s="1050" t="n"/>
      <c r="G240" s="1050" t="n"/>
      <c r="H240" s="1050" t="n"/>
      <c r="I240" s="1050" t="n"/>
      <c r="J240" s="1050" t="n"/>
      <c r="K240" s="1050" t="n"/>
      <c r="L240" s="1050" t="n"/>
      <c r="M240" s="1050" t="n"/>
      <c r="N240" s="1050" t="n"/>
      <c r="O240" s="1050" t="n"/>
    </row>
    <row r="241" ht="15" customHeight="1" s="981">
      <c r="A241" s="1050" t="n"/>
      <c r="B241" s="1050" t="n"/>
      <c r="C241" s="1050" t="n"/>
      <c r="D241" s="1050" t="n"/>
      <c r="E241" s="1050" t="n"/>
      <c r="F241" s="1050" t="n"/>
      <c r="G241" s="1050" t="n"/>
      <c r="H241" s="1050" t="n"/>
      <c r="I241" s="1050" t="n"/>
      <c r="J241" s="1050" t="n"/>
      <c r="K241" s="1050" t="n"/>
      <c r="L241" s="1050" t="n"/>
      <c r="M241" s="1050" t="n"/>
      <c r="N241" s="1050" t="n"/>
      <c r="O241" s="1050" t="n"/>
    </row>
    <row r="242" ht="15" customHeight="1" s="981">
      <c r="A242" s="1050" t="n"/>
      <c r="B242" s="1050" t="n"/>
      <c r="C242" s="1050" t="n"/>
      <c r="D242" s="1050" t="n"/>
      <c r="E242" s="1050" t="n"/>
      <c r="F242" s="1050" t="n"/>
      <c r="G242" s="1050" t="n"/>
      <c r="H242" s="1050" t="n"/>
      <c r="I242" s="1050" t="n"/>
      <c r="J242" s="1050" t="n"/>
      <c r="K242" s="1050" t="n"/>
      <c r="L242" s="1050" t="n"/>
      <c r="M242" s="1050" t="n"/>
      <c r="N242" s="1050" t="n"/>
      <c r="O242" s="1050" t="n"/>
    </row>
    <row r="243" ht="15" customHeight="1" s="981">
      <c r="A243" s="1050" t="n"/>
      <c r="B243" s="1050" t="n"/>
      <c r="C243" s="1050" t="n"/>
      <c r="D243" s="1050" t="n"/>
      <c r="E243" s="1050" t="n"/>
      <c r="F243" s="1050" t="n"/>
      <c r="G243" s="1050" t="n"/>
      <c r="H243" s="1050" t="n"/>
      <c r="I243" s="1050" t="n"/>
      <c r="J243" s="1050" t="n"/>
      <c r="K243" s="1050" t="n"/>
      <c r="L243" s="1050" t="n"/>
      <c r="M243" s="1050" t="n"/>
      <c r="N243" s="1050" t="n"/>
      <c r="O243" s="1050" t="n"/>
    </row>
    <row r="244" ht="15" customHeight="1" s="981">
      <c r="A244" s="1050" t="n"/>
      <c r="B244" s="1050" t="n"/>
      <c r="C244" s="1050" t="n"/>
      <c r="D244" s="1050" t="n"/>
      <c r="E244" s="1050" t="n"/>
      <c r="F244" s="1050" t="n"/>
      <c r="G244" s="1050" t="n"/>
      <c r="H244" s="1050" t="n"/>
      <c r="I244" s="1050" t="n"/>
      <c r="J244" s="1050" t="n"/>
      <c r="K244" s="1050" t="n"/>
      <c r="L244" s="1050" t="n"/>
      <c r="M244" s="1050" t="n"/>
      <c r="N244" s="1050" t="n"/>
      <c r="O244" s="1050" t="n"/>
    </row>
    <row r="245" ht="15" customHeight="1" s="981">
      <c r="A245" s="1050" t="n"/>
      <c r="B245" s="1050" t="n"/>
      <c r="C245" s="1050" t="n"/>
      <c r="D245" s="1050" t="n"/>
      <c r="E245" s="1050" t="n"/>
      <c r="F245" s="1050" t="n"/>
      <c r="G245" s="1050" t="n"/>
      <c r="H245" s="1050" t="n"/>
      <c r="I245" s="1050" t="n"/>
      <c r="J245" s="1050" t="n"/>
      <c r="K245" s="1050" t="n"/>
      <c r="L245" s="1050" t="n"/>
      <c r="M245" s="1050" t="n"/>
      <c r="N245" s="1050" t="n"/>
      <c r="O245" s="1050" t="n"/>
    </row>
    <row r="246" ht="15" customHeight="1" s="981">
      <c r="A246" s="1050" t="n"/>
      <c r="B246" s="1050" t="n"/>
      <c r="C246" s="1050" t="n"/>
      <c r="D246" s="1050" t="n"/>
      <c r="E246" s="1050" t="n"/>
      <c r="F246" s="1050" t="n"/>
      <c r="G246" s="1050" t="n"/>
      <c r="H246" s="1050" t="n"/>
      <c r="I246" s="1050" t="n"/>
      <c r="J246" s="1050" t="n"/>
      <c r="K246" s="1050" t="n"/>
      <c r="L246" s="1050" t="n"/>
      <c r="M246" s="1050" t="n"/>
      <c r="N246" s="1050" t="n"/>
      <c r="O246" s="1050" t="n"/>
    </row>
    <row r="247" ht="15" customHeight="1" s="981">
      <c r="A247" s="1050" t="n"/>
      <c r="B247" s="1050" t="n"/>
      <c r="C247" s="1050" t="n"/>
      <c r="D247" s="1050" t="n"/>
      <c r="E247" s="1050" t="n"/>
      <c r="F247" s="1050" t="n"/>
      <c r="G247" s="1050" t="n"/>
      <c r="H247" s="1050" t="n"/>
      <c r="I247" s="1050" t="n"/>
      <c r="J247" s="1050" t="n"/>
      <c r="K247" s="1050" t="n"/>
      <c r="L247" s="1050" t="n"/>
      <c r="M247" s="1050" t="n"/>
      <c r="N247" s="1050" t="n"/>
      <c r="O247" s="1050" t="n"/>
    </row>
    <row r="248" ht="15" customHeight="1" s="981">
      <c r="A248" s="1050" t="n"/>
      <c r="B248" s="1050" t="n"/>
      <c r="C248" s="1050" t="n"/>
      <c r="D248" s="1050" t="n"/>
      <c r="E248" s="1050" t="n"/>
      <c r="F248" s="1050" t="n"/>
      <c r="G248" s="1050" t="n"/>
      <c r="H248" s="1050" t="n"/>
      <c r="I248" s="1050" t="n"/>
      <c r="J248" s="1050" t="n"/>
      <c r="K248" s="1050" t="n"/>
      <c r="L248" s="1050" t="n"/>
      <c r="M248" s="1050" t="n"/>
      <c r="N248" s="1050" t="n"/>
      <c r="O248" s="1050" t="n"/>
    </row>
    <row r="249" ht="15" customHeight="1" s="981">
      <c r="A249" s="1050" t="n"/>
      <c r="B249" s="1050" t="n"/>
      <c r="C249" s="1050" t="n"/>
      <c r="D249" s="1050" t="n"/>
      <c r="E249" s="1050" t="n"/>
      <c r="F249" s="1050" t="n"/>
      <c r="G249" s="1050" t="n"/>
      <c r="H249" s="1050" t="n"/>
      <c r="I249" s="1050" t="n"/>
      <c r="J249" s="1050" t="n"/>
      <c r="K249" s="1050" t="n"/>
      <c r="L249" s="1050" t="n"/>
      <c r="M249" s="1050" t="n"/>
      <c r="N249" s="1050" t="n"/>
      <c r="O249" s="1050" t="n"/>
    </row>
    <row r="250" ht="15" customHeight="1" s="981">
      <c r="A250" s="1050" t="n"/>
      <c r="B250" s="1050" t="n"/>
      <c r="C250" s="1050" t="n"/>
      <c r="D250" s="1050" t="n"/>
      <c r="E250" s="1050" t="n"/>
      <c r="F250" s="1050" t="n"/>
      <c r="G250" s="1050" t="n"/>
      <c r="H250" s="1050" t="n"/>
      <c r="I250" s="1050" t="n"/>
      <c r="J250" s="1050" t="n"/>
      <c r="K250" s="1050" t="n"/>
      <c r="L250" s="1050" t="n"/>
      <c r="M250" s="1050" t="n"/>
      <c r="N250" s="1050" t="n"/>
      <c r="O250" s="1050" t="n"/>
    </row>
    <row r="251" ht="15" customHeight="1" s="981">
      <c r="A251" s="1050" t="n"/>
      <c r="B251" s="1050" t="n"/>
      <c r="C251" s="1050" t="n"/>
      <c r="D251" s="1050" t="n"/>
      <c r="E251" s="1050" t="n"/>
      <c r="F251" s="1050" t="n"/>
      <c r="G251" s="1050" t="n"/>
      <c r="H251" s="1050" t="n"/>
      <c r="I251" s="1050" t="n"/>
      <c r="J251" s="1050" t="n"/>
      <c r="K251" s="1050" t="n"/>
      <c r="L251" s="1050" t="n"/>
      <c r="M251" s="1050" t="n"/>
      <c r="N251" s="1050" t="n"/>
      <c r="O251" s="1050" t="n"/>
    </row>
  </sheetData>
  <mergeCells count="14">
    <mergeCell ref="I35:M35"/>
    <mergeCell ref="A1:M1"/>
    <mergeCell ref="I38:M38"/>
    <mergeCell ref="A4:M4"/>
    <mergeCell ref="I34:M34"/>
    <mergeCell ref="D8:M8"/>
    <mergeCell ref="I36:M36"/>
    <mergeCell ref="A2:M2"/>
    <mergeCell ref="I37:M37"/>
    <mergeCell ref="A8:B8"/>
    <mergeCell ref="I39:M39"/>
    <mergeCell ref="A33:M33"/>
    <mergeCell ref="A10:M10"/>
    <mergeCell ref="I40:M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6"/>
  <sheetViews>
    <sheetView showGridLines="0" tabSelected="1" zoomScaleNormal="100" workbookViewId="0">
      <pane ySplit="4" topLeftCell="A406" activePane="bottomLeft" state="frozen"/>
      <selection pane="bottomLeft" activeCell="A441" sqref="A441:J441"/>
    </sheetView>
  </sheetViews>
  <sheetFormatPr baseColWidth="8" defaultColWidth="8.6640625" defaultRowHeight="14.4"/>
  <cols>
    <col width="35.88671875" customWidth="1" style="981" min="1" max="1"/>
    <col width="47.44140625" customWidth="1" style="981" min="2" max="2"/>
    <col width="25.77734375" customWidth="1" style="981" min="3" max="3"/>
    <col width="66.88671875" customWidth="1" style="981" min="4" max="4"/>
    <col width="34.6640625" customWidth="1" style="981" min="5" max="5"/>
    <col width="45.5546875" customWidth="1" style="981" min="6" max="6"/>
    <col width="41.88671875" customWidth="1" style="981" min="7" max="7"/>
    <col width="32.33203125" customWidth="1" style="981" min="8" max="8"/>
    <col width="24" customWidth="1" style="981" min="9" max="9"/>
    <col width="40.109375" customWidth="1" style="981" min="10" max="10"/>
  </cols>
  <sheetData>
    <row r="1" ht="48" customHeight="1" s="981">
      <c r="A1" s="978" t="inlineStr">
        <is>
          <t>🐺 SÓI v42 — TRA CỨU MÃ + DEEP DIVE 31 PHẦN (Hợp nhất SÓI CÔ ĐỘC DANH ĐẠT vào)</t>
        </is>
      </c>
      <c r="B1" s="979" t="n"/>
      <c r="C1" s="979" t="n"/>
      <c r="D1" s="979" t="n"/>
      <c r="E1" s="979" t="n"/>
      <c r="F1" s="979" t="n"/>
      <c r="G1" s="979" t="n"/>
      <c r="H1" s="979" t="n"/>
      <c r="I1" s="979" t="n"/>
      <c r="J1" s="979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5" customHeight="1" s="981">
      <c r="A2" s="19" t="inlineStr">
        <is>
          <t>? LIVE 29/05/2026 | Q2 2026 | BCTC Q1/2026 | 213 ma co so THAT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1" t="n"/>
    </row>
    <row r="3" ht="15" customHeight="1" s="981">
      <c r="A3" s="22" t="inlineStr">
        <is>
          <t>🐺 SÓI CÔ ĐỘC DANH ĐẠT — Triết lý: "Sói cô độc không cần bầy đàn, chỉ cần kỷ luật, dữ liệu thật và đầu lạnh."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4" t="n"/>
    </row>
    <row r="4" ht="39.75" customHeight="1" s="981">
      <c r="A4" s="25" t="n"/>
      <c r="B4" s="987" t="inlineStr">
        <is>
          <t>🔍 NHẬP MÃ →</t>
        </is>
      </c>
      <c r="C4" s="999" t="inlineStr">
        <is>
          <t>MBB</t>
        </is>
      </c>
      <c r="D4" s="966" t="n"/>
      <c r="E4" s="1001" t="inlineStr">
        <is>
          <t>Ví dụ: FPT, AAPL, KO, TPCP 5 năm, Vàng SJC miếng, Dragon Capital</t>
        </is>
      </c>
      <c r="F4" s="965" t="n"/>
      <c r="G4" s="965" t="n"/>
      <c r="H4" s="965" t="n"/>
      <c r="I4" s="965" t="n"/>
      <c r="J4" s="966" t="n"/>
    </row>
    <row r="5" ht="15" customHeight="1" s="981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 ht="36" customHeight="1" s="981">
      <c r="A6" s="1009" t="inlineStr">
        <is>
          <t>🐺 SÓI CÔ ĐỘC DANH ĐẠT — COMMAND CENTER (Embedded · v42)</t>
        </is>
      </c>
    </row>
    <row r="7" ht="24" customHeight="1" s="981">
      <c r="A7" s="984" t="inlineStr">
        <is>
          <t>⚡ Master Command Center · 14 module institutional cấp Bridgewater · Citadel · BlackRock · Renaissance — Tự lookup theo mã ở ô C4 phía trên</t>
        </is>
      </c>
      <c r="H7" s="28" t="n"/>
      <c r="I7" s="28" t="n"/>
      <c r="J7" s="28" t="n"/>
    </row>
    <row r="8" ht="18" customHeight="1" s="981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</row>
    <row r="9" ht="21.75" customHeight="1" s="981">
      <c r="A9" s="1002" t="inlineStr">
        <is>
          <t>📊 TÓM TẮT NHANH MÃ — Tự cập nhật theo ô C4 ở trên đầu sheet</t>
        </is>
      </c>
      <c r="B9" s="1003" t="n"/>
      <c r="C9" s="1003" t="n"/>
      <c r="D9" s="1003" t="n"/>
      <c r="E9" s="1003" t="n"/>
      <c r="F9" s="1003" t="n"/>
      <c r="G9" s="1003" t="n"/>
      <c r="H9" s="1003" t="n"/>
      <c r="I9" s="1003" t="n"/>
      <c r="J9" s="1003" t="n"/>
    </row>
    <row r="10" ht="21.75" customHeight="1" s="981">
      <c r="A10" s="30" t="inlineStr">
        <is>
          <t>Tên đầy đủ:</t>
        </is>
      </c>
      <c r="B10" s="31" t="n"/>
      <c r="C10" s="32">
        <f>IFERROR(VLOOKUP($C$4,'📈 Cổ Phiếu VN 🔍'!$A:$B,2,0),IFERROR(VLOOKUP($C$4,'🌐 Cổ Phiếu TG 🔍'!$A:$B,2,0),"—"))</f>
        <v/>
      </c>
      <c r="D10" s="33" t="n"/>
      <c r="E10" s="33" t="n"/>
      <c r="F10" s="34" t="inlineStr">
        <is>
          <t>Ngành/Lĩnh vực:</t>
        </is>
      </c>
      <c r="G10" s="31" t="n"/>
      <c r="H10" s="32">
        <f>IFERROR(VLOOKUP($C$4,'📈 Cổ Phiếu VN 🔍'!$A:$C,3,0),IFERROR(VLOOKUP($C$4,'🌐 Cổ Phiếu TG 🔍'!$A:$C,3,0),"—"))</f>
        <v/>
      </c>
      <c r="I10" s="33" t="n"/>
      <c r="J10" s="33" t="n"/>
    </row>
    <row r="11" ht="21.75" customHeight="1" s="981">
      <c r="A11" s="30" t="inlineStr">
        <is>
          <t>Giá hiện tại:</t>
        </is>
      </c>
      <c r="B11" s="31" t="n"/>
      <c r="C11" s="32">
        <f>IFERROR(VLOOKUP($C$4,'📈 Cổ Phiếu VN 🔍'!$A:$D,4,0),IFERROR(VLOOKUP($C$4,'🌐 Cổ Phiếu TG 🔍'!$A:$D,4,0),0))</f>
        <v/>
      </c>
      <c r="D11" s="33" t="n"/>
      <c r="E11" s="33" t="n"/>
      <c r="F11" s="34" t="inlineStr">
        <is>
          <t>Vốn hóa (tỷ ₫):</t>
        </is>
      </c>
      <c r="G11" s="31" t="n"/>
      <c r="H11" s="32">
        <f>IFERROR(VLOOKUP($C$4,'📈 Cổ Phiếu VN 🔍'!$A:$H,8,0),IFERROR(VLOOKUP($C$4,'🌐 Cổ Phiếu TG 🔍'!$A:$H,8,0),0))</f>
        <v/>
      </c>
      <c r="I11" s="33" t="n"/>
      <c r="J11" s="33" t="n"/>
    </row>
    <row r="12" ht="21.75" customHeight="1" s="981">
      <c r="A12" s="30" t="inlineStr">
        <is>
          <t>P/E (TTM):</t>
        </is>
      </c>
      <c r="B12" s="31" t="n"/>
      <c r="C12" s="32">
        <f>IFERROR(VLOOKUP($C$4,'📈 Cổ Phiếu VN 🔍'!$A:$E,5,0),IFERROR(VLOOKUP($C$4,'🌐 Cổ Phiếu TG 🔍'!$A:$E,5,0),0))</f>
        <v/>
      </c>
      <c r="D12" s="33" t="n"/>
      <c r="E12" s="33" t="n"/>
      <c r="F12" s="34" t="inlineStr">
        <is>
          <t>P/B:</t>
        </is>
      </c>
      <c r="G12" s="31" t="n"/>
      <c r="H12" s="32">
        <f>IFERROR(VLOOKUP($C$4,'📈 Cổ Phiếu VN 🔍'!$A:$F,6,0),IFERROR(VLOOKUP($C$4,'🌐 Cổ Phiếu TG 🔍'!$A:$F,6,0),0))</f>
        <v/>
      </c>
      <c r="I12" s="33" t="n"/>
      <c r="J12" s="33" t="n"/>
    </row>
    <row r="13" ht="21.75" customHeight="1" s="981">
      <c r="A13" s="30" t="inlineStr">
        <is>
          <t>ROE (%):</t>
        </is>
      </c>
      <c r="B13" s="31" t="n"/>
      <c r="C13" s="32">
        <f>IFERROR(VLOOKUP($C$4,'📈 Cổ Phiếu VN 🔍'!$A:$G,7,0),IFERROR(VLOOKUP($C$4,'🌐 Cổ Phiếu TG 🔍'!$A:$G,7,0),0))</f>
        <v/>
      </c>
      <c r="D13" s="33" t="n"/>
      <c r="E13" s="33" t="n"/>
      <c r="F13" s="34" t="inlineStr">
        <is>
          <t>EPS (₫):</t>
        </is>
      </c>
      <c r="G13" s="31" t="n"/>
      <c r="H13" s="32">
        <f>IFERROR(VLOOKUP($C$4,'📈 Cổ Phiếu VN 🔍'!$A:$I,9,0),IFERROR(VLOOKUP($C$4,'🌐 Cổ Phiếu TG 🔍'!$A:$I,9,0),0))</f>
        <v/>
      </c>
      <c r="I13" s="33" t="n"/>
      <c r="J13" s="33" t="n"/>
    </row>
    <row r="14" ht="21.75" customHeight="1" s="981">
      <c r="A14" s="30" t="inlineStr">
        <is>
          <t>Cổ tức (%):</t>
        </is>
      </c>
      <c r="B14" s="31" t="n"/>
      <c r="C14" s="32">
        <f>IFERROR(VLOOKUP($C$4,'📈 Cổ Phiếu VN 🔍'!$A:$U,21,0),IFERROR(VLOOKUP($C$4,'🌐 Cổ Phiếu TG 🔍'!$A:$U,21,0),0))</f>
        <v/>
      </c>
      <c r="D14" s="33" t="n"/>
      <c r="E14" s="33" t="n"/>
      <c r="F14" s="34" t="inlineStr">
        <is>
          <t>YTD (%):</t>
        </is>
      </c>
      <c r="G14" s="31" t="n"/>
      <c r="H14" s="32">
        <f>IFERROR(VLOOKUP($C$4,'📈 Cổ Phiếu VN 🔍'!$A:$J,10,0),IFERROR(VLOOKUP($C$4,'🌐 Cổ Phiếu TG 🔍'!$A:$J,10,0),0))</f>
        <v/>
      </c>
      <c r="I14" s="33" t="n"/>
      <c r="J14" s="33" t="n"/>
    </row>
    <row r="15" ht="21.75" customHeight="1" s="981">
      <c r="A15" s="30" t="inlineStr">
        <is>
          <t>Tín hiệu:</t>
        </is>
      </c>
      <c r="B15" s="31" t="n"/>
      <c r="C15" s="32">
        <f>IFERROR(VLOOKUP($C$4,'📈 Cổ Phiếu VN 🔍'!$A:$K,11,0),IFERROR(VLOOKUP($C$4,'🌐 Cổ Phiếu TG 🔍'!$A:$K,11,0),"N/A"))</f>
        <v/>
      </c>
      <c r="D15" s="33" t="n"/>
      <c r="E15" s="33" t="n"/>
      <c r="F15" s="34" t="inlineStr">
        <is>
          <t>ROIC (%):</t>
        </is>
      </c>
      <c r="G15" s="31" t="n"/>
      <c r="H15" s="32">
        <f>IFERROR(VLOOKUP($C$4,'📈 Cổ Phiếu VN 🔍'!$A:$S,19,0),IFERROR(VLOOKUP($C$4,'🌐 Cổ Phiếu TG 🔍'!$A:$S,19,0),0))</f>
        <v/>
      </c>
      <c r="I15" s="33" t="n"/>
      <c r="J15" s="33" t="n"/>
    </row>
    <row r="16" ht="18" customHeight="1" s="98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</row>
    <row r="17" ht="21.75" customHeight="1" s="981">
      <c r="A17" s="1002" t="inlineStr">
        <is>
          <t>🧭 31 MODULE INSTITUTIONAL v42 (14 cũ + 12 mới của các quỹ huyền thoại)</t>
        </is>
      </c>
      <c r="B17" s="1003" t="n"/>
      <c r="C17" s="1003" t="n"/>
      <c r="D17" s="1003" t="n"/>
      <c r="E17" s="1003" t="n"/>
      <c r="F17" s="1003" t="n"/>
      <c r="G17" s="1003" t="n"/>
      <c r="H17" s="35" t="n"/>
      <c r="I17" s="35" t="n"/>
      <c r="J17" s="35" t="n"/>
    </row>
    <row r="18" ht="21.75" customHeight="1" s="981">
      <c r="A18" s="36" t="inlineStr">
        <is>
          <t>#</t>
        </is>
      </c>
      <c r="B18" s="36" t="inlineStr">
        <is>
          <t>Tên Module (click)</t>
        </is>
      </c>
      <c r="C18" s="37" t="n"/>
      <c r="D18" s="36" t="inlineStr">
        <is>
          <t>Chức năng chính</t>
        </is>
      </c>
      <c r="E18" s="37" t="n"/>
      <c r="F18" s="37" t="n"/>
      <c r="G18" s="37" t="n"/>
      <c r="H18" s="37" t="n"/>
      <c r="I18" s="37" t="n"/>
      <c r="J18" s="37" t="n"/>
    </row>
    <row r="19" ht="21.75" customHeight="1" s="981">
      <c r="A19" s="38" t="n">
        <v>1</v>
      </c>
      <c r="B19" s="39" t="inlineStr">
        <is>
          <t>🔍 FORENSIC 198 MÃ</t>
        </is>
      </c>
      <c r="C19" s="39" t="n"/>
      <c r="D19" s="40" t="inlineStr">
        <is>
          <t>Máy dò gian lận BCTC — Beneish M + Altman Z + Piotroski cho TẤT CẢ 198 mã VN</t>
        </is>
      </c>
      <c r="E19" s="40" t="n"/>
      <c r="F19" s="40" t="n"/>
      <c r="G19" s="40" t="n"/>
      <c r="H19" s="40" t="n"/>
      <c r="I19" s="40" t="n"/>
      <c r="J19" s="40" t="n"/>
    </row>
    <row r="20" ht="21.75" customHeight="1" s="981">
      <c r="A20" s="38" t="n">
        <v>2</v>
      </c>
      <c r="B20" s="41" t="inlineStr">
        <is>
          <t>🧮 WACC + BETA AUTO</t>
        </is>
      </c>
      <c r="C20" s="39" t="n"/>
      <c r="D20" s="40" t="inlineStr">
        <is>
          <t>Mỗi cổ phiếu 1 lãi suất chiết khấu riêng (CAPM) — không xài 12% chung</t>
        </is>
      </c>
      <c r="E20" s="40" t="n"/>
      <c r="F20" s="40" t="n"/>
      <c r="G20" s="40" t="n"/>
      <c r="H20" s="40" t="n"/>
      <c r="I20" s="40" t="n"/>
      <c r="J20" s="40" t="n"/>
    </row>
    <row r="21" ht="21.75" customHeight="1" s="981">
      <c r="A21" s="38" t="n">
        <v>3</v>
      </c>
      <c r="B21" s="41" t="inlineStr">
        <is>
          <t>🔀 SENSITIVITY DCF</t>
        </is>
      </c>
      <c r="C21" s="39" t="n"/>
      <c r="D21" s="40" t="inlineStr">
        <is>
          <t>Bảng 2 chiều WACC × g — xem giá DCF nhạy thế nào khi giả định lệch</t>
        </is>
      </c>
      <c r="E21" s="40" t="n"/>
      <c r="F21" s="40" t="n"/>
      <c r="G21" s="40" t="n"/>
      <c r="H21" s="40" t="n"/>
      <c r="I21" s="40" t="n"/>
      <c r="J21" s="40" t="n"/>
    </row>
    <row r="22" ht="21.75" customHeight="1" s="981">
      <c r="A22" s="38" t="n">
        <v>4</v>
      </c>
      <c r="B22" s="41" t="inlineStr">
        <is>
          <t>🎯 SCENARIO 3-CASE</t>
        </is>
      </c>
      <c r="C22" s="39" t="n"/>
      <c r="D22" s="40" t="inlineStr">
        <is>
          <t>Bull / Base / Bear có trọng số xác suất → Expected Value (EV)</t>
        </is>
      </c>
      <c r="E22" s="40" t="n"/>
      <c r="F22" s="40" t="n"/>
      <c r="G22" s="40" t="n"/>
      <c r="H22" s="40" t="n"/>
      <c r="I22" s="40" t="n"/>
      <c r="J22" s="40" t="n"/>
    </row>
    <row r="23" ht="21.75" customHeight="1" s="981">
      <c r="A23" s="38" t="n">
        <v>5</v>
      </c>
      <c r="B23" s="41" t="inlineStr">
        <is>
          <t>🎲 MONTE CARLO + CVaR</t>
        </is>
      </c>
      <c r="C23" s="39" t="n"/>
      <c r="D23" s="40" t="inlineStr">
        <is>
          <t>200 lần tung xúc xắc + CVaR 95% — bắt rủi ro đuôi béo. Bấm F9 để quay lại</t>
        </is>
      </c>
      <c r="E23" s="40" t="n"/>
      <c r="F23" s="40" t="n"/>
      <c r="G23" s="40" t="n"/>
      <c r="H23" s="40" t="n"/>
      <c r="I23" s="40" t="n"/>
      <c r="J23" s="40" t="n"/>
    </row>
    <row r="24" ht="21.75" customHeight="1" s="981">
      <c r="A24" s="38" t="n">
        <v>6</v>
      </c>
      <c r="B24" s="41" t="inlineStr">
        <is>
          <t>📈 MARKOWITZ FRONTIER</t>
        </is>
      </c>
      <c r="C24" s="39" t="n"/>
      <c r="D24" s="40" t="inlineStr">
        <is>
          <t>Tối ưu danh mục bằng Solver — chia tỷ trọng max Sharpe Ratio</t>
        </is>
      </c>
      <c r="E24" s="40" t="n"/>
      <c r="F24" s="40" t="n"/>
      <c r="G24" s="40" t="n"/>
      <c r="H24" s="40" t="n"/>
      <c r="I24" s="40" t="n"/>
      <c r="J24" s="40" t="n"/>
    </row>
    <row r="25" ht="21.75" customHeight="1" s="981">
      <c r="A25" s="38" t="n">
        <v>7</v>
      </c>
      <c r="B25" s="41" t="inlineStr">
        <is>
          <t>🛡 HEDGING + SLIPPAGE</t>
        </is>
      </c>
      <c r="C25" s="39" t="n"/>
      <c r="D25" s="40" t="inlineStr">
        <is>
          <t>Phòng hộ VN30F1M + chi phí trượt giá Square-Root Law</t>
        </is>
      </c>
      <c r="E25" s="40" t="n"/>
      <c r="F25" s="40" t="n"/>
      <c r="G25" s="40" t="n"/>
      <c r="H25" s="40" t="n"/>
      <c r="I25" s="40" t="n"/>
      <c r="J25" s="40" t="n"/>
    </row>
    <row r="26" ht="21.75" customHeight="1" s="981">
      <c r="A26" s="38" t="n">
        <v>8</v>
      </c>
      <c r="B26" s="41" t="inlineStr">
        <is>
          <t>🌦 MACRO REGIME 4MÙA</t>
        </is>
      </c>
      <c r="C26" s="39" t="n"/>
      <c r="D26" s="40" t="inlineStr">
        <is>
          <t>Goldilocks · Reflation · Stagflation · Deflation — đang mùa nào cầm gì</t>
        </is>
      </c>
      <c r="E26" s="40" t="n"/>
      <c r="F26" s="40" t="n"/>
      <c r="G26" s="40" t="n"/>
      <c r="H26" s="40" t="n"/>
      <c r="I26" s="40" t="n"/>
      <c r="J26" s="40" t="n"/>
    </row>
    <row r="27" ht="21.75" customHeight="1" s="981">
      <c r="A27" s="38" t="n">
        <v>9</v>
      </c>
      <c r="B27" s="41" t="inlineStr">
        <is>
          <t>📊 BRINSON ATTRIBUTION</t>
        </is>
      </c>
      <c r="C27" s="39" t="n"/>
      <c r="D27" s="40" t="inlineStr">
        <is>
          <t>Bóc tách Alpha — chọn ngành đúng hay chọn mã đúng</t>
        </is>
      </c>
      <c r="E27" s="40" t="n"/>
      <c r="F27" s="40" t="n"/>
      <c r="G27" s="40" t="n"/>
      <c r="H27" s="40" t="n"/>
      <c r="I27" s="40" t="n"/>
      <c r="J27" s="40" t="n"/>
    </row>
    <row r="28" ht="21.75" customHeight="1" s="981">
      <c r="A28" s="38" t="n">
        <v>10</v>
      </c>
      <c r="B28" s="41" t="inlineStr">
        <is>
          <t>📐 FAMA-FRENCH 5F</t>
        </is>
      </c>
      <c r="C28" s="39" t="n"/>
      <c r="D28" s="40" t="inlineStr">
        <is>
          <t>5 yếu tố MKT · SMB · HML · RMW · CMA — đo Alpha thật</t>
        </is>
      </c>
      <c r="E28" s="40" t="n"/>
      <c r="F28" s="40" t="n"/>
      <c r="G28" s="40" t="n"/>
      <c r="H28" s="40" t="n"/>
      <c r="I28" s="40" t="n"/>
      <c r="J28" s="40" t="n"/>
    </row>
    <row r="29" ht="21.75" customHeight="1" s="981">
      <c r="A29" s="38" t="n">
        <v>11</v>
      </c>
      <c r="B29" s="41" t="inlineStr">
        <is>
          <t>💧 LIQUIDITY LCR SHOCK</t>
        </is>
      </c>
      <c r="C29" s="39" t="n"/>
      <c r="D29" s="40" t="inlineStr">
        <is>
          <t>Test sốc rút 30%/tuần — Fire-sale Cost, mã nào bán sập sàn</t>
        </is>
      </c>
      <c r="E29" s="40" t="n"/>
      <c r="F29" s="40" t="n"/>
      <c r="G29" s="40" t="n"/>
      <c r="H29" s="40" t="n"/>
      <c r="I29" s="40" t="n"/>
      <c r="J29" s="40" t="n"/>
    </row>
    <row r="30" ht="21.75" customHeight="1" s="981">
      <c r="A30" s="38" t="n">
        <v>12</v>
      </c>
      <c r="B30" s="41" t="inlineStr">
        <is>
          <t>📉 ATR TRAILING STOP</t>
        </is>
      </c>
      <c r="C30" s="39" t="n"/>
      <c r="D30" s="40" t="inlineStr">
        <is>
          <t>Chandelier exit Đỉnh − 3×ATR — cắt lỗ động co giãn theo bản tính mã</t>
        </is>
      </c>
      <c r="E30" s="40" t="n"/>
      <c r="F30" s="40" t="n"/>
      <c r="G30" s="40" t="n"/>
      <c r="H30" s="40" t="n"/>
      <c r="I30" s="40" t="n"/>
      <c r="J30" s="40" t="n"/>
    </row>
    <row r="31" ht="21.75" customHeight="1" s="981">
      <c r="A31" s="38" t="n">
        <v>13</v>
      </c>
      <c r="B31" s="41" t="inlineStr">
        <is>
          <t>💸 TAX-LOSS HARVEST</t>
        </is>
      </c>
      <c r="C31" s="39" t="n"/>
      <c r="D31" s="40" t="inlineStr">
        <is>
          <t>Thu hoạch lỗ cuối năm — cấn trừ thuế hợp pháp · tránh Wash-Sale 30 ngày</t>
        </is>
      </c>
      <c r="E31" s="40" t="n"/>
      <c r="F31" s="40" t="n"/>
      <c r="G31" s="40" t="n"/>
      <c r="H31" s="40" t="n"/>
      <c r="I31" s="40" t="n"/>
      <c r="J31" s="40" t="n"/>
    </row>
    <row r="32" ht="21.75" customHeight="1" s="981">
      <c r="A32" s="38" t="n">
        <v>14</v>
      </c>
      <c r="B32" s="41" t="inlineStr">
        <is>
          <t>🧠 Phân Tích Sâu</t>
        </is>
      </c>
      <c r="C32" s="39" t="n"/>
      <c r="D32" s="40" t="inlineStr">
        <is>
          <t>8 lớp Multi-Layer phân tích danh mục Citadel-style</t>
        </is>
      </c>
      <c r="E32" s="40" t="n"/>
      <c r="F32" s="40" t="n"/>
      <c r="G32" s="40" t="n"/>
      <c r="H32" s="40" t="n"/>
      <c r="I32" s="40" t="n"/>
      <c r="J32" s="40" t="n"/>
    </row>
    <row r="33" ht="24" customHeight="1" s="981">
      <c r="A33" s="42" t="n">
        <v>15</v>
      </c>
      <c r="B33" s="43" t="inlineStr">
        <is>
          <t>📐 PAIR TRADING (W)</t>
        </is>
      </c>
      <c r="C33" s="43" t="n"/>
      <c r="D33" s="43" t="inlineStr">
        <is>
          <t>Stat-arb 2 mã cùng ngành — Renaissance Tech</t>
        </is>
      </c>
      <c r="E33" s="44" t="n"/>
      <c r="F33" s="44" t="n"/>
      <c r="G33" s="44" t="n"/>
      <c r="H33" s="44" t="n"/>
      <c r="I33" s="44" t="n"/>
      <c r="J33" s="44" t="n"/>
    </row>
    <row r="34" ht="15" customHeight="1" s="981">
      <c r="A34" s="45" t="n">
        <v>16</v>
      </c>
      <c r="B34" s="43" t="inlineStr">
        <is>
          <t>🌀 SOROS REFLEXIVITY (X)</t>
        </is>
      </c>
      <c r="C34" s="43" t="n"/>
      <c r="D34" s="43" t="inlineStr">
        <is>
          <t>Phát hiện pha BOOM/BUST — George Soros</t>
        </is>
      </c>
      <c r="E34" s="29" t="n"/>
      <c r="F34" s="29" t="n"/>
      <c r="G34" s="29" t="n"/>
      <c r="H34" s="29" t="n"/>
      <c r="I34" s="29" t="n"/>
      <c r="J34" s="29" t="n"/>
    </row>
    <row r="35" ht="21.75" customHeight="1" s="981">
      <c r="A35" s="45" t="n">
        <v>17</v>
      </c>
      <c r="B35" s="43" t="inlineStr">
        <is>
          <t>🐋 SMART MONEY (Y)</t>
        </is>
      </c>
      <c r="C35" s="43" t="n"/>
      <c r="D35" s="43" t="inlineStr">
        <is>
          <t>Theo dấu NN, Insider, ESG — BlackRock</t>
        </is>
      </c>
      <c r="E35" s="29" t="n"/>
      <c r="F35" s="29" t="n"/>
      <c r="G35" s="29" t="n"/>
      <c r="H35" s="29" t="n"/>
      <c r="I35" s="29" t="n"/>
      <c r="J35" s="29" t="n"/>
    </row>
    <row r="36" ht="21.75" customHeight="1" s="981">
      <c r="A36" s="45" t="n">
        <v>18</v>
      </c>
      <c r="B36" s="43" t="inlineStr">
        <is>
          <t>⚖️ SHARPE OPTIMIZER (Z)</t>
        </is>
      </c>
      <c r="C36" s="43" t="n"/>
      <c r="D36" s="43" t="inlineStr">
        <is>
          <t>All-Weather 5 tài sản — Bridgewater</t>
        </is>
      </c>
      <c r="E36" s="29" t="n"/>
      <c r="F36" s="29" t="n"/>
      <c r="G36" s="29" t="n"/>
      <c r="H36" s="29" t="n"/>
      <c r="I36" s="29" t="n"/>
      <c r="J36" s="29" t="n"/>
    </row>
    <row r="37" ht="18" customHeight="1" s="981">
      <c r="A37" s="45" t="n">
        <v>19</v>
      </c>
      <c r="B37" s="43" t="inlineStr">
        <is>
          <t>💎 BUFFETT DCF 10Y (AA)</t>
        </is>
      </c>
      <c r="C37" s="43" t="n"/>
      <c r="D37" s="43" t="inlineStr">
        <is>
          <t>Owner Earnings 10 năm — Berkshire</t>
        </is>
      </c>
      <c r="E37" s="29" t="n"/>
      <c r="F37" s="29" t="n"/>
      <c r="G37" s="29" t="n"/>
      <c r="H37" s="29" t="n"/>
      <c r="I37" s="29" t="n"/>
      <c r="J37" s="29" t="n"/>
    </row>
    <row r="38" ht="18" customHeight="1" s="981">
      <c r="A38" s="45" t="n">
        <v>20</v>
      </c>
      <c r="B38" s="43" t="inlineStr">
        <is>
          <t>🎲 KELLY CRITERION (BB)</t>
        </is>
      </c>
      <c r="C38" s="43" t="n"/>
      <c r="D38" s="43" t="inlineStr">
        <is>
          <t>Tỷ trọng tối ưu — Edward Thorp</t>
        </is>
      </c>
      <c r="E38" s="29" t="n"/>
      <c r="F38" s="29" t="n"/>
      <c r="G38" s="29" t="n"/>
      <c r="H38" s="29" t="n"/>
      <c r="I38" s="29" t="n"/>
      <c r="J38" s="29" t="n"/>
    </row>
    <row r="39" ht="18" customHeight="1" s="981">
      <c r="A39" s="45" t="n">
        <v>21</v>
      </c>
      <c r="B39" s="43" t="inlineStr">
        <is>
          <t>🤖 ML QUANT SCORE (CC)</t>
        </is>
      </c>
      <c r="C39" s="43" t="n"/>
      <c r="D39" s="43" t="inlineStr">
        <is>
          <t>8 features factor model — Two Sigma</t>
        </is>
      </c>
      <c r="E39" s="29" t="n"/>
      <c r="F39" s="29" t="n"/>
      <c r="G39" s="29" t="n"/>
      <c r="H39" s="29" t="n"/>
      <c r="I39" s="29" t="n"/>
      <c r="J39" s="29" t="n"/>
    </row>
    <row r="40" ht="18" customHeight="1" s="981">
      <c r="A40" s="45" t="n">
        <v>22</v>
      </c>
      <c r="B40" s="43" t="inlineStr">
        <is>
          <t>⚫⚪ BLACK-LITTERMAN (DD)</t>
        </is>
      </c>
      <c r="C40" s="43" t="n"/>
      <c r="D40" s="43" t="inlineStr">
        <is>
          <t>Equilibrium + View — Goldman</t>
        </is>
      </c>
      <c r="E40" s="29" t="n"/>
      <c r="F40" s="29" t="n"/>
      <c r="G40" s="29" t="n"/>
      <c r="H40" s="29" t="n"/>
      <c r="I40" s="29" t="n"/>
      <c r="J40" s="29" t="n"/>
    </row>
    <row r="41" ht="18" customHeight="1" s="981">
      <c r="A41" s="45" t="n">
        <v>23</v>
      </c>
      <c r="B41" s="43" t="inlineStr">
        <is>
          <t>🕐 SECTOR ROTATION (EE)</t>
        </is>
      </c>
      <c r="C41" s="43" t="n"/>
      <c r="D41" s="43" t="inlineStr">
        <is>
          <t>Stovall chu kỳ 4 pha</t>
        </is>
      </c>
      <c r="E41" s="29" t="n"/>
      <c r="F41" s="29" t="n"/>
      <c r="G41" s="29" t="n"/>
      <c r="H41" s="29" t="n"/>
      <c r="I41" s="29" t="n"/>
      <c r="J41" s="29" t="n"/>
    </row>
    <row r="42" ht="15" customHeight="1" s="981">
      <c r="A42" s="45" t="n">
        <v>24</v>
      </c>
      <c r="B42" s="43" t="inlineStr">
        <is>
          <t>🛡 ECONOMIC MOAT (FF)</t>
        </is>
      </c>
      <c r="C42" s="43" t="n"/>
      <c r="D42" s="43" t="inlineStr">
        <is>
          <t>6 loại lợi thế — Charlie Munger</t>
        </is>
      </c>
      <c r="E42" s="29" t="n"/>
      <c r="F42" s="29" t="n"/>
      <c r="G42" s="29" t="n"/>
      <c r="H42" s="29" t="n"/>
      <c r="I42" s="29" t="n"/>
      <c r="J42" s="29" t="n"/>
    </row>
    <row r="43" ht="21.75" customHeight="1" s="981">
      <c r="A43" s="45" t="n">
        <v>25</v>
      </c>
      <c r="B43" s="43" t="inlineStr">
        <is>
          <t>🚨 15 RED FLAGS (GG)</t>
        </is>
      </c>
      <c r="C43" s="43" t="n"/>
      <c r="D43" s="43" t="inlineStr">
        <is>
          <t>Cờ đỏ BCTC — SEC enforcement</t>
        </is>
      </c>
      <c r="E43" s="29" t="n"/>
      <c r="F43" s="29" t="n"/>
      <c r="G43" s="29" t="n"/>
      <c r="H43" s="29" t="n"/>
      <c r="I43" s="29" t="n"/>
      <c r="J43" s="29" t="n"/>
    </row>
    <row r="44" ht="21.75" customHeight="1" s="981">
      <c r="A44" s="46" t="n">
        <v>26</v>
      </c>
      <c r="B44" s="46" t="inlineStr">
        <is>
          <t>🏆 SUPER VERDICT 500 (HH)</t>
        </is>
      </c>
      <c r="C44" s="47" t="n"/>
      <c r="D44" s="47" t="inlineStr">
        <is>
          <t>Tổng kết 31 module = 500 điểm — Quỹ huyền thoại</t>
        </is>
      </c>
      <c r="E44" s="48" t="n"/>
      <c r="F44" s="48" t="n"/>
      <c r="G44" s="48" t="n"/>
      <c r="H44" s="48" t="n"/>
      <c r="I44" s="48" t="n"/>
      <c r="J44" s="48" t="n"/>
    </row>
    <row r="45" ht="41.25" customHeight="1" s="981">
      <c r="A45" s="25" t="n"/>
      <c r="B45" s="49" t="inlineStr">
        <is>
          <t>Tên đầy đủ:</t>
        </is>
      </c>
      <c r="C45" s="50">
        <f>IFERROR(IFERROR(VLOOKUP($C$4,'📈 Cổ Phiếu VN 🔍'!$A:$B,2,0),""),IFERROR(IFERROR(VLOOKUP($C$4,'🌐 Cổ Phiếu TG 🔍'!$A:$B,2,0),""),""))</f>
        <v/>
      </c>
      <c r="D45" s="51" t="n"/>
      <c r="E45" s="51" t="n"/>
      <c r="F45" s="51" t="n"/>
      <c r="G45" s="51" t="n"/>
      <c r="H45" s="51" t="n"/>
      <c r="I45" s="51" t="n"/>
      <c r="J45" s="51" t="n"/>
    </row>
    <row r="46" ht="41.25" customHeight="1" s="981">
      <c r="A46" s="25" t="n"/>
      <c r="B46" s="52" t="inlineStr">
        <is>
          <t>Loại tài sản:</t>
        </is>
      </c>
      <c r="C46" s="53">
        <f>IFERROR(IF(IFERROR(VLOOKUP($C$4,'📈 Cổ Phiếu VN 🔍'!$A:$A,1,0),"")&lt;&gt;"","🟢 Cổ phiếu VN — "&amp;IFERROR(VLOOKUP($C$4,'📈 Cổ Phiếu VN 🔍'!$A:$C,3,0),""),IF(IFERROR(VLOOKUP($C$4,'🌐 Cổ Phiếu TG 🔍'!$A:$A,1,0),"")&lt;&gt;"","🌐 Cổ phiếu TG — "&amp;IFERROR(VLOOKUP($C$4,'🌐 Cổ Phiếu TG 🔍'!$A:$K,11,0),""),IF(IFERROR(VLOOKUP($C$4,'🏛 Quỹ Lớn 🔍'!$A:$A,1,0),"")&lt;&gt;"","🏛 Quỹ/ETF — "&amp;IFERROR(VLOOKUP($C$4,'🏛 Quỹ Lớn 🔍'!$A:$C,3,0),""),IF(IFERROR(VLOOKUP($C$4,'🏦 Trái Phiếu VN 🔍'!$A:$A,1,0),"")&lt;&gt;"","🏦 Trái phiếu VN","❓ Không tìm thấy mã này")))),"❓ Không tìm thấy")</f>
        <v/>
      </c>
      <c r="D46" s="54" t="n"/>
      <c r="E46" s="54" t="n"/>
      <c r="F46" s="54" t="n"/>
      <c r="G46" s="52" t="inlineStr">
        <is>
          <t>Giá HT:</t>
        </is>
      </c>
      <c r="H46" s="55">
        <f>IFERROR(IFERROR(VLOOKUP($C$4,'📈 Cổ Phiếu VN 🔍'!$A:$D,4,0),""),IFERROR(IFERROR(VLOOKUP($C$4,'🌐 Cổ Phiếu TG 🔍'!$A:$D,4,0),""),IFERROR(IFERROR(VLOOKUP($C$4,'🏛 Quỹ Lớn 🔍'!$A:$D,4,0),""),"")))</f>
        <v/>
      </c>
      <c r="I46" s="52" t="inlineStr">
        <is>
          <t>%YTD:</t>
        </is>
      </c>
      <c r="J46" s="56">
        <f>IFERROR(IFERROR(VLOOKUP($C$4,'📈 Cổ Phiếu VN 🔍'!$A:$J,10,0),""),IFERROR(IFERROR(VLOOKUP($C$4,'🌐 Cổ Phiếu TG 🔍'!$A:$I,9,0),""),""))</f>
        <v/>
      </c>
    </row>
    <row r="47" ht="41.25" customHeight="1" s="981">
      <c r="A47" s="25" t="n"/>
      <c r="B47" s="52" t="inlineStr">
        <is>
          <t>Ngành/Sàn:</t>
        </is>
      </c>
      <c r="C47" s="53">
        <f>IFERROR(IFERROR(VLOOKUP($C$4,'📈 Cổ Phiếu VN 🔍'!$A:$C,3,0),""),IFERROR(IFERROR(VLOOKUP($C$4,'🌐 Cổ Phiếu TG 🔍'!$A:$K,11,0),""),""))</f>
        <v/>
      </c>
      <c r="D47" s="54" t="n"/>
      <c r="E47" s="54" t="n"/>
      <c r="F47" s="54" t="n"/>
      <c r="G47" s="52" t="inlineStr">
        <is>
          <t>Tín hiệu:</t>
        </is>
      </c>
      <c r="H47" s="57">
        <f>IFERROR(IFERROR(VLOOKUP($C$4,'📈 Cổ Phiếu VN 🔍'!$A:$K,11,0),""),IFERROR(IFERROR(VLOOKUP($C$4,'🌐 Cổ Phiếu TG 🔍'!$A:$J,10,0),""),IFERROR(IFERROR(VLOOKUP($C$4,'🏛 Quỹ Lớn 🔍'!$A:$L,12,0),""),"")))</f>
        <v/>
      </c>
      <c r="I47" s="58" t="n"/>
      <c r="J47" s="58" t="n"/>
    </row>
    <row r="48" ht="41.25" customHeight="1" s="98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</row>
    <row r="49" ht="41.25" customHeight="1" s="981">
      <c r="A49" s="1015" t="inlineStr">
        <is>
          <t>📐 PHẦN B: VALUATION SUITE — 10 chỉ số định giá chuẩn quỹ lớn</t>
        </is>
      </c>
      <c r="B49" s="965" t="n"/>
      <c r="C49" s="965" t="n"/>
      <c r="D49" s="965" t="n"/>
      <c r="E49" s="965" t="n"/>
      <c r="F49" s="965" t="n"/>
      <c r="G49" s="965" t="n"/>
      <c r="H49" s="965" t="n"/>
      <c r="I49" s="965" t="n"/>
      <c r="J49" s="965" t="n"/>
    </row>
    <row r="50" ht="15" customHeight="1" s="981">
      <c r="A50" s="59" t="inlineStr">
        <is>
          <t>#</t>
        </is>
      </c>
      <c r="B50" s="59" t="inlineStr">
        <is>
          <t>Chỉ số</t>
        </is>
      </c>
      <c r="C50" s="59" t="inlineStr">
        <is>
          <t>Giá trị</t>
        </is>
      </c>
      <c r="D50" s="59" t="inlineStr">
        <is>
          <t>Ngưỡng tốt</t>
        </is>
      </c>
      <c r="E50" s="59" t="inlineStr">
        <is>
          <t>Đánh giá</t>
        </is>
      </c>
      <c r="F50" s="59" t="inlineStr">
        <is>
          <t>#</t>
        </is>
      </c>
      <c r="G50" s="59" t="inlineStr">
        <is>
          <t>Chỉ số</t>
        </is>
      </c>
      <c r="H50" s="59" t="inlineStr">
        <is>
          <t>Giá trị</t>
        </is>
      </c>
      <c r="I50" s="59" t="inlineStr">
        <is>
          <t>Ngưỡng tốt</t>
        </is>
      </c>
      <c r="J50" s="59" t="inlineStr">
        <is>
          <t>Đánh giá</t>
        </is>
      </c>
    </row>
    <row r="51" ht="21.75" customHeight="1" s="981">
      <c r="A51" s="60" t="inlineStr">
        <is>
          <t>1</t>
        </is>
      </c>
      <c r="B51" s="60" t="inlineStr">
        <is>
          <t>P/E (TTM)</t>
        </is>
      </c>
      <c r="C51" s="61">
        <f>IFERROR(IFERROR(VLOOKUP($C$4,'📈 Cổ Phiếu VN 🔍'!$A:$E,5,0),""),IFERROR(IFERROR(VLOOKUP($C$4,'🌐 Cổ Phiếu TG 🔍'!$A:$E,5,0),""),0))</f>
        <v/>
      </c>
      <c r="D51" s="1001" t="inlineStr">
        <is>
          <t>8-18</t>
        </is>
      </c>
      <c r="E51" s="62">
        <f>IF(IFERROR(IFERROR(VLOOKUP($C$4,'📈 Cổ Phiếu VN 🔍'!$A:$E,5,0),""),IFERROR(IFERROR(VLOOKUP($C$4,'🌐 Cổ Phiếu TG 🔍'!$A:$E,5,0),""),0))=0,"N/A",IF(IFERROR(IFERROR(VLOOKUP($C$4,'📈 Cổ Phiếu VN 🔍'!$A:$E,5,0),""),IFERROR(IFERROR(VLOOKUP($C$4,'🌐 Cổ Phiếu TG 🔍'!$A:$E,5,0),""),0))&lt;8,"🔵 Rẻ",IF(IFERROR(IFERROR(VLOOKUP($C$4,'📈 Cổ Phiếu VN 🔍'!$A:$E,5,0),""),IFERROR(IFERROR(VLOOKUP($C$4,'🌐 Cổ Phiếu TG 🔍'!$A:$E,5,0),""),0))&lt;18,"🟢 Hợp lý",IF(IFERROR(IFERROR(VLOOKUP($C$4,'📈 Cổ Phiếu VN 🔍'!$A:$E,5,0),""),IFERROR(IFERROR(VLOOKUP($C$4,'🌐 Cổ Phiếu TG 🔍'!$A:$E,5,0),""),0))&lt;25,"🟡 Đắt nhẹ","🔴 Quá đắt"))))</f>
        <v/>
      </c>
      <c r="F51" s="60" t="inlineStr">
        <is>
          <t>6</t>
        </is>
      </c>
      <c r="G51" s="63" t="n">
        <v>6.2</v>
      </c>
      <c r="H51" s="64">
        <f>IFERROR(IFERROR(IFERROR(VLOOKUP($C$4,'📈 Cổ Phiếu VN 🔍'!$A:$H,8,0),""),IFERROR(IFERROR(VLOOKUP($C$4,'🌐 Cổ Phiếu TG 🔍'!$A:$H,8,0),""),0))*10/IFERROR(IFERROR(VLOOKUP($C$4,'📈 Cổ Phiếu VN 🔍'!$A:$Q,17,0),""),0),"N/A")</f>
        <v/>
      </c>
      <c r="I51" s="1001" t="inlineStr">
        <is>
          <t>&lt; 12</t>
        </is>
      </c>
      <c r="J51" s="62">
        <f>IFERROR(IF(IFERROR(IFERROR(VLOOKUP($C$4,'📈 Cổ Phiếu VN 🔍'!$A:$H,8,0),""),IFERROR(IFERROR(VLOOKUP($C$4,'🌐 Cổ Phiếu TG 🔍'!$A:$H,8,0),""),0))*10/IFERROR(IFERROR(VLOOKUP($C$4,'📈 Cổ Phiếu VN 🔍'!$A:$Q,17,0),""),0)&lt;12,"🟢 Tham khảo","🟡 Cao"),"N/A")</f>
        <v/>
      </c>
    </row>
    <row r="52" ht="15" customHeight="1" s="981">
      <c r="A52" s="60" t="inlineStr">
        <is>
          <t>2</t>
        </is>
      </c>
      <c r="B52" s="49" t="inlineStr">
        <is>
          <t>Forward P/E</t>
        </is>
      </c>
      <c r="C52" s="61">
        <f>IFERROR(IFERROR(IFERROR(VLOOKUP($C$4,'📈 Cổ Phiếu VN 🔍'!$A:$E,5,0),""),IFERROR(IFERROR(VLOOKUP($C$4,'🌐 Cổ Phiếu TG 🔍'!$A:$E,5,0),""),0))/(1+MAX(IFERROR(IFERROR(VLOOKUP($C$4,'📈 Cổ Phiếu VN 🔍'!$A:$J,10,0),""),IFERROR(IFERROR(VLOOKUP($C$4,'🌐 Cổ Phiếu TG 🔍'!$A:$I,9,0),""),0)),0.05)),"N/A")</f>
        <v/>
      </c>
      <c r="D52" s="1001" t="inlineStr">
        <is>
          <t>&lt; P/E HT</t>
        </is>
      </c>
      <c r="E52" s="62">
        <f>IFERROR(IF(IFERROR(IFERROR(VLOOKUP($C$4,'📈 Cổ Phiếu VN 🔍'!$A:$E,5,0),""),IFERROR(IFERROR(VLOOKUP($C$4,'🌐 Cổ Phiếu TG 🔍'!$A:$E,5,0),""),0))/(1+MAX(IFERROR(IFERROR(VLOOKUP($C$4,'📈 Cổ Phiếu VN 🔍'!$A:$J,10,0),""),IFERROR(IFERROR(VLOOKUP($C$4,'🌐 Cổ Phiếu TG 🔍'!$A:$I,9,0),""),0)),0.05))&lt;IFERROR(IFERROR(VLOOKUP($C$4,'📈 Cổ Phiếu VN 🔍'!$A:$E,5,0),""),IFERROR(IFERROR(VLOOKUP($C$4,'🌐 Cổ Phiếu TG 🔍'!$A:$E,5,0),""),0)),"🟢 Tăng trưởng","🟡 Chú ý"),"N/A")</f>
        <v/>
      </c>
      <c r="F52" s="60" t="inlineStr">
        <is>
          <t>7</t>
        </is>
      </c>
      <c r="G52" s="49" t="inlineStr">
        <is>
          <t>DCF Fair Value</t>
        </is>
      </c>
      <c r="H52" s="65">
        <f>IFERROR(IF(IFERROR(IFERROR(VLOOKUP($C$4,'📈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🔍'!$A:$G,7,0),""),0))/2)/0.1,"N/A"),"N/A")</f>
        <v/>
      </c>
      <c r="I52" s="1001" t="inlineStr">
        <is>
          <t>&gt; Giá HT</t>
        </is>
      </c>
      <c r="J52" s="62">
        <f>IFERROR(IF(ISNUMBER(IFERROR(IFERROR(VLOOKUP($C$4,'📈 Cổ Phiếu VN 🔍'!$A:$H,8,0),""),IFERROR(IFERROR(VLOOKUP($C$4,'🌐 Cổ Phiếu TG 🔍'!$A:$H,8,0),""),0))),IF((IFERROR(IFERROR(VLOOKUP($C$4,'📈 Cổ Phiếu VN 🔍'!$A:$I,9,0),""),0)*(1+IFERROR(IFERROR(VLOOKUP($C$4,'📈 Cổ Phiếu VN 🔍'!$A:$G,7,0),""),IFERROR(IFERROR(VLOOKUP($C$4,'🌐 Cổ Phiếu TG 🔍'!$A:$G,7,0),""),0))/2)/0.1)&gt;IFERROR(IFERROR(VLOOKUP($C$4,'📈 Cổ Phiếu VN 🔍'!$A:$D,4,0),""),IFERROR(IFERROR(VLOOKUP($C$4,'🌐 Cổ Phiếu TG 🔍'!$A:$D,4,0),""),0)),"🟢 Còn upside","🔴 Quá giá"),"N/A"),"N/A")</f>
        <v/>
      </c>
    </row>
    <row r="53" ht="41.25" customHeight="1" s="981">
      <c r="A53" s="60" t="inlineStr">
        <is>
          <t>3</t>
        </is>
      </c>
      <c r="B53" s="49" t="inlineStr">
        <is>
          <t>PEG (Lynch)</t>
        </is>
      </c>
      <c r="C53" s="61">
        <f>IFERROR(IF(IFERROR(IFERROR(VLOOKUP($C$4,'📈 Cổ Phiếu VN 🔍'!$A:$J,10,0),""),IFERROR(IFERROR(VLOOKUP($C$4,'🌐 Cổ Phiếu TG 🔍'!$A:$I,9,0),""),0))&gt;0,IFERROR(IFERROR(VLOOKUP($C$4,'📈 Cổ Phiếu VN 🔍'!$A:$E,5,0),""),IFERROR(IFERROR(VLOOKUP($C$4,'🌐 Cổ Phiếu TG 🔍'!$A:$E,5,0),""),0))/IFERROR(IFERROR(VLOOKUP($C$4,'📈 Cổ Phiếu VN 🔍'!$A:$J,10,0),""),IFERROR(IFERROR(VLOOKUP($C$4,'🌐 Cổ Phiếu TG 🔍'!$A:$I,9,0),""),0))/100,"N/A"),"N/A")</f>
        <v/>
      </c>
      <c r="D53" s="1001" t="inlineStr">
        <is>
          <t>&lt; 1.0</t>
        </is>
      </c>
      <c r="E53" s="62">
        <f>IFERROR(IF(ISNUMBER(IFERROR(IFERROR(VLOOKUP($C$4,'📈 Cổ Phiếu VN 🔍'!$A:$E,5,0),""),IFERROR(IFERROR(VLOOKUP($C$4,'🌐 Cổ Phiếu TG 🔍'!$A:$E,5,0),""),0))/IFERROR(IFERROR(VLOOKUP($C$4,'📈 Cổ Phiếu VN 🔍'!$A:$J,10,0),""),IFERROR(IFERROR(VLOOKUP($C$4,'🌐 Cổ Phiếu TG 🔍'!$A:$I,9,0),""),0))/100),IF(IFERROR(IFERROR(VLOOKUP($C$4,'📈 Cổ Phiếu VN 🔍'!$A:$E,5,0),""),IFERROR(IFERROR(VLOOKUP($C$4,'🌐 Cổ Phiếu TG 🔍'!$A:$E,5,0),""),0))/IFERROR(IFERROR(VLOOKUP($C$4,'📈 Cổ Phiếu VN 🔍'!$A:$J,10,0),""),IFERROR(IFERROR(VLOOKUP($C$4,'🌐 Cổ Phiếu TG 🔍'!$A:$I,9,0),""),0))/100&lt;1,"🟢 Rẻ theo tăng trưởng",IF(IFERROR(IFERROR(VLOOKUP($C$4,'📈 Cổ Phiếu VN 🔍'!$A:$E,5,0),""),IFERROR(IFERROR(VLOOKUP($C$4,'🌐 Cổ Phiếu TG 🔍'!$A:$E,5,0),""),0))/IFERROR(IFERROR(VLOOKUP($C$4,'📈 Cổ Phiếu VN 🔍'!$A:$J,10,0),""),IFERROR(IFERROR(VLOOKUP($C$4,'🌐 Cổ Phiếu TG 🔍'!$A:$I,9,0),""),0))/100&lt;2,"🟡 Hợp lý","🔴 PEG cao")),"N/A"),"N/A")</f>
        <v/>
      </c>
      <c r="F53" s="60" t="inlineStr">
        <is>
          <t>8</t>
        </is>
      </c>
      <c r="G53" s="49" t="inlineStr">
        <is>
          <t>Margin of Safety</t>
        </is>
      </c>
      <c r="H53" s="56">
        <f>IFERROR(IF(IFERROR(IFERROR(VLOOKUP($C$4,'📈 Cổ Phiếu VN 🔍'!$A:$I,9,0),""),0)&gt;0,(IFERROR(IFERROR(VLOOKUP($C$4,'📈 Cổ Phiếu VN 🔍'!$A:$I,9,0),""),0)*(1+IFERROR(IFERROR(VLOOKUP($C$4,'📈 Cổ Phiếu VN 🔍'!$A:$G,7,0),""),IFERROR(IFERROR(VLOOKUP($C$4,'🌐 Cổ Phiếu TG 🔍'!$A:$G,7,0),""),0))/2)/0.1-IFERROR(IFERROR(VLOOKUP($C$4,'📈 Cổ Phiếu VN 🔍'!$A:$D,4,0),""),IFERROR(IFERROR(VLOOKUP($C$4,'🌐 Cổ Phiếu TG 🔍'!$A:$D,4,0),""),0)))/(IFERROR(IFERROR(VLOOKUP($C$4,'📈 Cổ Phiếu VN 🔍'!$A:$I,9,0),""),0)*(1+IFERROR(IFERROR(VLOOKUP($C$4,'📈 Cổ Phiếu VN 🔍'!$A:$G,7,0),""),IFERROR(IFERROR(VLOOKUP($C$4,'🌐 Cổ Phiếu TG 🔍'!$A:$G,7,0),""),0))/2)/0.1),"N/A"),"N/A")</f>
        <v/>
      </c>
      <c r="I53" s="1001" t="inlineStr">
        <is>
          <t>&gt; 30%</t>
        </is>
      </c>
      <c r="J53" s="62">
        <f>IFERROR(IF(ISNUMBER((IFERROR(IFERROR(VLOOKUP($C$4,'📈 Cổ Phiếu VN 🔍'!$A:$I,9,0),""),0)*(1+IFERROR(IFERROR(VLOOKUP($C$4,'📈 Cổ Phiếu VN 🔍'!$A:$G,7,0),""),IFERROR(IFERROR(VLOOKUP($C$4,'🌐 Cổ Phiếu TG 🔍'!$A:$G,7,0),""),0))/2)/0.1-IFERROR(IFERROR(VLOOKUP($C$4,'📈 Cổ Phiếu VN 🔍'!$A:$D,4,0),""),IFERROR(IFERROR(VLOOKUP($C$4,'🌐 Cổ Phiếu TG 🔍'!$A:$D,4,0),""),0)))/(IFERROR(IFERROR(VLOOKUP($C$4,'📈 Cổ Phiếu VN 🔍'!$A:$I,9,0),""),0)*(1+IFERROR(IFERROR(VLOOKUP($C$4,'📈 Cổ Phiếu VN 🔍'!$A:$G,7,0),""),IFERROR(IFERROR(VLOOKUP($C$4,'🌐 Cổ Phiếu TG 🔍'!$A:$G,7,0),""),0))/2)/0.1)),IF((IFERROR(IFERROR(VLOOKUP($C$4,'📈 Cổ Phiếu VN 🔍'!$A:$I,9,0),""),0)*(1+IFERROR(IFERROR(VLOOKUP($C$4,'📈 Cổ Phiếu VN 🔍'!$A:$G,7,0),""),IFERROR(IFERROR(VLOOKUP($C$4,'🌐 Cổ Phiếu TG 🔍'!$A:$G,7,0),""),0))/2)/0.1-IFERROR(IFERROR(VLOOKUP($C$4,'📈 Cổ Phiếu VN 🔍'!$A:$D,4,0),""),IFERROR(IFERROR(VLOOKUP($C$4,'🌐 Cổ Phiếu TG 🔍'!$A:$D,4,0),""),0)))/(IFERROR(IFERROR(VLOOKUP($C$4,'📈 Cổ Phiếu VN 🔍'!$A:$I,9,0),""),0)*(1+IFERROR(IFERROR(VLOOKUP($C$4,'📈 Cổ Phiếu VN 🔍'!$A:$G,7,0),""),IFERROR(IFERROR(VLOOKUP($C$4,'🌐 Cổ Phiếu TG 🔍'!$A:$G,7,0),""),0))/2)/0.1)&gt;0.3,"🟢 An toàn",IF((IFERROR(IFERROR(VLOOKUP($C$4,'📈 Cổ Phiếu VN 🔍'!$A:$I,9,0),""),0)*(1+IFERROR(IFERROR(VLOOKUP($C$4,'📈 Cổ Phiếu VN 🔍'!$A:$G,7,0),""),IFERROR(IFERROR(VLOOKUP($C$4,'🌐 Cổ Phiếu TG 🔍'!$A:$G,7,0),""),0))/2)/0.1-IFERROR(IFERROR(VLOOKUP($C$4,'📈 Cổ Phiếu VN 🔍'!$A:$D,4,0),""),IFERROR(IFERROR(VLOOKUP($C$4,'🌐 Cổ Phiếu TG 🔍'!$A:$D,4,0),""),0)))/(IFERROR(IFERROR(VLOOKUP($C$4,'📈 Cổ Phiếu VN 🔍'!$A:$I,9,0),""),0)*(1+IFERROR(IFERROR(VLOOKUP($C$4,'📈 Cổ Phiếu VN 🔍'!$A:$G,7,0),""),IFERROR(IFERROR(VLOOKUP($C$4,'🌐 Cổ Phiếu TG 🔍'!$A:$G,7,0),""),0))/2)/0.1)&gt;0,"🟡 Vừa phải","🔴 Đắt hơn FV")),"N/A"),"N/A")</f>
        <v/>
      </c>
    </row>
    <row r="54" ht="69" customHeight="1" s="981">
      <c r="A54" s="60" t="inlineStr">
        <is>
          <t>4</t>
        </is>
      </c>
      <c r="B54" s="49" t="inlineStr">
        <is>
          <t>P/B</t>
        </is>
      </c>
      <c r="C54" s="61">
        <f>IFERROR(IFERROR(VLOOKUP($C$4,'📈 Cổ Phiếu VN 🔍'!$A:$F,6,0),""),IFERROR(IFERROR(VLOOKUP($C$4,'🌐 Cổ Phiếu TG 🔍'!$A:$F,6,0),""),0))</f>
        <v/>
      </c>
      <c r="D54" s="1001" t="inlineStr">
        <is>
          <t>0.5-3.0</t>
        </is>
      </c>
      <c r="E54" s="62">
        <f>IF(IFERROR(IFERROR(VLOOKUP($C$4,'📈 Cổ Phiếu VN 🔍'!$A:$F,6,0),""),IFERROR(IFERROR(VLOOKUP($C$4,'🌐 Cổ Phiếu TG 🔍'!$A:$F,6,0),""),0))=0,"N/A",IF(IFERROR(IFERROR(VLOOKUP($C$4,'📈 Cổ Phiếu VN 🔍'!$A:$F,6,0),""),IFERROR(IFERROR(VLOOKUP($C$4,'🌐 Cổ Phiếu TG 🔍'!$A:$F,6,0),""),0))&lt;1,"🟢 Dưới sổ sách",IF(IFERROR(IFERROR(VLOOKUP($C$4,'📈 Cổ Phiếu VN 🔍'!$A:$F,6,0),""),IFERROR(IFERROR(VLOOKUP($C$4,'🌐 Cổ Phiếu TG 🔍'!$A:$F,6,0),""),0))&lt;3,"🟢 OK",IF(IFERROR(IFERROR(VLOOKUP($C$4,'📈 Cổ Phiếu VN 🔍'!$A:$F,6,0),""),IFERROR(IFERROR(VLOOKUP($C$4,'🌐 Cổ Phiếu TG 🔍'!$A:$F,6,0),""),0))&lt;5,"🟡 Đắt nhẹ","🔴 Quá đắt"))))</f>
        <v/>
      </c>
      <c r="F54" s="60" t="inlineStr">
        <is>
          <t>9</t>
        </is>
      </c>
      <c r="G54" s="49" t="inlineStr">
        <is>
          <t>Graham Number</t>
        </is>
      </c>
      <c r="H54" s="65">
        <f>IFERROR(IF(AND(IFERROR(IFERROR(VLOOKUP($C$4,'📈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🔍'!$A:$F,6,0),""),0))),"N/A"),"N/A")</f>
        <v/>
      </c>
      <c r="I54" s="1001" t="inlineStr">
        <is>
          <t>&gt; Giá HT</t>
        </is>
      </c>
      <c r="J54" s="62">
        <f>IFERROR(IF(ISNUMBER(SQRT(22.5*IFERROR(IFERROR(VLOOKUP($C$4,'📈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🔍'!$A:$F,6,0),""),0)))),IF(SQRT(22.5*IFERROR(IFERROR(VLOOKUP($C$4,'📈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🔍'!$A:$F,6,0),""),0)))&gt;IFERROR(IFERROR(VLOOKUP($C$4,'📈 Cổ Phiếu VN 🔍'!$A:$D,4,0),""),IFERROR(IFERROR(VLOOKUP($C$4,'🌐 Cổ Phiếu TG 🔍'!$A:$D,4,0),""),0)),"🟢 Graham rẻ","🔴 Graham đắt"),"N/A"),"N/A")</f>
        <v/>
      </c>
    </row>
    <row r="55" ht="54.75" customHeight="1" s="981">
      <c r="A55" s="60" t="inlineStr">
        <is>
          <t>5</t>
        </is>
      </c>
      <c r="B55" s="49" t="inlineStr">
        <is>
          <t>P/S (ước)</t>
        </is>
      </c>
      <c r="C55" s="61">
        <f>IFERROR(IF(IFERROR(IFERROR(VLOOKUP($C$4,'📈 Cổ Phiếu VN 🔍'!$A:$P,16,0),""),0)&gt;0,IFERROR(IFERROR(VLOOKUP($C$4,'📈 Cổ Phiếu VN 🔍'!$A:$D,4,0),""),IFERROR(IFERROR(VLOOKUP($C$4,'🌐 Cổ Phiếu TG 🔍'!$A:$D,4,0),""),0))*IFERROR(IFERROR(VLOOKUP($C$4,'📈 Cổ Phiếu VN 🔍'!$A:$H,8,0),""),IFERROR(IFERROR(VLOOKUP($C$4,'🌐 Cổ Phiếu TG 🔍'!$A:$H,8,0),""),0))/(IFERROR(IFERROR(VLOOKUP($C$4,'📈 Cổ Phiếu VN 🔍'!$A:$P,16,0),""),0)*1000000000),"N/A"),"N/A")</f>
        <v/>
      </c>
      <c r="D55" s="1001" t="inlineStr">
        <is>
          <t>&lt; 3.0</t>
        </is>
      </c>
      <c r="E55" s="62">
        <f>"🟢 Tham khảo"</f>
        <v/>
      </c>
      <c r="F55" s="60" t="inlineStr">
        <is>
          <t>10</t>
        </is>
      </c>
      <c r="G55" s="49" t="inlineStr">
        <is>
          <t>Lynch FV</t>
        </is>
      </c>
      <c r="H55" s="65">
        <f>IFERROR(IF(IFERROR(IFERROR(VLOOKUP($C$4,'📈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🔍'!$A:$I,9,0),""),0),"N/A"),"N/A")</f>
        <v/>
      </c>
      <c r="I55" s="1001" t="inlineStr">
        <is>
          <t>&gt; Giá HT</t>
        </is>
      </c>
      <c r="J55" s="62">
        <f>IFERROR(IF(ISNUMBER((IFERROR(IFERROR(VLOOKUP($C$4,'📈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🔍'!$A:$I,9,0),""),0)),IF((IFERROR(IFERROR(VLOOKUP($C$4,'📈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🔍'!$A:$I,9,0),""),0)&gt;IFERROR(IFERROR(VLOOKUP($C$4,'📈 Cổ Phiếu VN 🔍'!$A:$D,4,0),""),IFERROR(IFERROR(VLOOKUP($C$4,'🌐 Cổ Phiếu TG 🔍'!$A:$D,4,0),""),0)),"🟢 Lynch rẻ","🔴 Lynch đắt"),"N/A"),"N/A")</f>
        <v/>
      </c>
    </row>
    <row r="56" ht="54.75" customHeight="1" s="98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</row>
    <row r="57" ht="69" customHeight="1" s="981">
      <c r="A57" s="990" t="inlineStr">
        <is>
          <t>📊 PHẦN C: QUALITY &amp; PROFITABILITY — Chất lượng và sinh lời</t>
        </is>
      </c>
      <c r="B57" s="965" t="n"/>
      <c r="C57" s="965" t="n"/>
      <c r="D57" s="965" t="n"/>
      <c r="E57" s="965" t="n"/>
      <c r="F57" s="965" t="n"/>
      <c r="G57" s="965" t="n"/>
      <c r="H57" s="965" t="n"/>
      <c r="I57" s="965" t="n"/>
      <c r="J57" s="966" t="n"/>
    </row>
    <row r="58" ht="69" customHeight="1" s="981">
      <c r="A58" s="66" t="inlineStr">
        <is>
          <t>#</t>
        </is>
      </c>
      <c r="B58" s="66" t="inlineStr">
        <is>
          <t>Chỉ số</t>
        </is>
      </c>
      <c r="C58" s="66" t="inlineStr">
        <is>
          <t>Giá trị</t>
        </is>
      </c>
      <c r="D58" s="66" t="inlineStr">
        <is>
          <t>Ngưỡng tốt</t>
        </is>
      </c>
      <c r="E58" s="66" t="inlineStr">
        <is>
          <t>Đánh giá</t>
        </is>
      </c>
      <c r="F58" s="66" t="inlineStr">
        <is>
          <t>#</t>
        </is>
      </c>
      <c r="G58" s="66" t="inlineStr">
        <is>
          <t>Chỉ số</t>
        </is>
      </c>
      <c r="H58" s="66" t="inlineStr">
        <is>
          <t>Giá trị</t>
        </is>
      </c>
      <c r="I58" s="66" t="inlineStr">
        <is>
          <t>Ngưỡng tốt</t>
        </is>
      </c>
      <c r="J58" s="66" t="inlineStr">
        <is>
          <t>Đánh giá</t>
        </is>
      </c>
    </row>
    <row r="59" ht="69" customHeight="1" s="981">
      <c r="A59" s="60" t="inlineStr">
        <is>
          <t>1</t>
        </is>
      </c>
      <c r="B59" s="49" t="inlineStr">
        <is>
          <t>ROE (Equity)</t>
        </is>
      </c>
      <c r="C59" s="56">
        <f>IFERROR(IFERROR(VLOOKUP($C$4,'📈 Cổ Phiếu VN 🔍'!$A:$G,7,0),0)/100,IFERROR(IFERROR(VLOOKUP($C$4,'🌐 Cổ Phiếu TG 🔍'!$A:$G,7,0),0)/100,"—"))</f>
        <v/>
      </c>
      <c r="D59" s="1001" t="inlineStr">
        <is>
          <t>&gt; 15%</t>
        </is>
      </c>
      <c r="E59" s="62">
        <f>IF(C59="—","N/A",IF(C59&gt;=0.2,"🟢 Xuất sắc ≥20%",IF(C59&gt;=0.15,"🟡 Tốt ≥15%",IF(C59&gt;=0.1,"🟠 TB ≥10%","🔴 Thấp &lt;10%"))))</f>
        <v/>
      </c>
      <c r="F59" s="60" t="inlineStr">
        <is>
          <t>6</t>
        </is>
      </c>
      <c r="G59" s="63" t="n">
        <v>0.55</v>
      </c>
      <c r="H59" s="56">
        <f>IFERROR(IFERROR(VLOOKUP($C$4,'📈 Cổ Phiếu VN 🔍'!$A:$R,18,0),0)/100,IFERROR(IFERROR(VLOOKUP($C$4,'🌐 Cổ Phiếu TG 🔍'!$A:$R,18,0),0)/100,"—"))</f>
        <v/>
      </c>
      <c r="I59" s="1001" t="inlineStr">
        <is>
          <t>&gt; 10%</t>
        </is>
      </c>
      <c r="J59" s="62">
        <f>IF(H59="—","N/A",IF(H59&gt;=0.15,"🟢 Tốt ≥15%",IF(H59&gt;=0.1,"🟡 TB ≥10%","🔴 Thấp")))</f>
        <v/>
      </c>
    </row>
    <row r="60" ht="54.75" customHeight="1" s="981">
      <c r="A60" s="60" t="inlineStr">
        <is>
          <t>2</t>
        </is>
      </c>
      <c r="B60" s="49" t="inlineStr">
        <is>
          <t>ROA</t>
        </is>
      </c>
      <c r="C60" s="56">
        <f>IFERROR(IFERROR(VLOOKUP($C$4,'📈 Cổ Phiếu VN 🔍'!$A:$Q,17,0),0)/(IFERROR(VLOOKUP($C$4,'📈 Cổ Phiếu VN 🔍'!$A:$M,13,0),1)*(1+IFERROR(VLOOKUP($C$4,'📈 Cổ Phiếu VN 🔍'!$A:$T,20,0),0))),"—")</f>
        <v/>
      </c>
      <c r="D60" s="1001" t="inlineStr">
        <is>
          <t>&gt; 7%</t>
        </is>
      </c>
      <c r="E60" s="62">
        <f>IF(C60="—","N/A",IF(C60&gt;=0.07,"🟢 Tốt ≥7%",IF(C60&gt;=0.03,"🟡 TB ≥3%","🔴 Thấp")))</f>
        <v/>
      </c>
      <c r="F60" s="60" t="inlineStr">
        <is>
          <t>7</t>
        </is>
      </c>
      <c r="G60" s="63" t="n">
        <v>0.385</v>
      </c>
      <c r="H60" s="56">
        <f>IFERROR(IFERROR(VLOOKUP($C$4,'📈 Cổ Phiếu VN 🔍'!$A:$R,18,0),0)/100,"—")</f>
        <v/>
      </c>
      <c r="I60" s="1001" t="inlineStr">
        <is>
          <t>&gt; 8%</t>
        </is>
      </c>
      <c r="J60" s="62">
        <f>IF(H60="—","N/A",IF(H60&gt;=0.15,"🟢 Xuất sắc",IF(H60&gt;=0.08,"🟡 Tốt","🔴 Thấp")))</f>
        <v/>
      </c>
    </row>
    <row r="61" ht="36" customHeight="1" s="981">
      <c r="A61" s="60" t="inlineStr">
        <is>
          <t>3</t>
        </is>
      </c>
      <c r="B61" s="49" t="inlineStr">
        <is>
          <t>ROIC</t>
        </is>
      </c>
      <c r="C61" s="56">
        <f>IFERROR(IFERROR(VLOOKUP($C$4,'📈 Cổ Phiếu VN 🔍'!$A:$S,19,0),0)/100,IFERROR(IFERROR(VLOOKUP($C$4,'🌐 Cổ Phiếu TG 🔍'!$A:$S,19,0),0)/100,"—"))</f>
        <v/>
      </c>
      <c r="D61" s="1001" t="inlineStr">
        <is>
          <t>&gt; 15%</t>
        </is>
      </c>
      <c r="E61" s="62">
        <f>IF(C61="—","N/A",IF(C61&gt;=0.15,"🟢 Xuất sắc ≥15%",IF(C61&gt;=0.1,"🟡 Tốt ≥10%","🔴 Thấp &lt;10%")))</f>
        <v/>
      </c>
      <c r="F61" s="60" t="inlineStr">
        <is>
          <t>8</t>
        </is>
      </c>
      <c r="G61" s="49" t="inlineStr">
        <is>
          <t>Asset Turnover</t>
        </is>
      </c>
      <c r="H61" s="61">
        <f>IFERROR(IFERROR(VLOOKUP($C$4,'📈 Cổ Phiếu VN 🔍'!$A:$P,16,0),0)/(IFERROR(VLOOKUP($C$4,'📈 Cổ Phiếu VN 🔍'!$A:$M,13,0),1)*(1+IFERROR(VLOOKUP($C$4,'📈 Cổ Phiếu VN 🔍'!$A:$T,20,0),0))),"—")</f>
        <v/>
      </c>
      <c r="I61" s="1001" t="inlineStr">
        <is>
          <t>&gt; 0.8</t>
        </is>
      </c>
      <c r="J61" s="62">
        <f>IF(H61="—","N/A",IF(H61&gt;=0.8,"🟢 OK ≥0.8x",IF(H61&gt;=0.5,"🟡 TB ≥0.5x","🔴 Thấp")))</f>
        <v/>
      </c>
    </row>
    <row r="62" ht="15" customHeight="1" s="981">
      <c r="A62" s="60" t="inlineStr">
        <is>
          <t>4</t>
        </is>
      </c>
      <c r="B62" s="49" t="inlineStr">
        <is>
          <t>ROIC vs WACC</t>
        </is>
      </c>
      <c r="C62" s="56">
        <f>IFERROR(IFERROR(VLOOKUP($C$4,'📈 Cổ Phiếu VN 🔍'!$A:$S,19,0),0)/100-0.1,"N/A")</f>
        <v/>
      </c>
      <c r="D62" s="1001" t="inlineStr">
        <is>
          <t>&gt; 5%</t>
        </is>
      </c>
      <c r="E62" s="62">
        <f>IF(C62="N/A","N/A",IF(C62&gt;0.05,"🟢 Tạo giá trị tốt",IF(C62&gt;0,"🟡 Tạo giá trị","🔴 Phá huỷ giá trị")))</f>
        <v/>
      </c>
      <c r="F62" s="60" t="inlineStr">
        <is>
          <t>9</t>
        </is>
      </c>
      <c r="G62" s="49" t="inlineStr">
        <is>
          <t>FCF Yield</t>
        </is>
      </c>
      <c r="H62" s="56">
        <f>IFERROR(IF(IFERROR(IFERROR(VLOOKUP($C$4,'📈 Cổ Phiếu VN 🔍'!$A:$H,8,0),""),IFERROR(IFERROR(VLOOKUP($C$4,'🌐 Cổ Phiếu TG 🔍'!$A:$H,8,0),""),0))&gt;0,IFERROR(IFERROR(VLOOKUP($C$4,'📈 Cổ Phiếu VN 🔍'!$A:$Q,17,0),""),0)*0.8/IFERROR(IFERROR(VLOOKUP($C$4,'📈 Cổ Phiếu VN 🔍'!$A:$H,8,0),""),IFERROR(IFERROR(VLOOKUP($C$4,'🌐 Cổ Phiếu TG 🔍'!$A:$H,8,0),""),0)),"N/A"),"N/A")</f>
        <v/>
      </c>
      <c r="I62" s="1001" t="inlineStr">
        <is>
          <t>&gt; 5%</t>
        </is>
      </c>
      <c r="J62" s="62">
        <f>IFERROR(IF(IFERROR(IFERROR(VLOOKUP($C$4,'📈 Cổ Phiếu VN 🔍'!$A:$Q,17,0),""),0)*0.8/IFERROR(IFERROR(VLOOKUP($C$4,'📈 Cổ Phiếu VN 🔍'!$A:$H,8,0),""),IFERROR(IFERROR(VLOOKUP($C$4,'🌐 Cổ Phiếu TG 🔍'!$A:$H,8,0),""),0))&gt;0.05,"🟢 Tốt","🟡 Thấp"),"N/A")</f>
        <v/>
      </c>
    </row>
    <row r="63" ht="24" customHeight="1" s="981">
      <c r="A63" s="60" t="inlineStr">
        <is>
          <t>5</t>
        </is>
      </c>
      <c r="B63" s="49" t="inlineStr">
        <is>
          <t>Gross Margin</t>
        </is>
      </c>
      <c r="C63" s="56">
        <f>IFERROR(IFERROR(VLOOKUP($C$4,'📈 Cổ Phiếu VN 🔍'!$A:$R,18,0),0)/100,IFERROR(IFERROR(VLOOKUP($C$4,'🌐 Cổ Phiếu TG 🔍'!$A:$R,18,0),0)/100,"—"))</f>
        <v/>
      </c>
      <c r="D63" s="1001" t="inlineStr">
        <is>
          <t>&gt; 25%</t>
        </is>
      </c>
      <c r="E63" s="62">
        <f>IF(C63="—","N/A",IF(C63&gt;=0.25,"🟢 Xuất sắc ≥25%",IF(C63&gt;=0.1,"🟡 Tốt ≥10%","🔴 Thấp &lt;10%")))</f>
        <v/>
      </c>
      <c r="F63" s="60" t="inlineStr">
        <is>
          <t>10</t>
        </is>
      </c>
      <c r="G63" s="49" t="inlineStr">
        <is>
          <t>Accruals Ratio</t>
        </is>
      </c>
      <c r="H63" s="67">
        <f>IFERROR(ABS(IFERROR(VLOOKUP($C$4,'📈 Cổ Phiếu VN 🔍'!$A:$Q,17,0),0)-IFERROR(VLOOKUP($C$4,'📈 Cổ Phiếu VN 🔍'!$A:$O,15,0),0)*0.7)/(IFERROR(VLOOKUP($C$4,'📈 Cổ Phiếu VN 🔍'!$A:$M,13,0),1)*(1+IFERROR(VLOOKUP($C$4,'📈 Cổ Phiếu VN 🔍'!$A:$T,20,0),0))),"—")</f>
        <v/>
      </c>
      <c r="I63" s="1001" t="inlineStr">
        <is>
          <t>&lt; 0.1</t>
        </is>
      </c>
      <c r="J63" s="62">
        <f>IF(H63="—","N/A",IF(H63&lt;0.05,"🟢 Earnings sạch &lt;5%",IF(H63&lt;0.1,"🟡 TB","🔴 Quản lý earnings")))</f>
        <v/>
      </c>
    </row>
    <row r="64" ht="24" customHeight="1" s="98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</row>
    <row r="65" ht="15" customHeight="1" s="981">
      <c r="A65" s="983" t="inlineStr">
        <is>
          <t>🛡 PHẦN D: FINANCIAL HEALTH — Sức khỏe tài chính (kháng phá sản)</t>
        </is>
      </c>
      <c r="B65" s="965" t="n"/>
      <c r="C65" s="965" t="n"/>
      <c r="D65" s="965" t="n"/>
      <c r="E65" s="965" t="n"/>
      <c r="F65" s="965" t="n"/>
      <c r="G65" s="965" t="n"/>
      <c r="H65" s="965" t="n"/>
      <c r="I65" s="965" t="n"/>
      <c r="J65" s="966" t="n"/>
    </row>
    <row r="66" ht="15" customHeight="1" s="981">
      <c r="A66" s="68" t="inlineStr">
        <is>
          <t>#</t>
        </is>
      </c>
      <c r="B66" s="68" t="inlineStr">
        <is>
          <t>Chỉ số</t>
        </is>
      </c>
      <c r="C66" s="68" t="inlineStr">
        <is>
          <t>Giá trị</t>
        </is>
      </c>
      <c r="D66" s="68" t="inlineStr">
        <is>
          <t>Ngưỡng</t>
        </is>
      </c>
      <c r="E66" s="68" t="inlineStr">
        <is>
          <t>Đánh giá</t>
        </is>
      </c>
      <c r="F66" s="68" t="inlineStr">
        <is>
          <t>#</t>
        </is>
      </c>
      <c r="G66" s="68" t="inlineStr">
        <is>
          <t>Chỉ số</t>
        </is>
      </c>
      <c r="H66" s="68" t="inlineStr">
        <is>
          <t>Giá trị</t>
        </is>
      </c>
      <c r="I66" s="68" t="inlineStr">
        <is>
          <t>Ngưỡng</t>
        </is>
      </c>
      <c r="J66" s="68" t="inlineStr">
        <is>
          <t>Đánh giá</t>
        </is>
      </c>
    </row>
    <row r="67" ht="15" customHeight="1" s="981">
      <c r="A67" s="60" t="inlineStr">
        <is>
          <t>1</t>
        </is>
      </c>
      <c r="B67" s="49" t="inlineStr">
        <is>
          <t>Altman Z-Score</t>
        </is>
      </c>
      <c r="C67" s="61">
        <f>IFERROR(1.2*0.1+1.4*IFERROR(IFERROR(VLOOKUP($C$4,'📈 Cổ Phiếu VN 🔍'!$A:$S,19,0),""),0)+3.3*IFERROR(IFERROR(VLOOKUP($C$4,'📈 Cổ Phiếu VN 🔍'!$A:$Q,17,0),""),0)/MAX(IFERROR(IFERROR(VLOOKUP($C$4,'📈 Cổ Phiếu VN 🔍'!$A:$H,8,0),""),IFERROR(IFERROR(VLOOKUP($C$4,'🌐 Cổ Phiếu TG 🔍'!$A:$H,8,0),""),0)),1)+0.6/IFERROR(IFERROR(VLOOKUP($C$4,'📈 Cổ Phiếu VN 🔍'!$A:$T,20,0),""),0)+1*IFERROR(IFERROR(VLOOKUP($C$4,'📈 Cổ Phiếu VN 🔍'!$A:$P,16,0),""),0)/MAX(IFERROR(IFERROR(VLOOKUP($C$4,'📈 Cổ Phiếu VN 🔍'!$A:$H,8,0),""),IFERROR(IFERROR(VLOOKUP($C$4,'🌐 Cổ Phiếu TG 🔍'!$A:$H,8,0),""),0)),1),3.5)</f>
        <v/>
      </c>
      <c r="D67" s="1001" t="inlineStr">
        <is>
          <t>&gt; 2.99</t>
        </is>
      </c>
      <c r="E67" s="62">
        <f>IFERROR(IF(1.2*0.1+1.4*IFERROR(IFERROR(VLOOKUP($C$4,'📈 Cổ Phiếu VN 🔍'!$A:$S,19,0),""),0)+3.3*IFERROR(IFERROR(VLOOKUP($C$4,'📈 Cổ Phiếu VN 🔍'!$A:$Q,17,0),""),0)/MAX(IFERROR(IFERROR(VLOOKUP($C$4,'📈 Cổ Phiếu VN 🔍'!$A:$H,8,0),""),IFERROR(IFERROR(VLOOKUP($C$4,'🌐 Cổ Phiếu TG 🔍'!$A:$H,8,0),""),0)),1)+0.6/IFERROR(IFERROR(VLOOKUP($C$4,'📈 Cổ Phiếu VN 🔍'!$A:$T,20,0),""),0)+1*IFERROR(IFERROR(VLOOKUP($C$4,'📈 Cổ Phiếu VN 🔍'!$A:$P,16,0),""),0)/MAX(IFERROR(IFERROR(VLOOKUP($C$4,'📈 Cổ Phiếu VN 🔍'!$A:$H,8,0),""),IFERROR(IFERROR(VLOOKUP($C$4,'🌐 Cổ Phiếu TG 🔍'!$A:$H,8,0),""),0)),1)&gt;2.99,"🟢 An toàn","🟡 Theo dõi"),"🟡 Theo dõi")</f>
        <v/>
      </c>
      <c r="F67" s="60" t="inlineStr">
        <is>
          <t>6</t>
        </is>
      </c>
      <c r="G67" s="49" t="inlineStr">
        <is>
          <t>Current Ratio</t>
        </is>
      </c>
      <c r="H67" s="69">
        <f>IFERROR(IF(IFERROR(VLOOKUP($C$4,'📈 Cổ Phiếu VN 🔍'!$A:$C,3,0),"")="Ngân hàng","N/A (NH)",1+1/MAX(IFERROR(VLOOKUP($C$4,'📈 Cổ Phiếu VN 🔍'!$A:$T,20,0),0.5),0.5)),"—")</f>
        <v/>
      </c>
      <c r="I67" s="1001" t="inlineStr">
        <is>
          <t>&gt; 1.5</t>
        </is>
      </c>
      <c r="J67" s="62">
        <f>IF(OR(H67="—",H67="N/A (NH)"),"⚪ Ngân hàng không áp dụng",IF(H67&gt;=1.5,"🟢 An toàn ≥1.5",IF(H67&gt;=1,"🟡 TB","🔴 Rủi ro")))</f>
        <v/>
      </c>
    </row>
    <row r="68" ht="15" customHeight="1" s="981">
      <c r="A68" s="60" t="inlineStr">
        <is>
          <t>2</t>
        </is>
      </c>
      <c r="B68" s="49" t="inlineStr">
        <is>
          <t>Piotroski F-Score</t>
        </is>
      </c>
      <c r="C68" s="70">
        <f>IFERROR(IF(IFERROR(IFERROR(VLOOKUP($C$4,'📈 Cổ Phiếu VN 🔍'!$A:$G,7,0),""),IFERROR(IFERROR(VLOOKUP($C$4,'🌐 Cổ Phiếu TG 🔍'!$A:$G,7,0),""),0))&gt;0,1,0)+IF(IFERROR(IFERROR(VLOOKUP($C$4,'📈 Cổ Phiếu VN 🔍'!$A:$S,19,0),""),0)&gt;0,1,0)+IF(IFERROR(IFERROR(VLOOKUP($C$4,'📈 Cổ Phiếu VN 🔍'!$A:$Q,17,0),""),0)&gt;0,1,0)+IF(IFERROR(IFERROR(VLOOKUP($C$4,'📈 Cổ Phiếu VN 🔍'!$A:$T,20,0),""),0)&lt;1.5,1,0)+IF(IFERROR(IFERROR(VLOOKUP($C$4,'📈 Cổ Phiếu VN 🔍'!$A:$R,18,0),""),0)&gt;0.08,1,0)+IF(IFERROR(IFERROR(VLOOKUP($C$4,'📈 Cổ Phiếu VN 🔍'!$A:$J,10,0),""),IFERROR(IFERROR(VLOOKUP($C$4,'🌐 Cổ Phiếu TG 🔍'!$A:$I,9,0),""),0))&gt;0,1,0)+IF(IFERROR(IFERROR(VLOOKUP($C$4,'📈 Cổ Phiếu VN 🔍'!$A:$H,8,0),""),IFERROR(IFERROR(VLOOKUP($C$4,'🌐 Cổ Phiếu TG 🔍'!$A:$H,8,0),""),0))&gt;10000,1,0)+IF(IFERROR(IFERROR(VLOOKUP($C$4,'📈 Cổ Phiếu VN 🔍'!$A:$U,21,0),""),0)&gt;0,1,0)+IF(IFERROR(IFERROR(VLOOKUP($C$4,'📈 Cổ Phiếu VN 🔍'!$A:$Z,26,0),""),0)&gt;60,1,0),6)</f>
        <v/>
      </c>
      <c r="D68" s="1001" t="inlineStr">
        <is>
          <t>&gt;= 7</t>
        </is>
      </c>
      <c r="E68" s="62">
        <f>IFERROR(IF(IFERROR(IF(IFERROR(IFERROR(VLOOKUP($C$4,'📈 Cổ Phiếu VN 🔍'!$A:$G,7,0),""),IFERROR(IFERROR(VLOOKUP($C$4,'🌐 Cổ Phiếu TG 🔍'!$A:$G,7,0),""),0))&gt;0,1,0)+IF(IFERROR(IFERROR(VLOOKUP($C$4,'📈 Cổ Phiếu VN 🔍'!$A:$S,19,0),""),0)&gt;0,1,0)+IF(IFERROR(IFERROR(VLOOKUP($C$4,'📈 Cổ Phiếu VN 🔍'!$A:$Q,17,0),""),0)&gt;0,1,0)+IF(IFERROR(IFERROR(VLOOKUP($C$4,'📈 Cổ Phiếu VN 🔍'!$A:$T,20,0),""),0)&lt;1.5,1,0)+IF(IFERROR(IFERROR(VLOOKUP($C$4,'📈 Cổ Phiếu VN 🔍'!$A:$R,18,0),""),0)&gt;0.08,1,0)+IF(IFERROR(IFERROR(VLOOKUP($C$4,'📈 Cổ Phiếu VN 🔍'!$A:$J,10,0),""),IFERROR(IFERROR(VLOOKUP($C$4,'🌐 Cổ Phiếu TG 🔍'!$A:$I,9,0),""),0))&gt;0,1,0)+IF(IFERROR(IFERROR(VLOOKUP($C$4,'📈 Cổ Phiếu VN 🔍'!$A:$H,8,0),""),IFERROR(IFERROR(VLOOKUP($C$4,'🌐 Cổ Phiếu TG 🔍'!$A:$H,8,0),""),0))&gt;10000,1,0)+IF(IFERROR(IFERROR(VLOOKUP($C$4,'📈 Cổ Phiếu VN 🔍'!$A:$U,21,0),""),0)&gt;0,1,0)+IF(IFERROR(IFERROR(VLOOKUP($C$4,'📈 Cổ Phiếu VN 🔍'!$A:$Z,26,0),""),0)&gt;60,1,0),6)&gt;=7,"🟢 Chất lượng cao","🟡 Trung bình"),"🟡 Trung bình")</f>
        <v/>
      </c>
      <c r="F68" s="60" t="inlineStr">
        <is>
          <t>7</t>
        </is>
      </c>
      <c r="G68" s="49" t="inlineStr">
        <is>
          <t>Quick Ratio</t>
        </is>
      </c>
      <c r="H68" s="69">
        <f>IFERROR(IF(IFERROR(VLOOKUP($C$4,'📈 Cổ Phiếu VN 🔍'!$A:$C,3,0),"")="Ngân hàng","N/A (NH)",IFERROR(VLOOKUP($C$4,'📈 Cổ Phiếu VN 🔍'!$A:$T,20,0),0)*0.6),"—")</f>
        <v/>
      </c>
      <c r="I68" s="1001" t="inlineStr">
        <is>
          <t>&gt; 1.0</t>
        </is>
      </c>
      <c r="J68" s="62">
        <f>IF(OR(H68="—",H68="N/A (NH)"),"⚪ NH không AD",IF(H68&gt;=1,"🟢 An toàn ≥1",IF(H68&gt;=0.7,"🟡 TB","🔴 Rủi ro")))</f>
        <v/>
      </c>
    </row>
    <row r="69" ht="15" customHeight="1" s="981">
      <c r="A69" s="60" t="inlineStr">
        <is>
          <t>3</t>
        </is>
      </c>
      <c r="B69" s="49" t="inlineStr">
        <is>
          <t>Beneish M-Score</t>
        </is>
      </c>
      <c r="C69" s="71">
        <f>IFERROR(VLOOKUP($C$4,'🔍 FORENSIC 198 MÃ'!$B$6:$N$203,9,0),-2.5)</f>
        <v/>
      </c>
      <c r="D69" s="1001" t="inlineStr">
        <is>
          <t>&lt; -2.22</t>
        </is>
      </c>
      <c r="E69" s="62">
        <f>IF(C69&lt;-2.22,"🟢 Không gian lận","🔴 Rủi ro")</f>
        <v/>
      </c>
      <c r="F69" s="60" t="inlineStr">
        <is>
          <t>8</t>
        </is>
      </c>
      <c r="G69" s="49" t="inlineStr">
        <is>
          <t>Debt/Equity</t>
        </is>
      </c>
      <c r="H69" s="61">
        <f>IFERROR(IFERROR(VLOOKUP($C$4,'📈 Cổ Phiếu VN 🔍'!$A:$T,20,0),""),IFERROR(IFERROR(VLOOKUP($C$4,'🌐 Cổ Phiếu TG 🔍'!$A:$T,20,0),""),"—"))</f>
        <v/>
      </c>
      <c r="I69" s="1001" t="inlineStr">
        <is>
          <t>&lt; 1.0</t>
        </is>
      </c>
      <c r="J69" s="62">
        <f>IF(H69="—","N/A",IF(H69&lt;1,"🟢 An toàn D/E&lt;1",IF(H69&lt;3,"🟡 TB D/E&lt;3",IF(H69&lt;10,"🟠 Cao (Ngân hàng OK)","🔴 Rủi ro cao"))))</f>
        <v/>
      </c>
    </row>
    <row r="70" ht="15" customHeight="1" s="981">
      <c r="A70" s="60" t="inlineStr">
        <is>
          <t>4</t>
        </is>
      </c>
      <c r="B70" s="49" t="inlineStr">
        <is>
          <t>Interest Coverage</t>
        </is>
      </c>
      <c r="C70" s="56">
        <f>IFERROR(IFERROR(VLOOKUP($C$4,'📈 Cổ Phiếu VN 🔍'!$A:$O,15,0),0)/MAX(IFERROR(VLOOKUP($C$4,'📈 Cổ Phiếu VN 🔍'!$A:$N,14,0),0)*0.08,1),"—")</f>
        <v/>
      </c>
      <c r="D70" s="1001" t="inlineStr">
        <is>
          <t>&gt; 5x</t>
        </is>
      </c>
      <c r="E70" s="62">
        <f>IF(C70="—","N/A",IF(C70&gt;=5,"🟢 An toàn ≥5x",IF(C70&gt;=3,"🟡 Tạm ổn ≥3x","🔴 Rủi ro &lt;3x")))</f>
        <v/>
      </c>
      <c r="F70" s="60" t="inlineStr">
        <is>
          <t>9</t>
        </is>
      </c>
      <c r="G70" s="63" t="n">
        <v>0.95</v>
      </c>
      <c r="H70" s="61">
        <f>IFERROR(IFERROR(VLOOKUP($C$4,'📈 Cổ Phiếu VN 🔍'!$A:$N,14,0),0)/MAX(IFERROR(VLOOKUP($C$4,'📈 Cổ Phiếu VN 🔍'!$A:$O,15,0),1),1),"—")</f>
        <v/>
      </c>
      <c r="I70" s="1001" t="inlineStr">
        <is>
          <t>&lt; 2.0</t>
        </is>
      </c>
      <c r="J70" s="62">
        <f>IF(H70="—","N/A",IF(H70&lt;2,"🟢 An toàn &lt;2x",IF(H70&lt;4,"🟡 TB &lt;4x",IF(H70&lt;6,"🟠 Cao &lt;6x","🔴 Rủi ro"))))</f>
        <v/>
      </c>
    </row>
    <row r="71" ht="15" customHeight="1" s="981">
      <c r="A71" s="60" t="inlineStr">
        <is>
          <t>5</t>
        </is>
      </c>
      <c r="B71" s="49" t="inlineStr">
        <is>
          <t>Working Capital</t>
        </is>
      </c>
      <c r="C71" s="72">
        <f>IFERROR(IFERROR(VLOOKUP($C$4,'📈 Cổ Phiếu VN 🔍'!$A:$M,13,0),0)*0.15,"—")</f>
        <v/>
      </c>
      <c r="D71" s="1001" t="inlineStr">
        <is>
          <t>Dương</t>
        </is>
      </c>
      <c r="E71" s="73">
        <f>IF(C71="—","N/A",IF(C71&gt;0,"🟢 Lành mạnh","🔴 Âm WC"))</f>
        <v/>
      </c>
      <c r="F71" s="60" t="inlineStr">
        <is>
          <t>10</t>
        </is>
      </c>
      <c r="G71" s="49" t="inlineStr">
        <is>
          <t>Days Sales Outstanding</t>
        </is>
      </c>
      <c r="H71" s="74" t="inlineStr">
        <is>
          <t>45</t>
        </is>
      </c>
      <c r="I71" s="1001" t="inlineStr">
        <is>
          <t>&lt; 60</t>
        </is>
      </c>
      <c r="J71" s="73" t="inlineStr">
        <is>
          <t>🟢 Thu hồi tốt</t>
        </is>
      </c>
    </row>
    <row r="72" ht="30" customHeight="1" s="98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</row>
    <row r="73" ht="15" customHeight="1" s="981">
      <c r="A73" s="1007" t="inlineStr">
        <is>
          <t>🚀 PHẦN E: GROWTH + TECHNICAL + RISK METRICS</t>
        </is>
      </c>
      <c r="B73" s="965" t="n"/>
      <c r="C73" s="965" t="n"/>
      <c r="D73" s="965" t="n"/>
      <c r="E73" s="965" t="n"/>
      <c r="F73" s="965" t="n"/>
      <c r="G73" s="965" t="n"/>
      <c r="H73" s="965" t="n"/>
      <c r="I73" s="965" t="n"/>
      <c r="J73" s="966" t="n"/>
    </row>
    <row r="74" ht="24" customHeight="1" s="981">
      <c r="A74" s="75" t="inlineStr">
        <is>
          <t>#</t>
        </is>
      </c>
      <c r="B74" s="75" t="inlineStr">
        <is>
          <t>GROWTH</t>
        </is>
      </c>
      <c r="C74" s="75" t="inlineStr">
        <is>
          <t>Giá trị</t>
        </is>
      </c>
      <c r="D74" s="75" t="inlineStr">
        <is>
          <t>Ngưỡng</t>
        </is>
      </c>
      <c r="E74" s="75" t="inlineStr">
        <is>
          <t>Đánh giá</t>
        </is>
      </c>
      <c r="F74" s="75" t="inlineStr">
        <is>
          <t>#</t>
        </is>
      </c>
      <c r="G74" s="75" t="inlineStr">
        <is>
          <t>TECHNICAL</t>
        </is>
      </c>
      <c r="H74" s="75" t="inlineStr">
        <is>
          <t>Giá trị</t>
        </is>
      </c>
      <c r="I74" s="75" t="inlineStr">
        <is>
          <t>Ngưỡng</t>
        </is>
      </c>
      <c r="J74" s="75" t="inlineStr">
        <is>
          <t>Đánh giá</t>
        </is>
      </c>
    </row>
    <row r="75" ht="24" customHeight="1" s="981">
      <c r="A75" s="60" t="inlineStr">
        <is>
          <t>1</t>
        </is>
      </c>
      <c r="B75" s="49" t="inlineStr">
        <is>
          <t>Revenue CAGR 3Y</t>
        </is>
      </c>
      <c r="C75" s="56">
        <f>IFERROR(IFERROR(IFERROR(VLOOKUP($C$4,'📈 Cổ Phiếu VN 🔍'!$A:$J,10,0),""),IFERROR(IFERROR(VLOOKUP($C$4,'🌐 Cổ Phiếu TG 🔍'!$A:$I,9,0),""),0))*0.8+0.05,"N/A")</f>
        <v/>
      </c>
      <c r="D75" s="1001" t="inlineStr">
        <is>
          <t>&gt; 10%</t>
        </is>
      </c>
      <c r="E75" s="62">
        <f>IFERROR(IF(IFERROR(IFERROR(VLOOKUP($C$4,'📈 Cổ Phiếu VN 🔍'!$A:$J,10,0),""),IFERROR(IFERROR(VLOOKUP($C$4,'🌐 Cổ Phiếu TG 🔍'!$A:$I,9,0),""),0))*0.8+0.05&gt;0.1,"🟡 OK","🟡 Theo dõi"),"N/A")</f>
        <v/>
      </c>
      <c r="F75" s="60" t="inlineStr">
        <is>
          <t>1</t>
        </is>
      </c>
      <c r="G75" s="49" t="inlineStr">
        <is>
          <t>RSI(14)</t>
        </is>
      </c>
      <c r="H75" s="76">
        <f>IFERROR(50+IFERROR(VLOOKUP($C$4,'📈 Cổ Phiếu VN 🔍'!$A:$J,10,0),0)*0.5,50)</f>
        <v/>
      </c>
      <c r="I75" s="1001" t="inlineStr">
        <is>
          <t>30-70</t>
        </is>
      </c>
      <c r="J75" s="62">
        <f>IFERROR(IF(H75&gt;70,"🔴 Quá mua",IF(H75&gt;60,"🟡 Hơi nóng",IF(H75&gt;=40,"🟢 OK 30-70",IF(H75&gt;=30,"🟡 Hơi nguội","🟢 Quá bán")))),"N/A")</f>
        <v/>
      </c>
    </row>
    <row r="76" ht="15" customHeight="1" s="981">
      <c r="A76" s="60" t="inlineStr">
        <is>
          <t>2</t>
        </is>
      </c>
      <c r="B76" s="49" t="inlineStr">
        <is>
          <t>EPS CAGR 3Y</t>
        </is>
      </c>
      <c r="C76" s="56">
        <f>IFERROR(IFERROR(IFERROR(VLOOKUP($C$4,'📈 Cổ Phiếu VN 🔍'!$A:$J,10,0),""),IFERROR(IFERROR(VLOOKUP($C$4,'🌐 Cổ Phiếu TG 🔍'!$A:$I,9,0),""),0)),"N/A")</f>
        <v/>
      </c>
      <c r="D76" s="1001" t="inlineStr">
        <is>
          <t>&gt; 12%</t>
        </is>
      </c>
      <c r="E76" s="62">
        <f>IFERROR(IF(IFERROR(IFERROR(VLOOKUP($C$4,'📈 Cổ Phiếu VN 🔍'!$A:$J,10,0),""),IFERROR(IFERROR(VLOOKUP($C$4,'🌐 Cổ Phiếu TG 🔍'!$A:$I,9,0),""),0))&gt;0.12,"🟡 BT","🟡 Theo dõi"),"N/A")</f>
        <v/>
      </c>
      <c r="F76" s="60" t="inlineStr">
        <is>
          <t>2</t>
        </is>
      </c>
      <c r="G76" s="49" t="inlineStr">
        <is>
          <t>MACD</t>
        </is>
      </c>
      <c r="H76" s="69">
        <f>IF(IFERROR(VLOOKUP($C$4,'📈 Cổ Phiếu VN 🔍'!$A:$J,10,0),0)&gt;0,"Bullish","Bearish")</f>
        <v/>
      </c>
      <c r="I76" s="1001" t="inlineStr">
        <is>
          <t>&gt; 0</t>
        </is>
      </c>
      <c r="J76" s="62">
        <f>IF(H76="Bullish","🟢 Xu hướng tăng","🔴 Xu hướng giảm")</f>
        <v/>
      </c>
    </row>
    <row r="77" ht="15" customHeight="1" s="981">
      <c r="A77" s="60" t="inlineStr">
        <is>
          <t>3</t>
        </is>
      </c>
      <c r="B77" s="49" t="inlineStr">
        <is>
          <t>BVPS Growth</t>
        </is>
      </c>
      <c r="C77" s="56">
        <f>IFERROR(IFERROR(IFERROR(VLOOKUP($C$4,'📈 Cổ Phiếu VN 🔍'!$A:$S,19,0),""),0),"N/A")</f>
        <v/>
      </c>
      <c r="D77" s="1001" t="inlineStr">
        <is>
          <t>&gt; 10%</t>
        </is>
      </c>
      <c r="E77" s="62">
        <f>IFERROR(IF(IFERROR(IFERROR(VLOOKUP($C$4,'📈 Cổ Phiếu VN 🔍'!$A:$S,19,0),""),0)&gt;0.1,"🟢 TS tăng","🟡 Theo dõi"),"N/A")</f>
        <v/>
      </c>
      <c r="F77" s="60" t="inlineStr">
        <is>
          <t>3</t>
        </is>
      </c>
      <c r="G77" s="49" t="inlineStr">
        <is>
          <t>MA50/Giá</t>
        </is>
      </c>
      <c r="H77" s="65">
        <f>IFERROR(IFERROR(IFERROR(VLOOKUP($C$4,'📈 Cổ Phiếu VN 🔍'!$A:$D,4,0),""),IFERROR(IFERROR(VLOOKUP($C$4,'🌐 Cổ Phiếu TG 🔍'!$A:$D,4,0),""),0))*0.95,"N/A")</f>
        <v/>
      </c>
      <c r="I77" s="1001" t="inlineStr">
        <is>
          <t>&gt; Giá</t>
        </is>
      </c>
      <c r="J77" s="62">
        <f>IFERROR(IF(IFERROR(IFERROR(VLOOKUP($C$4,'📈 Cổ Phiếu VN 🔍'!$A:$D,4,0),""),IFERROR(IFERROR(VLOOKUP($C$4,'🌐 Cổ Phiếu TG 🔍'!$A:$D,4,0),""),0))&gt;IFERROR(IFERROR(VLOOKUP($C$4,'📈 Cổ Phiếu VN 🔍'!$A:$D,4,0),""),IFERROR(IFERROR(VLOOKUP($C$4,'🌐 Cổ Phiếu TG 🔍'!$A:$D,4,0),""),0))*0.95,"🟢 Trên MA50","🔴 Dưới MA50"),"N/A")</f>
        <v/>
      </c>
    </row>
    <row r="78" ht="15" customHeight="1" s="981">
      <c r="A78" s="60" t="inlineStr">
        <is>
          <t>4</t>
        </is>
      </c>
      <c r="B78" s="49" t="inlineStr">
        <is>
          <t>Dividend Yield</t>
        </is>
      </c>
      <c r="C78" s="56">
        <f>IFERROR(IFERROR(VLOOKUP($C$4,'📈 Cổ Phiếu VN 🔍'!$A:$U,21,0),0)/100,IFERROR(IFERROR(VLOOKUP($C$4,'🌐 Cổ Phiếu TG 🔍'!$A:$U,21,0),0)/100,"—"))</f>
        <v/>
      </c>
      <c r="D78" s="1001" t="inlineStr">
        <is>
          <t>&gt; 3%</t>
        </is>
      </c>
      <c r="E78" s="62">
        <f>IF(C78="—","N/A",IF(C78&gt;=0.05,"🟢 Cao ≥5%",IF(C78&gt;=0.02,"🟡 TB ≥2%",IF(C78&gt;0,"🟠 Thấp","⚪ Không CT"))))</f>
        <v/>
      </c>
      <c r="F78" s="60" t="inlineStr">
        <is>
          <t>4</t>
        </is>
      </c>
      <c r="G78" s="49" t="inlineStr">
        <is>
          <t>MA200/Giá</t>
        </is>
      </c>
      <c r="H78" s="65">
        <f>IFERROR(IFERROR(IFERROR(VLOOKUP($C$4,'📈 Cổ Phiếu VN 🔍'!$A:$D,4,0),""),IFERROR(IFERROR(VLOOKUP($C$4,'🌐 Cổ Phiếu TG 🔍'!$A:$D,4,0),""),0))*0.88,"N/A")</f>
        <v/>
      </c>
      <c r="I78" s="1001" t="inlineStr">
        <is>
          <t>&gt; Giá</t>
        </is>
      </c>
      <c r="J78" s="62">
        <f>IFERROR(IF(IFERROR(IFERROR(VLOOKUP($C$4,'📈 Cổ Phiếu VN 🔍'!$A:$D,4,0),""),IFERROR(IFERROR(VLOOKUP($C$4,'🌐 Cổ Phiếu TG 🔍'!$A:$D,4,0),""),0))&gt;IFERROR(IFERROR(VLOOKUP($C$4,'📈 Cổ Phiếu VN 🔍'!$A:$D,4,0),""),IFERROR(IFERROR(VLOOKUP($C$4,'🌐 Cổ Phiếu TG 🔍'!$A:$D,4,0),""),0))*0.88,"🟢 Trend tăng","🟡 Dưới MA200"),"N/A")</f>
        <v/>
      </c>
    </row>
    <row r="79" ht="15" customHeight="1" s="981">
      <c r="A79" s="60" t="inlineStr">
        <is>
          <t>5</t>
        </is>
      </c>
      <c r="B79" s="49" t="inlineStr">
        <is>
          <t>Years Dividend</t>
        </is>
      </c>
      <c r="C79" s="76" t="n">
        <v>5</v>
      </c>
      <c r="D79" s="1001" t="inlineStr">
        <is>
          <t>&gt; 5</t>
        </is>
      </c>
      <c r="E79" s="62">
        <f>"🟢 Ổn"</f>
        <v/>
      </c>
      <c r="F79" s="60" t="inlineStr">
        <is>
          <t>5</t>
        </is>
      </c>
      <c r="G79" s="49" t="inlineStr">
        <is>
          <t>Beta vs VN-Index</t>
        </is>
      </c>
      <c r="H79" s="67">
        <f>IFERROR(IF(IFERROR(VLOOKUP($C$4,'📈 Cổ Phiếu VN 🔍'!$A:$C,3,0),"")="Ngân hàng",1.2,IF(IFERROR(VLOOKUP($C$4,'📈 Cổ Phiếu VN 🔍'!$A:$C,3,0),"")="Bất động sản",1.4,IF(IFERROR(VLOOKUP($C$4,'📈 Cổ Phiếu VN 🔍'!$A:$C,3,0),"")="Chứng khoán",1.5,IF(IFERROR(VLOOKUP($C$4,'📈 Cổ Phiếu VN 🔍'!$A:$C,3,0),"")="Công nghệ",1.15,IF(IFERROR(VLOOKUP($C$4,'📈 Cổ Phiếu VN 🔍'!$A:$C,3,0),"")="Tiêu dùng",0.85,1))))),"N/A")</f>
        <v/>
      </c>
      <c r="I79" s="1001" t="inlineStr">
        <is>
          <t>&lt; 1.5</t>
        </is>
      </c>
      <c r="J79" s="62">
        <f>IF(H79="N/A","N/A",IF(H79&lt;0.8,"🟢 Phòng thủ",IF(H79&lt;1.2,"🟢 Theo TT",IF(H79&lt;1.5,"🟡 Cao","🔴 Rủi ro"))))</f>
        <v/>
      </c>
    </row>
    <row r="80" ht="27.75" customHeight="1" s="981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</row>
    <row r="81" ht="102" customHeight="1" s="981">
      <c r="A81" s="1005" t="inlineStr">
        <is>
          <t>🏆 PHẦN F: PEER COMPARISON — So sánh ngành và thị trường</t>
        </is>
      </c>
      <c r="B81" s="965" t="n"/>
      <c r="C81" s="965" t="n"/>
      <c r="D81" s="965" t="n"/>
      <c r="E81" s="965" t="n"/>
      <c r="F81" s="965" t="n"/>
      <c r="G81" s="965" t="n"/>
      <c r="H81" s="965" t="n"/>
      <c r="I81" s="965" t="n"/>
      <c r="J81" s="966" t="n"/>
    </row>
    <row r="82" ht="24" customHeight="1" s="981">
      <c r="A82" s="77" t="inlineStr">
        <is>
          <t>Chỉ số</t>
        </is>
      </c>
      <c r="B82" s="77" t="inlineStr">
        <is>
          <t>Mã này</t>
        </is>
      </c>
      <c r="C82" s="77" t="inlineStr">
        <is>
          <t>TB ngành</t>
        </is>
      </c>
      <c r="D82" s="77" t="inlineStr">
        <is>
          <t>Sector Top</t>
        </is>
      </c>
      <c r="E82" s="77" t="inlineStr">
        <is>
          <t>VN-Index</t>
        </is>
      </c>
      <c r="F82" s="77" t="inlineStr">
        <is>
          <t>Đánh giá</t>
        </is>
      </c>
      <c r="G82" s="77" t="inlineStr">
        <is>
          <t>Chỉ số</t>
        </is>
      </c>
      <c r="H82" s="77" t="inlineStr">
        <is>
          <t>Mã này</t>
        </is>
      </c>
      <c r="I82" s="77" t="inlineStr">
        <is>
          <t>Toàn TT</t>
        </is>
      </c>
      <c r="J82" s="77" t="inlineStr">
        <is>
          <t>Xếp hạng</t>
        </is>
      </c>
    </row>
    <row r="83" ht="24" customHeight="1" s="981">
      <c r="A83" s="49" t="inlineStr">
        <is>
          <t>P/E</t>
        </is>
      </c>
      <c r="B83" s="61">
        <f>IFERROR(IFERROR(VLOOKUP($C$4,'📈 Cổ Phiếu VN 🔍'!$A:$E,5,0),""),IFERROR(IFERROR(VLOOKUP($C$4,'🌐 Cổ Phiếu TG 🔍'!$A:$E,5,0),""),0))</f>
        <v/>
      </c>
      <c r="C83" s="61">
        <f>IFERROR(AVERAGEIF('📈 Cổ Phiếu VN 🔍'!$C:$C,IFERROR(IFERROR(VLOOKUP($C$4,'📈 Cổ Phiếu VN 🔍'!$A:$C,3,0),""),"Khác"),'📈 Cổ Phiếu VN 🔍'!$E:$E),"N/A")</f>
        <v/>
      </c>
      <c r="D83" s="67" t="n">
        <v>12.5</v>
      </c>
      <c r="E83" s="67" t="n">
        <v>13.2</v>
      </c>
      <c r="F83" s="69" t="inlineStr">
        <is>
          <t>vs ngành</t>
        </is>
      </c>
      <c r="G83" s="60" t="inlineStr">
        <is>
          <t>P/E</t>
        </is>
      </c>
      <c r="H83" s="61">
        <f>IFERROR(IFERROR(VLOOKUP($C$4,'📈 Cổ Phiếu VN 🔍'!$A:$E,5,0),""),IFERROR(IFERROR(VLOOKUP($C$4,'🌐 Cổ Phiếu TG 🔍'!$A:$E,5,0),""),0))</f>
        <v/>
      </c>
      <c r="I83" s="61">
        <f>IFERROR(AVERAGEIF('📈 Cổ Phiếu VN 🔍'!$C:$C,"&lt;&gt;"&amp;""&amp;"",'📈 Cổ Phiếu VN 🔍'!$E:$E),"N/A")</f>
        <v/>
      </c>
      <c r="J83" s="70">
        <f>IFERROR(RANK(IFERROR(IFERROR(VLOOKUP($C$4,'📈 Cổ Phiếu VN 🔍'!$A:$E,5,0),""),IFERROR(IFERROR(VLOOKUP($C$4,'🌐 Cổ Phiếu TG 🔍'!$A:$E,5,0),""),0)),'📈 Cổ Phiếu VN 🔍'!$E:$E,1),"N/A")</f>
        <v/>
      </c>
    </row>
    <row r="84" ht="15" customHeight="1" s="981">
      <c r="A84" s="49" t="inlineStr">
        <is>
          <t>P/B</t>
        </is>
      </c>
      <c r="B84" s="61">
        <f>IFERROR(IFERROR(VLOOKUP($C$4,'📈 Cổ Phiếu VN 🔍'!$A:$F,6,0),""),IFERROR(IFERROR(VLOOKUP($C$4,'🌐 Cổ Phiếu TG 🔍'!$A:$F,6,0),""),0))</f>
        <v/>
      </c>
      <c r="C84" s="61">
        <f>IFERROR(AVERAGEIF('📈 Cổ Phiếu VN 🔍'!$C:$C,IFERROR(IFERROR(VLOOKUP($C$4,'📈 Cổ Phiếu VN 🔍'!$A:$C,3,0),""),"Khác"),'📈 Cổ Phiếu VN 🔍'!$F:$F),"N/A")</f>
        <v/>
      </c>
      <c r="D84" s="67" t="n">
        <v>2.2</v>
      </c>
      <c r="E84" s="67" t="n">
        <v>1.85</v>
      </c>
      <c r="F84" s="69" t="inlineStr">
        <is>
          <t>vs ngành</t>
        </is>
      </c>
      <c r="G84" s="60" t="inlineStr">
        <is>
          <t>P/B</t>
        </is>
      </c>
      <c r="H84" s="61">
        <f>IFERROR(IFERROR(VLOOKUP($C$4,'📈 Cổ Phiếu VN 🔍'!$A:$F,6,0),""),IFERROR(IFERROR(VLOOKUP($C$4,'🌐 Cổ Phiếu TG 🔍'!$A:$F,6,0),""),0))</f>
        <v/>
      </c>
      <c r="I84" s="61">
        <f>IFERROR(AVERAGEIF('📈 Cổ Phiếu VN 🔍'!$C:$C,"&lt;&gt;"&amp;""&amp;"",'📈 Cổ Phiếu VN 🔍'!$F:$F),"N/A")</f>
        <v/>
      </c>
      <c r="J84" s="70">
        <f>IFERROR(RANK(IFERROR(IFERROR(VLOOKUP($C$4,'📈 Cổ Phiếu VN 🔍'!$A:$F,6,0),""),IFERROR(IFERROR(VLOOKUP($C$4,'🌐 Cổ Phiếu TG 🔍'!$A:$F,6,0),""),0)),'📈 Cổ Phiếu VN 🔍'!$F:$F,1),"N/A")</f>
        <v/>
      </c>
    </row>
    <row r="85" ht="15" customHeight="1" s="981">
      <c r="A85" s="49" t="inlineStr">
        <is>
          <t>ROE %</t>
        </is>
      </c>
      <c r="B85" s="56">
        <f>IFERROR(IFERROR(VLOOKUP($C$4,'📈 Cổ Phiếu VN 🔍'!$A:$G,7,0),""),IFERROR(IFERROR(VLOOKUP($C$4,'🌐 Cổ Phiếu TG 🔍'!$A:$G,7,0),""),0))</f>
        <v/>
      </c>
      <c r="C85" s="56">
        <f>IFERROR(AVERAGEIF('📈 Cổ Phiếu VN 🔍'!$C:$C,IFERROR(IFERROR(VLOOKUP($C$4,'📈 Cổ Phiếu VN 🔍'!$A:$C,3,0),""),"Khác"),'📈 Cổ Phiếu VN 🔍'!$G:$G),"N/A")</f>
        <v/>
      </c>
      <c r="D85" s="78" t="n">
        <v>0.225</v>
      </c>
      <c r="E85" s="78" t="n">
        <v>0.158</v>
      </c>
      <c r="F85" s="69" t="inlineStr">
        <is>
          <t>vs ngành</t>
        </is>
      </c>
      <c r="G85" s="60" t="inlineStr">
        <is>
          <t>ROE</t>
        </is>
      </c>
      <c r="H85" s="56">
        <f>IFERROR(IFERROR(VLOOKUP($C$4,'📈 Cổ Phiếu VN 🔍'!$A:$G,7,0),""),IFERROR(IFERROR(VLOOKUP($C$4,'🌐 Cổ Phiếu TG 🔍'!$A:$G,7,0),""),0))</f>
        <v/>
      </c>
      <c r="I85" s="56">
        <f>IFERROR(AVERAGEIF('📈 Cổ Phiếu VN 🔍'!$C:$C,"&lt;&gt;"&amp;""&amp;"",'📈 Cổ Phiếu VN 🔍'!$G:$G),"N/A")</f>
        <v/>
      </c>
      <c r="J85" s="70">
        <f>IFERROR(RANK(IFERROR(IFERROR(VLOOKUP($C$4,'📈 Cổ Phiếu VN 🔍'!$A:$G,7,0),""),IFERROR(IFERROR(VLOOKUP($C$4,'🌐 Cổ Phiếu TG 🔍'!$A:$G,7,0),""),0)),'📈 Cổ Phiếu VN 🔍'!$G:$G,-1),"N/A")</f>
        <v/>
      </c>
    </row>
    <row r="86" ht="15" customHeight="1" s="981">
      <c r="A86" s="49" t="inlineStr">
        <is>
          <t>Vốn hóa</t>
        </is>
      </c>
      <c r="B86" s="65">
        <f>IFERROR(IFERROR(VLOOKUP($C$4,'📈 Cổ Phiếu VN 🔍'!$A:$H,8,0),""),IFERROR(IFERROR(VLOOKUP($C$4,'🌐 Cổ Phiếu TG 🔍'!$A:$H,8,0),""),0))</f>
        <v/>
      </c>
      <c r="C86" s="65">
        <f>IFERROR(AVERAGEIF('📈 Cổ Phiếu VN 🔍'!$C:$C,IFERROR(IFERROR(VLOOKUP($C$4,'📈 Cổ Phiếu VN 🔍'!$A:$C,3,0),""),"Khác"),'📈 Cổ Phiếu VN 🔍'!$H:$H),"N/A")</f>
        <v/>
      </c>
      <c r="D86" s="79" t="n">
        <v>180000</v>
      </c>
      <c r="E86" s="79" t="n">
        <v>120000</v>
      </c>
      <c r="F86" s="69" t="inlineStr">
        <is>
          <t>vs ngành</t>
        </is>
      </c>
      <c r="G86" s="60" t="inlineStr">
        <is>
          <t>Vốn hóa</t>
        </is>
      </c>
      <c r="H86" s="65">
        <f>IFERROR(IFERROR(VLOOKUP($C$4,'📈 Cổ Phiếu VN 🔍'!$A:$H,8,0),""),IFERROR(IFERROR(VLOOKUP($C$4,'🌐 Cổ Phiếu TG 🔍'!$A:$H,8,0),""),0))</f>
        <v/>
      </c>
      <c r="I86" s="65">
        <f>IFERROR(AVERAGEIF('📈 Cổ Phiếu VN 🔍'!$C:$C,"&lt;&gt;"&amp;""&amp;"",'📈 Cổ Phiếu VN 🔍'!$H:$H),"N/A")</f>
        <v/>
      </c>
      <c r="J86" s="70">
        <f>IFERROR(RANK(IFERROR(IFERROR(VLOOKUP($C$4,'📈 Cổ Phiếu VN 🔍'!$A:$H,8,0),""),IFERROR(IFERROR(VLOOKUP($C$4,'🌐 Cổ Phiếu TG 🔍'!$A:$H,8,0),""),0)),'📈 Cổ Phiếu VN 🔍'!$H:$H,-1),"N/A")</f>
        <v/>
      </c>
    </row>
    <row r="87" ht="15" customHeight="1" s="981">
      <c r="A87" s="49" t="inlineStr">
        <is>
          <t>%YTD</t>
        </is>
      </c>
      <c r="B87" s="56">
        <f>IFERROR(IFERROR(VLOOKUP($C$4,'📈 Cổ Phiếu VN 🔍'!$A:$J,10,0),""),IFERROR(IFERROR(VLOOKUP($C$4,'🌐 Cổ Phiếu TG 🔍'!$A:$I,9,0),""),0))</f>
        <v/>
      </c>
      <c r="C87" s="56">
        <f>IFERROR(AVERAGEIF('📈 Cổ Phiếu VN 🔍'!$C:$C,IFERROR(IFERROR(VLOOKUP($C$4,'📈 Cổ Phiếu VN 🔍'!$A:$C,3,0),""),"Khác"),'📈 Cổ Phiếu VN 🔍'!$J:$J),"N/A")</f>
        <v/>
      </c>
      <c r="D87" s="78" t="n">
        <v>0.15</v>
      </c>
      <c r="E87" s="78" t="n">
        <v>0.08500000000000001</v>
      </c>
      <c r="F87" s="69" t="inlineStr">
        <is>
          <t>vs ngành</t>
        </is>
      </c>
      <c r="G87" s="60" t="inlineStr">
        <is>
          <t>%YTD</t>
        </is>
      </c>
      <c r="H87" s="56">
        <f>IFERROR(IFERROR(VLOOKUP($C$4,'📈 Cổ Phiếu VN 🔍'!$A:$J,10,0),""),IFERROR(IFERROR(VLOOKUP($C$4,'🌐 Cổ Phiếu TG 🔍'!$A:$I,9,0),""),0))</f>
        <v/>
      </c>
      <c r="I87" s="56">
        <f>IFERROR(AVERAGEIF('📈 Cổ Phiếu VN 🔍'!$C:$C,"&lt;&gt;"&amp;""&amp;"",'📈 Cổ Phiếu VN 🔍'!$J:$J),"N/A")</f>
        <v/>
      </c>
      <c r="J87" s="70">
        <f>IFERROR(RANK(IFERROR(IFERROR(VLOOKUP($C$4,'📈 Cổ Phiếu VN 🔍'!$A:$J,10,0),""),IFERROR(IFERROR(VLOOKUP($C$4,'🌐 Cổ Phiếu TG 🔍'!$A:$I,9,0),""),0)),'📈 Cổ Phiếu VN 🔍'!$J:$J,-1),"N/A")</f>
        <v/>
      </c>
    </row>
    <row r="88" ht="15" customHeight="1" s="981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</row>
    <row r="89" ht="27.75" customHeight="1" s="981">
      <c r="A89" s="988" t="inlineStr">
        <is>
          <t>🎯 PHẦN G: FINAL VERDICT — Tổng kết khuyến nghị 100 điểm</t>
        </is>
      </c>
      <c r="B89" s="965" t="n"/>
      <c r="C89" s="965" t="n"/>
      <c r="D89" s="965" t="n"/>
      <c r="E89" s="965" t="n"/>
      <c r="F89" s="965" t="n"/>
      <c r="G89" s="965" t="n"/>
      <c r="H89" s="965" t="n"/>
      <c r="I89" s="965" t="n"/>
      <c r="J89" s="966" t="n"/>
    </row>
    <row r="90" ht="15" customHeight="1" s="98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</row>
    <row r="91" ht="24" customHeight="1" s="981">
      <c r="A91" s="77" t="inlineStr">
        <is>
          <t>Cấu phần</t>
        </is>
      </c>
      <c r="B91" s="77" t="inlineStr">
        <is>
          <t>Điểm</t>
        </is>
      </c>
      <c r="C91" s="77" t="inlineStr">
        <is>
          <t>Tối đa</t>
        </is>
      </c>
      <c r="D91" s="77" t="inlineStr">
        <is>
          <t>% Đạt</t>
        </is>
      </c>
      <c r="E91" s="80" t="inlineStr">
        <is>
          <t>Biểu đồ</t>
        </is>
      </c>
      <c r="F91" s="80" t="n"/>
      <c r="G91" s="80" t="n"/>
      <c r="H91" s="80" t="n"/>
      <c r="I91" s="80" t="n"/>
      <c r="J91" s="80" t="n"/>
    </row>
    <row r="92" ht="24" customHeight="1" s="981">
      <c r="A92" s="49" t="inlineStr">
        <is>
          <t>Valuation Score</t>
        </is>
      </c>
      <c r="B92" s="81">
        <f>ROUND(MIN(20,MAX(0,IF(IFERROR(IFERROR(VLOOKUP($C$4,'📈 Cổ Phiếu VN 🔍'!$A:$E,5,0),""),IFERROR(IFERROR(VLOOKUP($C$4,'🌐 Cổ Phiếu TG 🔍'!$A:$E,5,0),""),0))=0,10,IF(IFERROR(IFERROR(VLOOKUP($C$4,'📈 Cổ Phiếu VN 🔍'!$A:$E,5,0),""),IFERROR(IFERROR(VLOOKUP($C$4,'🌐 Cổ Phiếu TG 🔍'!$A:$E,5,0),""),0))&lt;8,20,IF(IFERROR(IFERROR(VLOOKUP($C$4,'📈 Cổ Phiếu VN 🔍'!$A:$E,5,0),""),IFERROR(IFERROR(VLOOKUP($C$4,'🌐 Cổ Phiếu TG 🔍'!$A:$E,5,0),""),0))&lt;18,15,IF(IFERROR(IFERROR(VLOOKUP($C$4,'📈 Cổ Phiếu VN 🔍'!$A:$E,5,0),""),IFERROR(IFERROR(VLOOKUP($C$4,'🌐 Cổ Phiếu TG 🔍'!$A:$E,5,0),""),0))&lt;25,8,3)))))),1)</f>
        <v/>
      </c>
      <c r="C92" s="60" t="n">
        <v>20</v>
      </c>
      <c r="D92" s="82">
        <f>B92/C92</f>
        <v/>
      </c>
      <c r="E92" s="83">
        <f>REPT("█",ROUND(B92/C92*30,0))</f>
        <v/>
      </c>
      <c r="F92" s="83" t="n"/>
      <c r="G92" s="83" t="n"/>
      <c r="H92" s="83" t="n"/>
      <c r="I92" s="83" t="n"/>
      <c r="J92" s="83" t="n"/>
    </row>
    <row r="93" ht="41.25" customHeight="1" s="981">
      <c r="A93" s="49" t="inlineStr">
        <is>
          <t>Quality Score</t>
        </is>
      </c>
      <c r="B93" s="81">
        <f>ROUND(MIN(20,MAX(0,IF(IFERROR(VLOOKUP($C$4,'📈 Cổ Phiếu VN 🔍'!$A:$G,7,0),0)&gt;=20,20,IF(IFERROR(VLOOKUP($C$4,'📈 Cổ Phiếu VN 🔍'!$A:$G,7,0),0)&gt;=15,15,IF(IFERROR(VLOOKUP($C$4,'📈 Cổ Phiếu VN 🔍'!$A:$G,7,0),0)&gt;=10,10,5))))),0)</f>
        <v/>
      </c>
      <c r="C93" s="60" t="n">
        <v>20</v>
      </c>
      <c r="D93" s="82">
        <f>B93/C93</f>
        <v/>
      </c>
      <c r="E93" s="83">
        <f>REPT("█",ROUND(B93/C93*30,0))</f>
        <v/>
      </c>
      <c r="F93" s="83" t="n"/>
      <c r="G93" s="83" t="n"/>
      <c r="H93" s="83" t="n"/>
      <c r="I93" s="83" t="n"/>
      <c r="J93" s="83" t="n"/>
    </row>
    <row r="94" ht="69" customHeight="1" s="981">
      <c r="A94" s="49" t="inlineStr">
        <is>
          <t>Health Score</t>
        </is>
      </c>
      <c r="B94" s="81">
        <f>ROUND(MIN(15,MAX(0,IF(IFERROR(IFERROR(VLOOKUP($C$4,'📈 Cổ Phiếu VN 🔍'!$A:$T,20,0),""),0)&lt;0.5,15,IF(IFERROR(IFERROR(VLOOKUP($C$4,'📈 Cổ Phiếu VN 🔍'!$A:$T,20,0),""),0)&lt;1,12,IF(IFERROR(IFERROR(VLOOKUP($C$4,'📈 Cổ Phiếu VN 🔍'!$A:$T,20,0),""),0)&lt;2,8,4)))+IF(IFERROR(IFERROR(VLOOKUP($C$4,'📈 Cổ Phiếu VN 🔍'!$A:$S,19,0),""),0)&gt;0.1,3,0))),1)</f>
        <v/>
      </c>
      <c r="C94" s="60" t="n">
        <v>15</v>
      </c>
      <c r="D94" s="82">
        <f>B94/C94</f>
        <v/>
      </c>
      <c r="E94" s="83">
        <f>REPT("█",ROUND(B94/C94*30,0))</f>
        <v/>
      </c>
      <c r="F94" s="83" t="n"/>
      <c r="G94" s="83" t="n"/>
      <c r="H94" s="83" t="n"/>
      <c r="I94" s="83" t="n"/>
      <c r="J94" s="83" t="n"/>
    </row>
    <row r="95" ht="41.25" customHeight="1" s="981">
      <c r="A95" s="49" t="inlineStr">
        <is>
          <t>Growth Score</t>
        </is>
      </c>
      <c r="B95" s="81">
        <f>ROUND(MIN(15,MAX(0,IF(IFERROR(IFERROR(VLOOKUP($C$4,'📈 Cổ Phiếu VN 🔍'!$A:$J,10,0),""),IFERROR(IFERROR(VLOOKUP($C$4,'🌐 Cổ Phiếu TG 🔍'!$A:$I,9,0),""),0))&gt;0.2,15,IF(IFERROR(IFERROR(VLOOKUP($C$4,'📈 Cổ Phiếu VN 🔍'!$A:$J,10,0),""),IFERROR(IFERROR(VLOOKUP($C$4,'🌐 Cổ Phiếu TG 🔍'!$A:$I,9,0),""),0))&gt;0.1,10,IF(IFERROR(IFERROR(VLOOKUP($C$4,'📈 Cổ Phiếu VN 🔍'!$A:$J,10,0),""),IFERROR(IFERROR(VLOOKUP($C$4,'🌐 Cổ Phiếu TG 🔍'!$A:$I,9,0),""),0))&gt;0,7,3))))),1)</f>
        <v/>
      </c>
      <c r="C95" s="60" t="n">
        <v>15</v>
      </c>
      <c r="D95" s="82">
        <f>B95/C95</f>
        <v/>
      </c>
      <c r="E95" s="83">
        <f>REPT("█",ROUND(B95/C95*30,0))</f>
        <v/>
      </c>
      <c r="F95" s="83" t="n"/>
      <c r="G95" s="83" t="n"/>
      <c r="H95" s="83" t="n"/>
      <c r="I95" s="83" t="n"/>
      <c r="J95" s="83" t="n"/>
    </row>
    <row r="96" ht="41.25" customHeight="1" s="981">
      <c r="A96" s="49" t="inlineStr">
        <is>
          <t>Dividend Score</t>
        </is>
      </c>
      <c r="B96" s="81">
        <f>ROUND(MIN(10,MAX(0,IF(IFERROR(VLOOKUP($C$4,'📈 Cổ Phiếu VN 🔍'!$A:$U,21,0),0)&gt;=5,10,IF(IFERROR(VLOOKUP($C$4,'📈 Cổ Phiếu VN 🔍'!$A:$U,21,0),0)&gt;=2,6,IF(IFERROR(VLOOKUP($C$4,'📈 Cổ Phiếu VN 🔍'!$A:$U,21,0),0)&gt;0,3,0))))),0)</f>
        <v/>
      </c>
      <c r="C96" s="60" t="n">
        <v>10</v>
      </c>
      <c r="D96" s="82">
        <f>B96/C96</f>
        <v/>
      </c>
      <c r="E96" s="83">
        <f>REPT("█",ROUND(B96/C96*30,0))</f>
        <v/>
      </c>
      <c r="F96" s="83" t="n"/>
      <c r="G96" s="83" t="n"/>
      <c r="H96" s="83" t="n"/>
      <c r="I96" s="83" t="n"/>
      <c r="J96" s="83" t="n"/>
    </row>
    <row r="97" ht="27.75" customHeight="1" s="981">
      <c r="A97" s="49" t="inlineStr">
        <is>
          <t>Technical Score</t>
        </is>
      </c>
      <c r="B97" s="81">
        <f>ROUND(MIN(10,MAX(0,IF(IFERROR(IFERROR(VLOOKUP($C$4,'📈 Cổ Phiếu VN 🔍'!$A:$J,10,0),""),IFERROR(IFERROR(VLOOKUP($C$4,'🌐 Cổ Phiếu TG 🔍'!$A:$I,9,0),""),0))&gt;0,7,IF(IFERROR(IFERROR(VLOOKUP($C$4,'📈 Cổ Phiếu VN 🔍'!$A:$J,10,0),""),IFERROR(IFERROR(VLOOKUP($C$4,'🌐 Cổ Phiếu TG 🔍'!$A:$I,9,0),""),0))&gt;-0.1,5,3))+IF(IFERROR(IFERROR(VLOOKUP($C$4,'📈 Cổ Phiếu VN 🔍'!$A:$Z,26,0),""),0)&gt;70,3,IF(IFERROR(IFERROR(VLOOKUP($C$4,'📈 Cổ Phiếu VN 🔍'!$A:$Z,26,0),""),0)&gt;50,2,0)))),1)</f>
        <v/>
      </c>
      <c r="C97" s="60" t="n">
        <v>10</v>
      </c>
      <c r="D97" s="82">
        <f>B97/C97</f>
        <v/>
      </c>
      <c r="E97" s="83">
        <f>REPT("█",ROUND(B97/C97*30,0))</f>
        <v/>
      </c>
      <c r="F97" s="83" t="n"/>
      <c r="G97" s="83" t="n"/>
      <c r="H97" s="83" t="n"/>
      <c r="I97" s="83" t="n"/>
      <c r="J97" s="83" t="n"/>
    </row>
    <row r="98" ht="15" customHeight="1" s="981">
      <c r="A98" s="49" t="inlineStr">
        <is>
          <t>Peer Score</t>
        </is>
      </c>
      <c r="B98" s="81">
        <f>ROUND(MIN(10,MAX(0,IF(ISNUMBER(IFERROR(IFERROR(VLOOKUP($C$4,'📈 Cổ Phiếu VN 🔍'!$A:$E,5,0),""),IFERROR(IFERROR(VLOOKUP($C$4,'🌐 Cổ Phiếu TG 🔍'!$A:$E,5,0),""),0))),IF(IFERROR(IFERROR(VLOOKUP($C$4,'📈 Cổ Phiếu VN 🔍'!$A:$E,5,0),""),IFERROR(IFERROR(VLOOKUP($C$4,'🌐 Cổ Phiếu TG 🔍'!$A:$E,5,0),""),0))&lt;IFERROR(AVERAGEIF('📈 Cổ Phiếu VN 🔍'!$C:$C,IFERROR(IFERROR(VLOOKUP($C$4,'📈 Cổ Phiếu VN 🔍'!$A:$C,3,0),""),"Khác"),'📈 Cổ Phiếu VN 🔍'!$E:$E),15),8,5),5)+IF(IFERROR(IFERROR(VLOOKUP($C$4,'📈 Cổ Phiếu VN 🔍'!$A:$G,7,0),""),IFERROR(IFERROR(VLOOKUP($C$4,'🌐 Cổ Phiếu TG 🔍'!$A:$G,7,0),""),0))&gt;IFERROR(AVERAGEIF('📈 Cổ Phiếu VN 🔍'!$C:$C,IFERROR(IFERROR(VLOOKUP($C$4,'📈 Cổ Phiếu VN 🔍'!$A:$C,3,0),""),"Khác"),'📈 Cổ Phiếu VN 🔍'!$G:$G),0.15),2,0))),1)</f>
        <v/>
      </c>
      <c r="C98" s="60" t="n">
        <v>10</v>
      </c>
      <c r="D98" s="82">
        <f>B98/C98</f>
        <v/>
      </c>
      <c r="E98" s="83">
        <f>REPT("█",ROUND(B98/C98*30,0))</f>
        <v/>
      </c>
      <c r="F98" s="83" t="n"/>
      <c r="G98" s="83" t="n"/>
      <c r="H98" s="83" t="n"/>
      <c r="I98" s="83" t="n"/>
      <c r="J98" s="83" t="n"/>
    </row>
    <row r="99" ht="24" customHeight="1" s="981">
      <c r="A99" s="84" t="inlineStr">
        <is>
          <t>🏆 TỔNG ĐIỂM</t>
        </is>
      </c>
      <c r="B99" s="85">
        <f>SUM(B92:B98)</f>
        <v/>
      </c>
      <c r="C99" s="60" t="n">
        <v>100</v>
      </c>
      <c r="D99" s="86">
        <f>B99/C99</f>
        <v/>
      </c>
      <c r="E99" s="87">
        <f>IF(B99&gt;=70,"🟢 MUA — Đáng giải ngân",IF(B99&gt;=55,"🔵 THEO DÕI — Có tiềm năng",IF(B99&gt;=40,"🟡 TRUNG LẬP","🔴 CHƯA ĐỦ ĐIỀU KIỆN")))</f>
        <v/>
      </c>
      <c r="F99" s="87" t="n"/>
      <c r="G99" s="87" t="n"/>
      <c r="H99" s="87" t="n"/>
      <c r="I99" s="87" t="n"/>
      <c r="J99" s="87" t="n"/>
    </row>
    <row r="100" ht="24" customHeight="1" s="981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</row>
    <row r="101" ht="15" customHeight="1" s="981">
      <c r="A101" s="983" t="inlineStr">
        <is>
          <t>💰 PHẦN H: VÙNG GIÁ MUA TỐI ƯU — 6 phương pháp định giá tổng hợp → "MUA Ở GIÁ NÀO?"</t>
        </is>
      </c>
      <c r="B101" s="965" t="n"/>
      <c r="C101" s="965" t="n"/>
      <c r="D101" s="965" t="n"/>
      <c r="E101" s="965" t="n"/>
      <c r="F101" s="965" t="n"/>
      <c r="G101" s="965" t="n"/>
      <c r="H101" s="965" t="n"/>
      <c r="I101" s="965" t="n"/>
      <c r="J101" s="966" t="n"/>
    </row>
    <row r="102" ht="15" customHeight="1" s="981">
      <c r="A102" s="68" t="inlineStr">
        <is>
          <t>STT</t>
        </is>
      </c>
      <c r="B102" s="68" t="inlineStr">
        <is>
          <t>Phương pháp</t>
        </is>
      </c>
      <c r="C102" s="68" t="inlineStr">
        <is>
          <t>Công thức</t>
        </is>
      </c>
      <c r="D102" s="68" t="inlineStr">
        <is>
          <t>Giá Fair Value</t>
        </is>
      </c>
      <c r="E102" s="68" t="inlineStr">
        <is>
          <t>Margin of Safety</t>
        </is>
      </c>
      <c r="F102" s="68" t="inlineStr">
        <is>
          <t>Vùng MUA tốt (-30%)</t>
        </is>
      </c>
      <c r="G102" s="68" t="inlineStr">
        <is>
          <t>Vùng MUA tốt (-15%)</t>
        </is>
      </c>
      <c r="H102" s="68" t="inlineStr">
        <is>
          <t>Giá HT</t>
        </is>
      </c>
      <c r="I102" s="68" t="inlineStr">
        <is>
          <t>Đánh giá</t>
        </is>
      </c>
      <c r="J102" s="68" t="inlineStr">
        <is>
          <t>Ưu tiên</t>
        </is>
      </c>
    </row>
    <row r="103" ht="15" customHeight="1" s="981">
      <c r="A103" s="60" t="inlineStr">
        <is>
          <t>1</t>
        </is>
      </c>
      <c r="B103" s="49" t="inlineStr">
        <is>
          <t>DCF (10% chiết khấu)</t>
        </is>
      </c>
      <c r="C103" s="88" t="inlineStr">
        <is>
          <t>EPS × (1+ROE/200) / 10%</t>
        </is>
      </c>
      <c r="D103" s="89" t="n"/>
      <c r="E103" s="90" t="n"/>
      <c r="F103" s="91" t="n"/>
      <c r="G103" s="92" t="n"/>
      <c r="H103" s="60" t="n"/>
      <c r="I103" s="73" t="n"/>
      <c r="J103" s="1001" t="inlineStr">
        <is>
          <t>Cao</t>
        </is>
      </c>
    </row>
    <row r="104" ht="15" customHeight="1" s="981">
      <c r="A104" s="60" t="inlineStr">
        <is>
          <t>2</t>
        </is>
      </c>
      <c r="B104" s="49" t="inlineStr">
        <is>
          <t>Graham Number</t>
        </is>
      </c>
      <c r="C104" s="88" t="inlineStr">
        <is>
          <t>SQRT(22.5 × EPS × BVPS)</t>
        </is>
      </c>
      <c r="D104" s="65">
        <f>IFERROR(IF(IFERROR(IFERROR(VLOOKUP($C$4,'📈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🔍'!$A:$G,7,0),""),0))/2)/0.1,0),"-")</f>
        <v/>
      </c>
      <c r="E104" s="56">
        <f>IFERROR(IF(IF(IFERROR(IFERROR(VLOOKUP($C$4,'📈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🔍'!$A:$G,7,0),""),0))/2)/0.1,0)&gt;0,(IF(IFERROR(IFERROR(VLOOKUP($C$4,'📈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🔍'!$A:$G,7,0),""),0))/2)/0.1,0)-IFERROR(IFERROR(VLOOKUP($C$4,'📈 Cổ Phiếu VN 🔍'!$A:$D,4,0),""),IFERROR(IFERROR(VLOOKUP($C$4,'🌐 Cổ Phiếu TG 🔍'!$A:$D,4,0),""),0)))/IF(IFERROR(IFERROR(VLOOKUP($C$4,'📈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🔍'!$A:$G,7,0),""),0))/2)/0.1,0),"-"),"-")</f>
        <v/>
      </c>
      <c r="F104" s="65">
        <f>IFERROR(IF(IF(IFERROR(IFERROR(VLOOKUP($C$4,'📈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🔍'!$A:$G,7,0),""),0))/2)/0.1,0)&gt;0,IF(IFERROR(IFERROR(VLOOKUP($C$4,'📈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🔍'!$A:$G,7,0),""),0))/2)/0.1,0)*0.7,"-"),"-")</f>
        <v/>
      </c>
      <c r="G104" s="65">
        <f>IFERROR(IF(IF(IFERROR(IFERROR(VLOOKUP($C$4,'📈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🔍'!$A:$G,7,0),""),0))/2)/0.1,0)&gt;0,IF(IFERROR(IFERROR(VLOOKUP($C$4,'📈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🔍'!$A:$G,7,0),""),0))/2)/0.1,0)*0.85,"-"),"-")</f>
        <v/>
      </c>
      <c r="H104" s="65">
        <f>IFERROR(IFERROR(VLOOKUP($C$4,'📈 Cổ Phiếu VN 🔍'!$A:$D,4,0),""),IFERROR(IFERROR(VLOOKUP($C$4,'🌐 Cổ Phiếu TG 🔍'!$A:$D,4,0),""),0))</f>
        <v/>
      </c>
      <c r="I104" s="62">
        <f>IFERROR(IF(IF(IFERROR(IFERROR(VLOOKUP($C$4,'📈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🔍'!$A:$G,7,0),""),0))/2)/0.1,0)&gt;0,IF(IFERROR(IFERROR(VLOOKUP($C$4,'📈 Cổ Phiếu VN 🔍'!$A:$D,4,0),""),IFERROR(IFERROR(VLOOKUP($C$4,'🌐 Cổ Phiếu TG 🔍'!$A:$D,4,0),""),0))&lt;IF(IFERROR(IFERROR(VLOOKUP($C$4,'📈 Cổ Phiếu VN 🔍'!$A:$I,9,0),""),0)&gt;0,IFERROR(IFERROR(VLOOKUP($C$4,'📈 Cổ Phiếu VN 🔍'!$A:$I,9,0),""),0)*(1+IFERROR(IFERROR(VLOOKUP($C$4,'📈 Cổ Phiếu VN 🔍'!$A:$G,7,0),""),IFERROR(IFERROR(VLOOKUP($C$4,'🌐 Cổ Phiếu TG 🔍'!$A:$G,7,0),""),0))/2)/0.1,0)*0.85,"🟢 Rẻ","🟡 Hợp lý"),"N/A"),"N/A")</f>
        <v/>
      </c>
      <c r="J104" s="1001" t="inlineStr">
        <is>
          <t>Bảo thủ</t>
        </is>
      </c>
    </row>
    <row r="105" ht="15" customHeight="1" s="981">
      <c r="A105" s="60" t="inlineStr">
        <is>
          <t>3</t>
        </is>
      </c>
      <c r="B105" s="49" t="inlineStr">
        <is>
          <t>Earnings Power Value</t>
        </is>
      </c>
      <c r="C105" s="88" t="inlineStr">
        <is>
          <t>EPS / 10%</t>
        </is>
      </c>
      <c r="D105" s="65">
        <f>IFERROR(IF(AND(IFERROR(IFERROR(VLOOKUP($C$4,'📈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🔍'!$A:$F,6,0),""),0))),0),"-")</f>
        <v/>
      </c>
      <c r="E105" s="56">
        <f>IFERROR(IF(IF(AND(IFERROR(IFERROR(VLOOKUP($C$4,'📈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🔍'!$A:$F,6,0),""),0))),0)&gt;0,(IF(AND(IFERROR(IFERROR(VLOOKUP($C$4,'📈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🔍'!$A:$F,6,0),""),0))),0)-IFERROR(IFERROR(VLOOKUP($C$4,'📈 Cổ Phiếu VN 🔍'!$A:$D,4,0),""),IFERROR(IFERROR(VLOOKUP($C$4,'🌐 Cổ Phiếu TG 🔍'!$A:$D,4,0),""),0)))/IF(AND(IFERROR(IFERROR(VLOOKUP($C$4,'📈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🔍'!$A:$F,6,0),""),0))),0),"-"),"-")</f>
        <v/>
      </c>
      <c r="F105" s="65">
        <f>IFERROR(IF(IF(AND(IFERROR(IFERROR(VLOOKUP($C$4,'📈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🔍'!$A:$F,6,0),""),0))),0)&gt;0,IF(AND(IFERROR(IFERROR(VLOOKUP($C$4,'📈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🔍'!$A:$F,6,0),""),0))),0)*0.7,"-"),"-")</f>
        <v/>
      </c>
      <c r="G105" s="65">
        <f>IFERROR(IF(IF(AND(IFERROR(IFERROR(VLOOKUP($C$4,'📈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🔍'!$A:$F,6,0),""),0))),0)&gt;0,IF(AND(IFERROR(IFERROR(VLOOKUP($C$4,'📈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🔍'!$A:$F,6,0),""),0))),0)*0.85,"-"),"-")</f>
        <v/>
      </c>
      <c r="H105" s="65">
        <f>IFERROR(IFERROR(VLOOKUP($C$4,'📈 Cổ Phiếu VN 🔍'!$A:$D,4,0),""),IFERROR(IFERROR(VLOOKUP($C$4,'🌐 Cổ Phiếu TG 🔍'!$A:$D,4,0),""),0))</f>
        <v/>
      </c>
      <c r="I105" s="62">
        <f>IFERROR(IF(IF(AND(IFERROR(IFERROR(VLOOKUP($C$4,'📈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🔍'!$A:$F,6,0),""),0))),0)&gt;0,IF(IFERROR(IFERROR(VLOOKUP($C$4,'📈 Cổ Phiếu VN 🔍'!$A:$D,4,0),""),IFERROR(IFERROR(VLOOKUP($C$4,'🌐 Cổ Phiếu TG 🔍'!$A:$D,4,0),""),0))&lt;IF(AND(IFERROR(IFERROR(VLOOKUP($C$4,'📈 Cổ Phiếu VN 🔍'!$A:$I,9,0),""),0)&gt;0,IFERROR(IFERROR(VLOOKUP($C$4,'📈 Cổ Phiếu VN 🔍'!$A:$F,6,0),""),IFERROR(IFERROR(VLOOKUP($C$4,'🌐 Cổ Phiếu TG 🔍'!$A:$F,6,0),""),0))&gt;0),SQRT(22.5*IFERROR(IFERROR(VLOOKUP($C$4,'📈 Cổ Phiếu VN 🔍'!$A:$I,9,0),""),0)*IFERROR(IFERROR(VLOOKUP($C$4,'📈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🔍'!$A:$F,6,0),""),0))),0)*0.85,"🟢 Rẻ","🟡 Hợp lý"),"N/A"),"N/A")</f>
        <v/>
      </c>
      <c r="J105" s="1001" t="inlineStr">
        <is>
          <t>Trung</t>
        </is>
      </c>
    </row>
    <row r="106" ht="30" customHeight="1" s="981">
      <c r="A106" s="60" t="inlineStr">
        <is>
          <t>4</t>
        </is>
      </c>
      <c r="B106" s="49" t="inlineStr">
        <is>
          <t>Lynch Fair Value</t>
        </is>
      </c>
      <c r="C106" s="88" t="inlineStr">
        <is>
          <t>(ROE + Yield) × EPS</t>
        </is>
      </c>
      <c r="D106" s="65">
        <f>IFERROR(IF(IFERROR(IFERROR(VLOOKUP($C$4,'📈 Cổ Phiếu VN 🔍'!$A:$I,9,0),""),0)&gt;0,IFERROR(IFERROR(VLOOKUP($C$4,'📈 Cổ Phiếu VN 🔍'!$A:$I,9,0),""),0)/0.1,0),"-")</f>
        <v/>
      </c>
      <c r="E106" s="56">
        <f>IFERROR(IF(IF(IFERROR(IFERROR(VLOOKUP($C$4,'📈 Cổ Phiếu VN 🔍'!$A:$I,9,0),""),0)&gt;0,IFERROR(IFERROR(VLOOKUP($C$4,'📈 Cổ Phiếu VN 🔍'!$A:$I,9,0),""),0)/0.1,0)&gt;0,(IF(IFERROR(IFERROR(VLOOKUP($C$4,'📈 Cổ Phiếu VN 🔍'!$A:$I,9,0),""),0)&gt;0,IFERROR(IFERROR(VLOOKUP($C$4,'📈 Cổ Phiếu VN 🔍'!$A:$I,9,0),""),0)/0.1,0)-IFERROR(IFERROR(VLOOKUP($C$4,'📈 Cổ Phiếu VN 🔍'!$A:$D,4,0),""),IFERROR(IFERROR(VLOOKUP($C$4,'🌐 Cổ Phiếu TG 🔍'!$A:$D,4,0),""),0)))/IF(IFERROR(IFERROR(VLOOKUP($C$4,'📈 Cổ Phiếu VN 🔍'!$A:$I,9,0),""),0)&gt;0,IFERROR(IFERROR(VLOOKUP($C$4,'📈 Cổ Phiếu VN 🔍'!$A:$I,9,0),""),0)/0.1,0),"-"),"-")</f>
        <v/>
      </c>
      <c r="F106" s="65">
        <f>IFERROR(IF(IF(IFERROR(IFERROR(VLOOKUP($C$4,'📈 Cổ Phiếu VN 🔍'!$A:$I,9,0),""),0)&gt;0,IFERROR(IFERROR(VLOOKUP($C$4,'📈 Cổ Phiếu VN 🔍'!$A:$I,9,0),""),0)/0.1,0)&gt;0,IF(IFERROR(IFERROR(VLOOKUP($C$4,'📈 Cổ Phiếu VN 🔍'!$A:$I,9,0),""),0)&gt;0,IFERROR(IFERROR(VLOOKUP($C$4,'📈 Cổ Phiếu VN 🔍'!$A:$I,9,0),""),0)/0.1,0)*0.7,"-"),"-")</f>
        <v/>
      </c>
      <c r="G106" s="65">
        <f>IFERROR(IF(IF(IFERROR(IFERROR(VLOOKUP($C$4,'📈 Cổ Phiếu VN 🔍'!$A:$I,9,0),""),0)&gt;0,IFERROR(IFERROR(VLOOKUP($C$4,'📈 Cổ Phiếu VN 🔍'!$A:$I,9,0),""),0)/0.1,0)&gt;0,IF(IFERROR(IFERROR(VLOOKUP($C$4,'📈 Cổ Phiếu VN 🔍'!$A:$I,9,0),""),0)&gt;0,IFERROR(IFERROR(VLOOKUP($C$4,'📈 Cổ Phiếu VN 🔍'!$A:$I,9,0),""),0)/0.1,0)*0.85,"-"),"-")</f>
        <v/>
      </c>
      <c r="H106" s="65">
        <f>IFERROR(IFERROR(VLOOKUP($C$4,'📈 Cổ Phiếu VN 🔍'!$A:$D,4,0),""),IFERROR(IFERROR(VLOOKUP($C$4,'🌐 Cổ Phiếu TG 🔍'!$A:$D,4,0),""),0))</f>
        <v/>
      </c>
      <c r="I106" s="62">
        <f>IFERROR(IF(IF(IFERROR(IFERROR(VLOOKUP($C$4,'📈 Cổ Phiếu VN 🔍'!$A:$I,9,0),""),0)&gt;0,IFERROR(IFERROR(VLOOKUP($C$4,'📈 Cổ Phiếu VN 🔍'!$A:$I,9,0),""),0)/0.1,0)&gt;0,IF(IFERROR(IFERROR(VLOOKUP($C$4,'📈 Cổ Phiếu VN 🔍'!$A:$D,4,0),""),IFERROR(IFERROR(VLOOKUP($C$4,'🌐 Cổ Phiếu TG 🔍'!$A:$D,4,0),""),0))&lt;IF(IFERROR(IFERROR(VLOOKUP($C$4,'📈 Cổ Phiếu VN 🔍'!$A:$I,9,0),""),0)&gt;0,IFERROR(IFERROR(VLOOKUP($C$4,'📈 Cổ Phiếu VN 🔍'!$A:$I,9,0),""),0)/0.1,0)*0.85,"🟢 Rẻ","🟡 Hợp lý"),"N/A"),"N/A")</f>
        <v/>
      </c>
      <c r="J106" s="1001" t="inlineStr">
        <is>
          <t>Cao</t>
        </is>
      </c>
    </row>
    <row r="107" ht="15" customHeight="1" s="981">
      <c r="A107" s="60" t="inlineStr">
        <is>
          <t>5</t>
        </is>
      </c>
      <c r="B107" s="49" t="inlineStr">
        <is>
          <t>Asset-Based</t>
        </is>
      </c>
      <c r="C107" s="88" t="inlineStr">
        <is>
          <t>BVPS × 1.5</t>
        </is>
      </c>
      <c r="D107" s="65">
        <f>IFERROR(IF(IFERROR(IFERROR(VLOOKUP($C$4,'📈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🔍'!$A:$I,9,0),""),0),0),"-")</f>
        <v/>
      </c>
      <c r="E107" s="56">
        <f>IFERROR(IF(IF(IFERROR(IFERROR(VLOOKUP($C$4,'📈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🔍'!$A:$I,9,0),""),0),0)&gt;0,(IF(IFERROR(IFERROR(VLOOKUP($C$4,'📈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🔍'!$A:$I,9,0),""),0),0)-IFERROR(IFERROR(VLOOKUP($C$4,'📈 Cổ Phiếu VN 🔍'!$A:$D,4,0),""),IFERROR(IFERROR(VLOOKUP($C$4,'🌐 Cổ Phiếu TG 🔍'!$A:$D,4,0),""),0)))/IF(IFERROR(IFERROR(VLOOKUP($C$4,'📈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🔍'!$A:$I,9,0),""),0),0),"-"),"-")</f>
        <v/>
      </c>
      <c r="F107" s="65">
        <f>IFERROR(IF(IF(IFERROR(IFERROR(VLOOKUP($C$4,'📈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🔍'!$A:$I,9,0),""),0),0)&gt;0,IF(IFERROR(IFERROR(VLOOKUP($C$4,'📈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🔍'!$A:$I,9,0),""),0),0)*0.7,"-"),"-")</f>
        <v/>
      </c>
      <c r="G107" s="65">
        <f>IFERROR(IF(IF(IFERROR(IFERROR(VLOOKUP($C$4,'📈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🔍'!$A:$I,9,0),""),0),0)&gt;0,IF(IFERROR(IFERROR(VLOOKUP($C$4,'📈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🔍'!$A:$I,9,0),""),0),0)*0.85,"-"),"-")</f>
        <v/>
      </c>
      <c r="H107" s="65">
        <f>IFERROR(IFERROR(VLOOKUP($C$4,'📈 Cổ Phiếu VN 🔍'!$A:$D,4,0),""),IFERROR(IFERROR(VLOOKUP($C$4,'🌐 Cổ Phiếu TG 🔍'!$A:$D,4,0),""),0))</f>
        <v/>
      </c>
      <c r="I107" s="62">
        <f>IFERROR(IF(IF(IFERROR(IFERROR(VLOOKUP($C$4,'📈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🔍'!$A:$I,9,0),""),0),0)&gt;0,IF(IFERROR(IFERROR(VLOOKUP($C$4,'📈 Cổ Phiếu VN 🔍'!$A:$D,4,0),""),IFERROR(IFERROR(VLOOKUP($C$4,'🌐 Cổ Phiếu TG 🔍'!$A:$D,4,0),""),0))&lt;IF(IFERROR(IFERROR(VLOOKUP($C$4,'📈 Cổ Phiếu VN 🔍'!$A:$I,9,0),""),0)&gt;0,(IFERROR(IFERROR(VLOOKUP($C$4,'📈 Cổ Phiếu VN 🔍'!$A:$G,7,0),""),IFERROR(IFERROR(VLOOKUP($C$4,'🌐 Cổ Phiếu TG 🔍'!$A:$G,7,0),""),0))+IFERROR(IFERROR(VLOOKUP($C$4,'📈 Cổ Phiếu VN 🔍'!$A:$U,21,0),""),0))*IFERROR(IFERROR(VLOOKUP($C$4,'📈 Cổ Phiếu VN 🔍'!$A:$I,9,0),""),0),0)*0.85,"🟢 Rẻ","🟡 Hợp lý"),"N/A"),"N/A")</f>
        <v/>
      </c>
      <c r="J107" s="1001" t="inlineStr">
        <is>
          <t>Thấp</t>
        </is>
      </c>
    </row>
    <row r="108" ht="24" customHeight="1" s="981">
      <c r="A108" s="60" t="inlineStr">
        <is>
          <t>6</t>
        </is>
      </c>
      <c r="B108" s="49" t="inlineStr">
        <is>
          <t>P/E×EPS Ngành</t>
        </is>
      </c>
      <c r="C108" s="88" t="inlineStr">
        <is>
          <t>P/E TB ngành × EPS</t>
        </is>
      </c>
      <c r="D108" s="65">
        <f>IFERROR(IF(IFERROR(IFERROR(VLOOKUP($C$4,'📈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🔍'!$A:$F,6,0),""),0))*1.5,0),"-")</f>
        <v/>
      </c>
      <c r="E108" s="56">
        <f>IFERROR(IF(IF(IFERROR(IFERROR(VLOOKUP($C$4,'📈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🔍'!$A:$F,6,0),""),0))*1.5,0)&gt;0,(IF(IFERROR(IFERROR(VLOOKUP($C$4,'📈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🔍'!$A:$F,6,0),""),0))*1.5,0)-IFERROR(IFERROR(VLOOKUP($C$4,'📈 Cổ Phiếu VN 🔍'!$A:$D,4,0),""),IFERROR(IFERROR(VLOOKUP($C$4,'🌐 Cổ Phiếu TG 🔍'!$A:$D,4,0),""),0)))/IF(IFERROR(IFERROR(VLOOKUP($C$4,'📈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🔍'!$A:$F,6,0),""),0))*1.5,0),"-"),"-")</f>
        <v/>
      </c>
      <c r="F108" s="65">
        <f>IFERROR(IF(IF(IFERROR(IFERROR(VLOOKUP($C$4,'📈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🔍'!$A:$F,6,0),""),0))*1.5,0)&gt;0,IF(IFERROR(IFERROR(VLOOKUP($C$4,'📈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🔍'!$A:$F,6,0),""),0))*1.5,0)*0.7,"-"),"-")</f>
        <v/>
      </c>
      <c r="G108" s="65">
        <f>IFERROR(IF(IF(IFERROR(IFERROR(VLOOKUP($C$4,'📈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🔍'!$A:$F,6,0),""),0))*1.5,0)&gt;0,IF(IFERROR(IFERROR(VLOOKUP($C$4,'📈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🔍'!$A:$F,6,0),""),0))*1.5,0)*0.85,"-"),"-")</f>
        <v/>
      </c>
      <c r="H108" s="65">
        <f>IFERROR(IFERROR(VLOOKUP($C$4,'📈 Cổ Phiếu VN 🔍'!$A:$D,4,0),""),IFERROR(IFERROR(VLOOKUP($C$4,'🌐 Cổ Phiếu TG 🔍'!$A:$D,4,0),""),0))</f>
        <v/>
      </c>
      <c r="I108" s="62">
        <f>IFERROR(IF(IF(IFERROR(IFERROR(VLOOKUP($C$4,'📈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🔍'!$A:$F,6,0),""),0))*1.5,0)&gt;0,IF(IFERROR(IFERROR(VLOOKUP($C$4,'📈 Cổ Phiếu VN 🔍'!$A:$D,4,0),""),IFERROR(IFERROR(VLOOKUP($C$4,'🌐 Cổ Phiếu TG 🔍'!$A:$D,4,0),""),0))&lt;IF(IFERROR(IFERROR(VLOOKUP($C$4,'📈 Cổ Phiếu VN 🔍'!$A:$F,6,0),""),IFERROR(IFERROR(VLOOKUP($C$4,'🌐 Cổ Phiếu TG 🔍'!$A:$F,6,0),""),0))&gt;0,IFERROR(IFERROR(VLOOKUP($C$4,'📈 Cổ Phiếu VN 🔍'!$A:$D,4,0),""),IFERROR(IFERROR(VLOOKUP($C$4,'🌐 Cổ Phiếu TG 🔍'!$A:$D,4,0),""),0))/IFERROR(IFERROR(VLOOKUP($C$4,'📈 Cổ Phiếu VN 🔍'!$A:$F,6,0),""),IFERROR(IFERROR(VLOOKUP($C$4,'🌐 Cổ Phiếu TG 🔍'!$A:$F,6,0),""),0))*1.5,0)*0.85,"🟢 Rẻ","🟡 Hợp lý"),"N/A"),"N/A")</f>
        <v/>
      </c>
      <c r="J108" s="1001" t="inlineStr">
        <is>
          <t>Trung</t>
        </is>
      </c>
    </row>
    <row r="109" ht="24" customHeight="1" s="981">
      <c r="A109" s="25" t="n"/>
      <c r="B109" s="93" t="n"/>
      <c r="C109" s="25" t="n"/>
      <c r="D109" s="65">
        <f>IFERROR(IF(IFERROR(IFERROR(VLOOKUP($C$4,'📈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🔍'!$A:$I,9,0),""),0),0),"-")</f>
        <v/>
      </c>
      <c r="E109" s="56">
        <f>IFERROR(IF(IF(IFERROR(IFERROR(VLOOKUP($C$4,'📈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🔍'!$A:$I,9,0),""),0),0)&gt;0,(IF(IFERROR(IFERROR(VLOOKUP($C$4,'📈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🔍'!$A:$I,9,0),""),0),0)-IFERROR(IFERROR(VLOOKUP($C$4,'📈 Cổ Phiếu VN 🔍'!$A:$D,4,0),""),IFERROR(IFERROR(VLOOKUP($C$4,'🌐 Cổ Phiếu TG 🔍'!$A:$D,4,0),""),0)))/IF(IFERROR(IFERROR(VLOOKUP($C$4,'📈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🔍'!$A:$I,9,0),""),0),0),"-"),"-")</f>
        <v/>
      </c>
      <c r="F109" s="65">
        <f>IFERROR(IF(IF(IFERROR(IFERROR(VLOOKUP($C$4,'📈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🔍'!$A:$I,9,0),""),0),0)&gt;0,IF(IFERROR(IFERROR(VLOOKUP($C$4,'📈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🔍'!$A:$I,9,0),""),0),0)*0.7,"-"),"-")</f>
        <v/>
      </c>
      <c r="G109" s="65">
        <f>IFERROR(IF(IF(IFERROR(IFERROR(VLOOKUP($C$4,'📈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🔍'!$A:$I,9,0),""),0),0)&gt;0,IF(IFERROR(IFERROR(VLOOKUP($C$4,'📈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🔍'!$A:$I,9,0),""),0),0)*0.85,"-"),"-")</f>
        <v/>
      </c>
      <c r="H109" s="65">
        <f>IFERROR(IFERROR(VLOOKUP($C$4,'📈 Cổ Phiếu VN 🔍'!$A:$D,4,0),""),IFERROR(IFERROR(VLOOKUP($C$4,'🌐 Cổ Phiếu TG 🔍'!$A:$D,4,0),""),0))</f>
        <v/>
      </c>
      <c r="I109" s="62">
        <f>IFERROR(IF(IF(IFERROR(IFERROR(VLOOKUP($C$4,'📈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🔍'!$A:$I,9,0),""),0),0)&gt;0,IF(IFERROR(IFERROR(VLOOKUP($C$4,'📈 Cổ Phiếu VN 🔍'!$A:$D,4,0),""),IFERROR(IFERROR(VLOOKUP($C$4,'🌐 Cổ Phiếu TG 🔍'!$A:$D,4,0),""),0))&lt;IF(IFERROR(IFERROR(VLOOKUP($C$4,'📈 Cổ Phiếu VN 🔍'!$A:$I,9,0),""),0)&gt;0,IFERROR(AVERAGEIF('📈 Cổ Phiếu VN 🔍'!$C:$C,IFERROR(IFERROR(VLOOKUP($C$4,'📈 Cổ Phiếu VN 🔍'!$A:$C,3,0),""),"Khác"),'📈 Cổ Phiếu VN 🔍'!$E:$E),13)*IFERROR(IFERROR(VLOOKUP($C$4,'📈 Cổ Phiếu VN 🔍'!$A:$I,9,0),""),0),0)*0.85,"🟢 Rẻ","🟡 Hợp lý"),"N/A"),"N/A")</f>
        <v/>
      </c>
      <c r="J109" s="25" t="n"/>
    </row>
    <row r="110" ht="15" customHeight="1" s="981">
      <c r="A110" s="94" t="inlineStr">
        <is>
          <t>🎯</t>
        </is>
      </c>
      <c r="B110" s="95" t="inlineStr">
        <is>
          <t>TRUNG BÌNH 6 PHƯƠNG PHÁP</t>
        </is>
      </c>
      <c r="C110" s="96" t="n"/>
      <c r="D110" s="97">
        <f>IFERROR(IFERROR(AVERAGEIF(D104:D109,"&gt;"&amp;0),IFERROR(IFERROR(VLOOKUP($C$4,'📈 Cổ Phiếu VN 🔍'!$A:$D,4,0),""),IFERROR(IFERROR(VLOOKUP($C$4,'🌐 Cổ Phiếu TG 🔍'!$A:$D,4,0),""),0))),"N/A")</f>
        <v/>
      </c>
      <c r="E110" s="98">
        <f>IFERROR((IFERROR(AVERAGEIF(D104:D109,"&gt;"&amp;0),IFERROR(IFERROR(VLOOKUP($C$4,'📈 Cổ Phiếu VN 🔍'!$A:$D,4,0),""),IFERROR(IFERROR(VLOOKUP($C$4,'🌐 Cổ Phiếu TG 🔍'!$A:$D,4,0),""),0)))-IFERROR(IFERROR(VLOOKUP($C$4,'📈 Cổ Phiếu VN 🔍'!$A:$D,4,0),""),IFERROR(IFERROR(VLOOKUP($C$4,'🌐 Cổ Phiếu TG 🔍'!$A:$D,4,0),""),0)))/IFERROR(AVERAGEIF(D104:D109,"&gt;"&amp;0),IFERROR(IFERROR(VLOOKUP($C$4,'📈 Cổ Phiếu VN 🔍'!$A:$D,4,0),""),IFERROR(IFERROR(VLOOKUP($C$4,'🌐 Cổ Phiếu TG 🔍'!$A:$D,4,0),""),0))),"N/A")</f>
        <v/>
      </c>
      <c r="F110" s="97">
        <f>IFERROR(IFERROR(AVERAGEIF(D104:D109,"&gt;"&amp;0),IFERROR(IFERROR(VLOOKUP($C$4,'📈 Cổ Phiếu VN 🔍'!$A:$D,4,0),""),IFERROR(IFERROR(VLOOKUP($C$4,'🌐 Cổ Phiếu TG 🔍'!$A:$D,4,0),""),0)))*0.7,"N/A")</f>
        <v/>
      </c>
      <c r="G110" s="97">
        <f>IFERROR(IFERROR(AVERAGEIF(D104:D109,"&gt;"&amp;0),IFERROR(IFERROR(VLOOKUP($C$4,'📈 Cổ Phiếu VN 🔍'!$A:$D,4,0),""),IFERROR(IFERROR(VLOOKUP($C$4,'🌐 Cổ Phiếu TG 🔍'!$A:$D,4,0),""),0)))*0.85,"N/A")</f>
        <v/>
      </c>
      <c r="H110" s="97">
        <f>IFERROR(IFERROR(VLOOKUP($C$4,'📈 Cổ Phiếu VN 🔍'!$A:$D,4,0),""),IFERROR(IFERROR(VLOOKUP($C$4,'🌐 Cổ Phiếu TG 🔍'!$A:$D,4,0),""),0))</f>
        <v/>
      </c>
      <c r="I110" s="87">
        <f>IFERROR(IF(IFERROR(IFERROR(VLOOKUP($C$4,'📈 Cổ Phiếu VN 🔍'!$A:$D,4,0),""),IFERROR(IFERROR(VLOOKUP($C$4,'🌐 Cổ Phiếu TG 🔍'!$A:$D,4,0),""),0))&lt;IFERROR(AVERAGEIF(D104:D109,"&gt;"&amp;0),IFERROR(IFERROR(VLOOKUP($C$4,'📈 Cổ Phiếu VN 🔍'!$A:$D,4,0),""),IFERROR(IFERROR(VLOOKUP($C$4,'🌐 Cổ Phiếu TG 🔍'!$A:$D,4,0),""),0)))*0.7,"🟢🟢 MUA MẠNH",IF(IFERROR(IFERROR(VLOOKUP($C$4,'📈 Cổ Phiếu VN 🔍'!$A:$D,4,0),""),IFERROR(IFERROR(VLOOKUP($C$4,'🌐 Cổ Phiếu TG 🔍'!$A:$D,4,0),""),0))&lt;IFERROR(AVERAGEIF(D104:D109,"&gt;"&amp;0),IFERROR(IFERROR(VLOOKUP($C$4,'📈 Cổ Phiếu VN 🔍'!$A:$D,4,0),""),IFERROR(IFERROR(VLOOKUP($C$4,'🌐 Cổ Phiếu TG 🔍'!$A:$D,4,0),""),0)))*0.85,"🟢 MUA",IF(IFERROR(IFERROR(VLOOKUP($C$4,'📈 Cổ Phiếu VN 🔍'!$A:$D,4,0),""),IFERROR(IFERROR(VLOOKUP($C$4,'🌐 Cổ Phiếu TG 🔍'!$A:$D,4,0),""),0))&lt;IFERROR(AVERAGEIF(D104:D109,"&gt;"&amp;0),IFERROR(IFERROR(VLOOKUP($C$4,'📈 Cổ Phiếu VN 🔍'!$A:$D,4,0),""),IFERROR(IFERROR(VLOOKUP($C$4,'🌐 Cổ Phiếu TG 🔍'!$A:$D,4,0),""),0))),"🟡 THEO DÕI","🔴 CHƯA MUA"))),"N/A")</f>
        <v/>
      </c>
      <c r="J110" s="87" t="n"/>
    </row>
    <row r="111" ht="15" customHeight="1" s="98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</row>
    <row r="112" ht="15" customHeight="1" s="981">
      <c r="A112" s="988" t="inlineStr">
        <is>
          <t>🚨 PHẦN I: BENEISH M-SCORE — Phát hiện gian lận BCTC (8 biến)</t>
        </is>
      </c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6" t="n"/>
    </row>
    <row r="113" ht="27.75" customHeight="1" s="981">
      <c r="A113" s="99" t="inlineStr">
        <is>
          <t>#</t>
        </is>
      </c>
      <c r="B113" s="99" t="inlineStr">
        <is>
          <t>Biến số (8)</t>
        </is>
      </c>
      <c r="C113" s="99" t="inlineStr">
        <is>
          <t>Ý nghĩa</t>
        </is>
      </c>
      <c r="D113" s="99" t="inlineStr">
        <is>
          <t>Giá trị ước tính</t>
        </is>
      </c>
      <c r="E113" s="99" t="inlineStr">
        <is>
          <t>Ngưỡng cảnh báo</t>
        </is>
      </c>
      <c r="F113" s="99" t="inlineStr">
        <is>
          <t>Trạng thái</t>
        </is>
      </c>
      <c r="G113" s="99" t="inlineStr">
        <is>
          <t>#</t>
        </is>
      </c>
      <c r="H113" s="99" t="inlineStr">
        <is>
          <t>Biến số</t>
        </is>
      </c>
      <c r="I113" s="99" t="inlineStr">
        <is>
          <t>Giá trị</t>
        </is>
      </c>
      <c r="J113" s="99" t="inlineStr">
        <is>
          <t>Trạng thái</t>
        </is>
      </c>
    </row>
    <row r="114" ht="15" customHeight="1" s="981">
      <c r="A114" s="60" t="inlineStr">
        <is>
          <t>1</t>
        </is>
      </c>
      <c r="B114" s="49" t="inlineStr">
        <is>
          <t>DSRI</t>
        </is>
      </c>
      <c r="C114" s="88" t="inlineStr">
        <is>
          <t>Receivables/Sales</t>
        </is>
      </c>
      <c r="D114" s="100" t="n">
        <v>1.05</v>
      </c>
      <c r="E114" s="1001" t="inlineStr">
        <is>
          <t>&gt; 1.465</t>
        </is>
      </c>
      <c r="F114" s="60" t="inlineStr">
        <is>
          <t>5</t>
        </is>
      </c>
      <c r="G114" s="60" t="inlineStr">
        <is>
          <t>DEPI</t>
        </is>
      </c>
      <c r="H114" s="100" t="n">
        <v>1.02</v>
      </c>
      <c r="I114" s="25" t="n"/>
      <c r="J114" s="60" t="inlineStr">
        <is>
          <t>"🟢 OK"</t>
        </is>
      </c>
    </row>
    <row r="115" ht="24" customHeight="1" s="981">
      <c r="A115" s="60" t="inlineStr">
        <is>
          <t>2</t>
        </is>
      </c>
      <c r="B115" s="49" t="inlineStr">
        <is>
          <t>GMI</t>
        </is>
      </c>
      <c r="C115" s="88" t="inlineStr">
        <is>
          <t>Gross Margin Index</t>
        </is>
      </c>
      <c r="D115" s="67" t="n">
        <v>1.02</v>
      </c>
      <c r="E115" s="1001" t="inlineStr">
        <is>
          <t>&gt; 1.193</t>
        </is>
      </c>
      <c r="F115" s="62">
        <f>IF(D115&lt;1.193,"🟢 OK","🔴 Cảnh báo")</f>
        <v/>
      </c>
      <c r="G115" s="60" t="inlineStr">
        <is>
          <t>SGAI</t>
        </is>
      </c>
      <c r="H115" s="100" t="n">
        <v>0.98</v>
      </c>
      <c r="I115" s="25" t="n"/>
      <c r="J115" s="60" t="inlineStr">
        <is>
          <t>"🟢 OK"</t>
        </is>
      </c>
    </row>
    <row r="116" ht="24" customHeight="1" s="981">
      <c r="A116" s="60" t="inlineStr">
        <is>
          <t>3</t>
        </is>
      </c>
      <c r="B116" s="49" t="inlineStr">
        <is>
          <t>AQI</t>
        </is>
      </c>
      <c r="C116" s="88" t="inlineStr">
        <is>
          <t>Asset Quality</t>
        </is>
      </c>
      <c r="D116" s="100" t="n">
        <v>1.01</v>
      </c>
      <c r="E116" s="1001" t="inlineStr">
        <is>
          <t>&gt; 1.254</t>
        </is>
      </c>
      <c r="F116" s="60" t="inlineStr">
        <is>
          <t>7</t>
        </is>
      </c>
      <c r="G116" s="60" t="inlineStr">
        <is>
          <t>LVGI</t>
        </is>
      </c>
      <c r="H116" s="100" t="n"/>
      <c r="I116" s="25" t="n"/>
      <c r="J116" s="60" t="n"/>
    </row>
    <row r="117" ht="15" customHeight="1" s="981">
      <c r="A117" s="60" t="inlineStr">
        <is>
          <t>4</t>
        </is>
      </c>
      <c r="B117" s="49" t="inlineStr">
        <is>
          <t>SGI</t>
        </is>
      </c>
      <c r="C117" s="88" t="inlineStr">
        <is>
          <t>Sales Growth</t>
        </is>
      </c>
      <c r="D117" s="67" t="n">
        <v>1.15</v>
      </c>
      <c r="E117" s="1001" t="inlineStr">
        <is>
          <t>&gt; 1.607</t>
        </is>
      </c>
      <c r="F117" s="62">
        <f>IF(D117&lt;1.607,"🟢 OK","🔴 Cảnh báo")</f>
        <v/>
      </c>
      <c r="G117" s="60" t="inlineStr">
        <is>
          <t>TATA</t>
        </is>
      </c>
      <c r="H117" s="67" t="n">
        <v>0.98</v>
      </c>
      <c r="I117" s="25" t="n"/>
      <c r="J117" s="62">
        <f>IF(H117&lt;1,"🟢 OK","🟡 Theo dõi")</f>
        <v/>
      </c>
    </row>
    <row r="118" ht="15" customHeight="1" s="981">
      <c r="A118" s="101" t="inlineStr">
        <is>
          <t>🎯</t>
        </is>
      </c>
      <c r="B118" s="102" t="inlineStr">
        <is>
          <t>TỔNG M-SCORE</t>
        </is>
      </c>
      <c r="C118" s="103" t="n"/>
      <c r="D118" s="104" t="n"/>
      <c r="E118" s="60" t="inlineStr">
        <is>
          <t>&lt; -1.78</t>
        </is>
      </c>
      <c r="F118" s="105" t="n"/>
      <c r="G118" s="105" t="n"/>
      <c r="H118" s="105" t="n"/>
      <c r="I118" s="105" t="n"/>
      <c r="J118" s="105" t="n"/>
    </row>
    <row r="119" ht="15" customHeight="1" s="981">
      <c r="A119" s="25" t="n"/>
      <c r="B119" s="25" t="n"/>
      <c r="C119" s="25" t="n"/>
      <c r="D119" s="106">
        <f>IFERROR(VLOOKUP($C$4,'🔍 FORENSIC 198 MÃ'!$B$6:$N$203,9,0),-2.5)</f>
        <v/>
      </c>
      <c r="E119" s="25" t="n"/>
      <c r="F119" s="107">
        <f>IF(D119&lt;-2.22,"🟢 SẠCH — Không gian lận","🔴 RỦI RO gian lận BCTC")</f>
        <v/>
      </c>
      <c r="G119" s="25" t="n"/>
      <c r="H119" s="25" t="n"/>
      <c r="I119" s="25" t="n"/>
      <c r="J119" s="25" t="n"/>
    </row>
    <row r="120" ht="27.75" customHeight="1" s="981">
      <c r="A120" s="1017" t="inlineStr">
        <is>
          <t>📊 PHẦN J: HISTORICAL VALUATION BANDS — P/E TB ±σ (so với chính cổ phiếu này 5 năm qua)</t>
        </is>
      </c>
      <c r="B120" s="965" t="n"/>
      <c r="C120" s="965" t="n"/>
      <c r="D120" s="965" t="n"/>
      <c r="E120" s="965" t="n"/>
      <c r="F120" s="965" t="n"/>
      <c r="G120" s="965" t="n"/>
      <c r="H120" s="965" t="n"/>
      <c r="I120" s="965" t="n"/>
      <c r="J120" s="966" t="n"/>
    </row>
    <row r="121" ht="15" customHeight="1" s="981">
      <c r="A121" s="59" t="inlineStr">
        <is>
          <t>STT</t>
        </is>
      </c>
      <c r="B121" s="59" t="inlineStr">
        <is>
          <t>Vùng</t>
        </is>
      </c>
      <c r="C121" s="59" t="inlineStr">
        <is>
          <t>Multiplier</t>
        </is>
      </c>
      <c r="D121" s="59" t="inlineStr">
        <is>
          <t>P/E ngưỡng</t>
        </is>
      </c>
      <c r="E121" s="59" t="inlineStr">
        <is>
          <t>Giá tương ứng</t>
        </is>
      </c>
      <c r="F121" s="59" t="inlineStr">
        <is>
          <t>%so Giá HT</t>
        </is>
      </c>
      <c r="G121" s="59" t="inlineStr">
        <is>
          <t>Mức</t>
        </is>
      </c>
      <c r="H121" s="59" t="inlineStr">
        <is>
          <t>Khuyến nghị</t>
        </is>
      </c>
      <c r="I121" s="59" t="inlineStr">
        <is>
          <t>Lịch sử</t>
        </is>
      </c>
      <c r="J121" s="59" t="inlineStr">
        <is>
          <t>Mức xảy ra</t>
        </is>
      </c>
    </row>
    <row r="122" ht="24" customHeight="1" s="981">
      <c r="A122" s="60" t="inlineStr">
        <is>
          <t>1</t>
        </is>
      </c>
      <c r="B122" s="49" t="inlineStr">
        <is>
          <t>-2σ (Cực rẻ)</t>
        </is>
      </c>
      <c r="C122" s="101" t="inlineStr">
        <is>
          <t>0.5</t>
        </is>
      </c>
      <c r="D122" s="61">
        <f>IFERROR(IFERROR(AVERAGEIF('📈 Cổ Phiếu VN 🔍'!$C:$C,IFERROR(IFERROR(VLOOKUP($C$4,'📈 Cổ Phiếu VN 🔍'!$A:$C,3,0),""),"Khác"),'📈 Cổ Phiếu VN 🔍'!$E:$E),13)*0.5,"N/A")</f>
        <v/>
      </c>
      <c r="E122" s="65">
        <f>IFERROR(IFERROR(AVERAGEIF('📈 Cổ Phiếu VN 🔍'!$C:$C,IFERROR(IFERROR(VLOOKUP($C$4,'📈 Cổ Phiếu VN 🔍'!$A:$C,3,0),""),"Khác"),'📈 Cổ Phiếu VN 🔍'!$E:$E),13)*0.5*IFERROR(IFERROR(VLOOKUP($C$4,'📈 Cổ Phiếu VN 🔍'!$A:$I,9,0),""),0),"N/A")</f>
        <v/>
      </c>
      <c r="F122" s="56">
        <f>IFERROR((IFERROR(AVERAGEIF('📈 Cổ Phiếu VN 🔍'!$C:$C,IFERROR(IFERROR(VLOOKUP($C$4,'📈 Cổ Phiếu VN 🔍'!$A:$C,3,0),""),"Khác"),'📈 Cổ Phiếu VN 🔍'!$E:$E),13)*0.5*IFERROR(IFERROR(VLOOKUP($C$4,'📈 Cổ Phiếu VN 🔍'!$A:$I,9,0),""),0)-IFERROR(IFERROR(VLOOKUP($C$4,'📈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G122" s="1001" t="inlineStr">
        <is>
          <t>Đáy lịch sử</t>
        </is>
      </c>
      <c r="H122" s="73" t="inlineStr">
        <is>
          <t>🟢 MUA MẠNH</t>
        </is>
      </c>
      <c r="I122" s="1001" t="inlineStr">
        <is>
          <t>Ít gặp</t>
        </is>
      </c>
      <c r="J122" s="60" t="inlineStr">
        <is>
          <t>5%</t>
        </is>
      </c>
    </row>
    <row r="123" ht="21.75" customHeight="1" s="981">
      <c r="A123" s="60" t="inlineStr">
        <is>
          <t>2</t>
        </is>
      </c>
      <c r="B123" s="49" t="inlineStr">
        <is>
          <t>-1σ (Rẻ)</t>
        </is>
      </c>
      <c r="C123" s="101" t="inlineStr">
        <is>
          <t>0.75</t>
        </is>
      </c>
      <c r="D123" s="61">
        <f>IFERROR(IFERROR(AVERAGEIF('📈 Cổ Phiếu VN 🔍'!$C:$C,IFERROR(IFERROR(VLOOKUP($C$4,'📈 Cổ Phiếu VN 🔍'!$A:$C,3,0),""),"Khác"),'📈 Cổ Phiếu VN 🔍'!$E:$E),13)*0.75,"N/A")</f>
        <v/>
      </c>
      <c r="E123" s="65">
        <f>IFERROR(IFERROR(AVERAGEIF('📈 Cổ Phiếu VN 🔍'!$C:$C,IFERROR(IFERROR(VLOOKUP($C$4,'📈 Cổ Phiếu VN 🔍'!$A:$C,3,0),""),"Khác"),'📈 Cổ Phiếu VN 🔍'!$E:$E),13)*0.75*IFERROR(IFERROR(VLOOKUP($C$4,'📈 Cổ Phiếu VN 🔍'!$A:$I,9,0),""),0),"N/A")</f>
        <v/>
      </c>
      <c r="F123" s="56">
        <f>IFERROR((IFERROR(AVERAGEIF('📈 Cổ Phiếu VN 🔍'!$C:$C,IFERROR(IFERROR(VLOOKUP($C$4,'📈 Cổ Phiếu VN 🔍'!$A:$C,3,0),""),"Khác"),'📈 Cổ Phiếu VN 🔍'!$E:$E),13)*0.75*IFERROR(IFERROR(VLOOKUP($C$4,'📈 Cổ Phiếu VN 🔍'!$A:$I,9,0),""),0)-IFERROR(IFERROR(VLOOKUP($C$4,'📈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G123" s="1001" t="inlineStr">
        <is>
          <t>Rẻ hơn TB</t>
        </is>
      </c>
      <c r="H123" s="73" t="inlineStr">
        <is>
          <t>🔵 MUA</t>
        </is>
      </c>
      <c r="I123" s="1001" t="inlineStr">
        <is>
          <t>Vừa phải</t>
        </is>
      </c>
      <c r="J123" s="60" t="inlineStr">
        <is>
          <t>20%</t>
        </is>
      </c>
    </row>
    <row r="124" ht="57" customHeight="1" s="981">
      <c r="A124" s="60" t="inlineStr">
        <is>
          <t>3</t>
        </is>
      </c>
      <c r="B124" s="49" t="inlineStr">
        <is>
          <t>TB</t>
        </is>
      </c>
      <c r="C124" s="101" t="inlineStr">
        <is>
          <t>1.0</t>
        </is>
      </c>
      <c r="D124" s="61">
        <f>IFERROR(IFERROR(AVERAGEIF('📈 Cổ Phiếu VN 🔍'!$C:$C,IFERROR(IFERROR(VLOOKUP($C$4,'📈 Cổ Phiếu VN 🔍'!$A:$C,3,0),""),"Khác"),'📈 Cổ Phiếu VN 🔍'!$E:$E),13)*1,"N/A")</f>
        <v/>
      </c>
      <c r="E124" s="65">
        <f>IFERROR(IFERROR(AVERAGEIF('📈 Cổ Phiếu VN 🔍'!$C:$C,IFERROR(IFERROR(VLOOKUP($C$4,'📈 Cổ Phiếu VN 🔍'!$A:$C,3,0),""),"Khác"),'📈 Cổ Phiếu VN 🔍'!$E:$E),13)*1*IFERROR(IFERROR(VLOOKUP($C$4,'📈 Cổ Phiếu VN 🔍'!$A:$I,9,0),""),0),"N/A")</f>
        <v/>
      </c>
      <c r="F124" s="56">
        <f>IFERROR((IFERROR(AVERAGEIF('📈 Cổ Phiếu VN 🔍'!$C:$C,IFERROR(IFERROR(VLOOKUP($C$4,'📈 Cổ Phiếu VN 🔍'!$A:$C,3,0),""),"Khác"),'📈 Cổ Phiếu VN 🔍'!$E:$E),13)*1*IFERROR(IFERROR(VLOOKUP($C$4,'📈 Cổ Phiếu VN 🔍'!$A:$I,9,0),""),0)-IFERROR(IFERROR(VLOOKUP($C$4,'📈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G124" s="1001" t="inlineStr">
        <is>
          <t>Định giá hợp lý</t>
        </is>
      </c>
      <c r="H124" s="90" t="inlineStr">
        <is>
          <t>🟡 GIỮ</t>
        </is>
      </c>
      <c r="I124" s="1001" t="inlineStr">
        <is>
          <t>Thường</t>
        </is>
      </c>
      <c r="J124" s="60" t="inlineStr">
        <is>
          <t>50%</t>
        </is>
      </c>
    </row>
    <row r="125" ht="15" customHeight="1" s="981">
      <c r="A125" s="60" t="inlineStr">
        <is>
          <t>4</t>
        </is>
      </c>
      <c r="B125" s="49" t="inlineStr">
        <is>
          <t>+1σ (Đắt)</t>
        </is>
      </c>
      <c r="C125" s="101" t="inlineStr">
        <is>
          <t>1.25</t>
        </is>
      </c>
      <c r="D125" s="61">
        <f>IFERROR(IFERROR(AVERAGEIF('📈 Cổ Phiếu VN 🔍'!$C:$C,IFERROR(IFERROR(VLOOKUP($C$4,'📈 Cổ Phiếu VN 🔍'!$A:$C,3,0),""),"Khác"),'📈 Cổ Phiếu VN 🔍'!$E:$E),13)*1.25,"N/A")</f>
        <v/>
      </c>
      <c r="E125" s="65">
        <f>IFERROR(IFERROR(AVERAGEIF('📈 Cổ Phiếu VN 🔍'!$C:$C,IFERROR(IFERROR(VLOOKUP($C$4,'📈 Cổ Phiếu VN 🔍'!$A:$C,3,0),""),"Khác"),'📈 Cổ Phiếu VN 🔍'!$E:$E),13)*1.25*IFERROR(IFERROR(VLOOKUP($C$4,'📈 Cổ Phiếu VN 🔍'!$A:$I,9,0),""),0),"N/A")</f>
        <v/>
      </c>
      <c r="F125" s="56">
        <f>IFERROR((IFERROR(AVERAGEIF('📈 Cổ Phiếu VN 🔍'!$C:$C,IFERROR(IFERROR(VLOOKUP($C$4,'📈 Cổ Phiếu VN 🔍'!$A:$C,3,0),""),"Khác"),'📈 Cổ Phiếu VN 🔍'!$E:$E),13)*1.25*IFERROR(IFERROR(VLOOKUP($C$4,'📈 Cổ Phiếu VN 🔍'!$A:$I,9,0),""),0)-IFERROR(IFERROR(VLOOKUP($C$4,'📈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G125" s="1001" t="inlineStr">
        <is>
          <t>Đắt hơn TB</t>
        </is>
      </c>
      <c r="H125" s="73" t="inlineStr">
        <is>
          <t>🟠 KHÔNG MUA</t>
        </is>
      </c>
      <c r="I125" s="1001" t="inlineStr">
        <is>
          <t>Vừa phải</t>
        </is>
      </c>
      <c r="J125" s="60" t="inlineStr">
        <is>
          <t>20%</t>
        </is>
      </c>
    </row>
    <row r="126" ht="15" customHeight="1" s="981">
      <c r="A126" s="60" t="inlineStr">
        <is>
          <t>5</t>
        </is>
      </c>
      <c r="B126" s="49" t="inlineStr">
        <is>
          <t>+2σ (Bong bóng)</t>
        </is>
      </c>
      <c r="C126" s="101" t="inlineStr">
        <is>
          <t>1.5</t>
        </is>
      </c>
      <c r="D126" s="61">
        <f>IFERROR(IFERROR(AVERAGEIF('📈 Cổ Phiếu VN 🔍'!$C:$C,IFERROR(IFERROR(VLOOKUP($C$4,'📈 Cổ Phiếu VN 🔍'!$A:$C,3,0),""),"Khác"),'📈 Cổ Phiếu VN 🔍'!$E:$E),13)*1.5,"N/A")</f>
        <v/>
      </c>
      <c r="E126" s="65">
        <f>IFERROR(IFERROR(AVERAGEIF('📈 Cổ Phiếu VN 🔍'!$C:$C,IFERROR(IFERROR(VLOOKUP($C$4,'📈 Cổ Phiếu VN 🔍'!$A:$C,3,0),""),"Khác"),'📈 Cổ Phiếu VN 🔍'!$E:$E),13)*1.5*IFERROR(IFERROR(VLOOKUP($C$4,'📈 Cổ Phiếu VN 🔍'!$A:$I,9,0),""),0),"N/A")</f>
        <v/>
      </c>
      <c r="F126" s="56">
        <f>IFERROR((IFERROR(AVERAGEIF('📈 Cổ Phiếu VN 🔍'!$C:$C,IFERROR(IFERROR(VLOOKUP($C$4,'📈 Cổ Phiếu VN 🔍'!$A:$C,3,0),""),"Khác"),'📈 Cổ Phiếu VN 🔍'!$E:$E),13)*1.5*IFERROR(IFERROR(VLOOKUP($C$4,'📈 Cổ Phiếu VN 🔍'!$A:$I,9,0),""),0)-IFERROR(IFERROR(VLOOKUP($C$4,'📈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G126" s="1001" t="inlineStr">
        <is>
          <t>Đỉnh lịch sử</t>
        </is>
      </c>
      <c r="H126" s="108" t="inlineStr">
        <is>
          <t>🔴 BÁN MẠNH</t>
        </is>
      </c>
      <c r="I126" s="1001" t="inlineStr">
        <is>
          <t>Ít gặp</t>
        </is>
      </c>
      <c r="J126" s="60" t="inlineStr">
        <is>
          <t>5%</t>
        </is>
      </c>
    </row>
    <row r="127" ht="15" customHeight="1" s="981">
      <c r="A127" s="101" t="inlineStr">
        <is>
          <t>📍</t>
        </is>
      </c>
      <c r="B127" s="109" t="inlineStr">
        <is>
          <t>MÃ NÀY ĐANG Ở VÙNG</t>
        </is>
      </c>
      <c r="C127" s="110" t="n"/>
      <c r="D127" s="104" t="n"/>
      <c r="E127" s="25" t="n"/>
      <c r="F127" s="111" t="n"/>
      <c r="G127" s="111" t="n"/>
      <c r="H127" s="111" t="n"/>
      <c r="I127" s="111" t="n"/>
      <c r="J127" s="111" t="n"/>
    </row>
    <row r="128" ht="15" customHeight="1" s="981">
      <c r="A128" s="25" t="n"/>
      <c r="B128" s="25" t="n"/>
      <c r="C128" s="25" t="n"/>
      <c r="D128" s="50">
        <f>IFERROR(IF(IFERROR(IFERROR(VLOOKUP($C$4,'📈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🔍'!$E:$E),13)*0.5*IFERROR(IFERROR(VLOOKUP($C$4,'📈 Cổ Phiếu VN 🔍'!$A:$I,9,0),""),0),"-2σ Cực rẻ",IF(IFERROR(IFERROR(VLOOKUP($C$4,'📈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🔍'!$E:$E),13)*0.75*IFERROR(IFERROR(VLOOKUP($C$4,'📈 Cổ Phiếu VN 🔍'!$A:$I,9,0),""),0),"-1σ Rẻ",IF(IFERROR(IFERROR(VLOOKUP($C$4,'📈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🔍'!$E:$E),13)*IFERROR(IFERROR(VLOOKUP($C$4,'📈 Cổ Phiếu VN 🔍'!$A:$I,9,0),""),0),"TB",IF(IFERROR(IFERROR(VLOOKUP($C$4,'📈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🔍'!$E:$E),13)*1.25*IFERROR(IFERROR(VLOOKUP($C$4,'📈 Cổ Phiếu VN 🔍'!$A:$I,9,0),""),0),"+1σ Đắt","+2σ Bong bóng")))),"N/A")</f>
        <v/>
      </c>
      <c r="E128" s="25" t="n"/>
      <c r="F128" s="25" t="n"/>
      <c r="G128" s="25" t="n"/>
      <c r="H128" s="25" t="n"/>
      <c r="I128" s="25" t="n"/>
      <c r="J128" s="25" t="n"/>
    </row>
    <row r="129" ht="15" customHeight="1" s="981">
      <c r="A129" s="1007" t="inlineStr">
        <is>
          <t>💧 PHẦN K: CASH CONVERSION CYCLE — Chất lượng lợi nhuận (Tiền THẬT hay LẢM trên giấy?)</t>
        </is>
      </c>
      <c r="B129" s="965" t="n"/>
      <c r="C129" s="965" t="n"/>
      <c r="D129" s="965" t="n"/>
      <c r="E129" s="965" t="n"/>
      <c r="F129" s="965" t="n"/>
      <c r="G129" s="965" t="n"/>
      <c r="H129" s="965" t="n"/>
      <c r="I129" s="965" t="n"/>
      <c r="J129" s="966" t="n"/>
    </row>
    <row r="130" ht="15" customHeight="1" s="981">
      <c r="A130" s="75" t="inlineStr">
        <is>
          <t>STT</t>
        </is>
      </c>
      <c r="B130" s="75" t="inlineStr">
        <is>
          <t>Chỉ số</t>
        </is>
      </c>
      <c r="C130" s="75" t="inlineStr">
        <is>
          <t>Đơn vị</t>
        </is>
      </c>
      <c r="D130" s="75" t="inlineStr">
        <is>
          <t>Giá trị</t>
        </is>
      </c>
      <c r="E130" s="75" t="inlineStr">
        <is>
          <t>Ngưỡng tốt</t>
        </is>
      </c>
      <c r="F130" s="75" t="inlineStr">
        <is>
          <t>Đánh giá</t>
        </is>
      </c>
      <c r="G130" s="75" t="inlineStr">
        <is>
          <t>Ý nghĩa</t>
        </is>
      </c>
      <c r="H130" s="75" t="inlineStr">
        <is>
          <t>#</t>
        </is>
      </c>
      <c r="I130" s="75" t="inlineStr">
        <is>
          <t>Chỉ số</t>
        </is>
      </c>
      <c r="J130" s="75" t="inlineStr">
        <is>
          <t>Đánh giá</t>
        </is>
      </c>
    </row>
    <row r="131" ht="15" customHeight="1" s="981">
      <c r="A131" s="60" t="inlineStr">
        <is>
          <t>1</t>
        </is>
      </c>
      <c r="B131" s="49" t="inlineStr">
        <is>
          <t>DSO (Days Sales Outstanding)</t>
        </is>
      </c>
      <c r="C131" s="1001" t="inlineStr">
        <is>
          <t>Ngày</t>
        </is>
      </c>
      <c r="D131" s="89" t="inlineStr">
        <is>
          <t>45</t>
        </is>
      </c>
      <c r="E131" s="1001" t="inlineStr">
        <is>
          <t>&lt; 60</t>
        </is>
      </c>
      <c r="F131" s="73" t="inlineStr">
        <is>
          <t>"🟢 Thu tiền nhanh"</t>
        </is>
      </c>
      <c r="G131" s="88" t="inlineStr">
        <is>
          <t>Thời gian thu hồi công nợ</t>
        </is>
      </c>
      <c r="H131" s="60" t="inlineStr">
        <is>
          <t>5</t>
        </is>
      </c>
      <c r="I131" s="49" t="inlineStr">
        <is>
          <t>Operating CF / Net Income</t>
        </is>
      </c>
      <c r="J131" s="73" t="inlineStr">
        <is>
          <t>"🟢 &gt; 80%"</t>
        </is>
      </c>
    </row>
    <row r="132" ht="15" customHeight="1" s="981">
      <c r="A132" s="60" t="inlineStr">
        <is>
          <t>2</t>
        </is>
      </c>
      <c r="B132" s="49" t="inlineStr">
        <is>
          <t>DIO (Days Inventory Outstanding)</t>
        </is>
      </c>
      <c r="C132" s="1001" t="inlineStr">
        <is>
          <t>Ngày</t>
        </is>
      </c>
      <c r="D132" s="89" t="inlineStr">
        <is>
          <t>60</t>
        </is>
      </c>
      <c r="E132" s="1001" t="inlineStr">
        <is>
          <t>&lt; 90</t>
        </is>
      </c>
      <c r="F132" s="73" t="inlineStr">
        <is>
          <t>"🟢 Hàng luân chuyển nhanh"</t>
        </is>
      </c>
      <c r="G132" s="88" t="inlineStr">
        <is>
          <t>Tồn kho luân chuyển nhanh</t>
        </is>
      </c>
      <c r="H132" s="60" t="inlineStr">
        <is>
          <t>6</t>
        </is>
      </c>
      <c r="I132" s="49" t="inlineStr">
        <is>
          <t>FCF / Net Income</t>
        </is>
      </c>
      <c r="J132" s="73" t="inlineStr">
        <is>
          <t>"🟢 &gt; 60%"</t>
        </is>
      </c>
    </row>
    <row r="133" ht="15" customHeight="1" s="981">
      <c r="A133" s="60" t="inlineStr">
        <is>
          <t>3</t>
        </is>
      </c>
      <c r="B133" s="49" t="inlineStr">
        <is>
          <t>DPO (Days Payable Outstanding)</t>
        </is>
      </c>
      <c r="C133" s="1001" t="inlineStr">
        <is>
          <t>Ngày</t>
        </is>
      </c>
      <c r="D133" s="89" t="inlineStr">
        <is>
          <t>40</t>
        </is>
      </c>
      <c r="E133" s="1001" t="inlineStr">
        <is>
          <t>&gt; 30</t>
        </is>
      </c>
      <c r="F133" s="73" t="inlineStr">
        <is>
          <t>"🟢 Tận dụng nợ phải trả"</t>
        </is>
      </c>
      <c r="G133" s="88" t="inlineStr">
        <is>
          <t>Trì hoãn trả nhà cung cấp</t>
        </is>
      </c>
      <c r="H133" s="60" t="inlineStr">
        <is>
          <t>7</t>
        </is>
      </c>
      <c r="I133" s="49" t="inlineStr">
        <is>
          <t>CapEx / Doanh thu</t>
        </is>
      </c>
      <c r="J133" s="73" t="inlineStr">
        <is>
          <t>"🟢 &lt; 10%"</t>
        </is>
      </c>
    </row>
    <row r="134" ht="15" customHeight="1" s="981">
      <c r="A134" s="60" t="inlineStr">
        <is>
          <t>4</t>
        </is>
      </c>
      <c r="B134" s="49" t="inlineStr">
        <is>
          <t>CCC = DSO + DIO - DPO</t>
        </is>
      </c>
      <c r="C134" s="1001" t="inlineStr">
        <is>
          <t>Ngày</t>
        </is>
      </c>
      <c r="D134" s="89" t="n">
        <v>65</v>
      </c>
      <c r="E134" s="1001" t="inlineStr">
        <is>
          <t>&lt; 60</t>
        </is>
      </c>
      <c r="F134" s="73" t="inlineStr">
        <is>
          <t>"🟡 Trung bình"</t>
        </is>
      </c>
      <c r="G134" s="88" t="inlineStr">
        <is>
          <t>Càng ngắn càng tốt — Toyota = -10 ngày!</t>
        </is>
      </c>
      <c r="H134" s="60" t="inlineStr">
        <is>
          <t>8</t>
        </is>
      </c>
      <c r="I134" s="49" t="inlineStr">
        <is>
          <t>Working Capital Days</t>
        </is>
      </c>
      <c r="J134" s="73" t="inlineStr">
        <is>
          <t>"🟢 30-60 ngày"</t>
        </is>
      </c>
    </row>
    <row r="135" ht="15" customHeight="1" s="981">
      <c r="A135" s="101" t="inlineStr">
        <is>
          <t>🎯</t>
        </is>
      </c>
      <c r="B135" s="112" t="inlineStr">
        <is>
          <t>TỔNG CCC (DSO+DIO-DPO)</t>
        </is>
      </c>
      <c r="C135" s="113" t="n"/>
      <c r="D135" s="114">
        <f>D131+D132-D133</f>
        <v/>
      </c>
      <c r="E135" s="25" t="n"/>
      <c r="F135" s="105">
        <f>IF(D135&lt;60,"🟢 Tốt &lt;60 ngày",IF(D135&lt;90,"🟡 TB &lt;90 ngày","🔴 Chậm"))</f>
        <v/>
      </c>
      <c r="G135" s="105" t="n"/>
      <c r="H135" s="105" t="n"/>
      <c r="I135" s="105" t="n"/>
      <c r="J135" s="105" t="n"/>
    </row>
    <row r="136" ht="15" customHeight="1" s="981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</row>
    <row r="137" ht="15" customHeight="1" s="981">
      <c r="A137" s="1005" t="inlineStr">
        <is>
          <t>🌪 PHẦN L: SCENARIO MATRIX — 3 kịch bản vĩ mô (Base / Upside / Downside)</t>
        </is>
      </c>
      <c r="B137" s="965" t="n"/>
      <c r="C137" s="965" t="n"/>
      <c r="D137" s="965" t="n"/>
      <c r="E137" s="965" t="n"/>
      <c r="F137" s="965" t="n"/>
      <c r="G137" s="965" t="n"/>
      <c r="H137" s="965" t="n"/>
      <c r="I137" s="965" t="n"/>
      <c r="J137" s="966" t="n"/>
    </row>
    <row r="138" ht="36" customHeight="1" s="981">
      <c r="A138" s="77" t="inlineStr">
        <is>
          <t>STT</t>
        </is>
      </c>
      <c r="B138" s="77" t="inlineStr">
        <is>
          <t>Biến vĩ mô</t>
        </is>
      </c>
      <c r="C138" s="77" t="inlineStr">
        <is>
          <t>Đơn vị</t>
        </is>
      </c>
      <c r="D138" s="77" t="inlineStr">
        <is>
          <t>BASE CASE</t>
        </is>
      </c>
      <c r="E138" s="77" t="inlineStr">
        <is>
          <t>UPSIDE +</t>
        </is>
      </c>
      <c r="F138" s="77" t="inlineStr">
        <is>
          <t>DOWNSIDE -</t>
        </is>
      </c>
      <c r="G138" s="77" t="inlineStr">
        <is>
          <t>Tác động đến doanh nghiệp</t>
        </is>
      </c>
      <c r="H138" s="77" t="inlineStr">
        <is>
          <t>#</t>
        </is>
      </c>
      <c r="I138" s="77" t="inlineStr">
        <is>
          <t>Yếu tố</t>
        </is>
      </c>
      <c r="J138" s="77" t="inlineStr">
        <is>
          <t>Trọng số</t>
        </is>
      </c>
    </row>
    <row r="139" ht="15" customHeight="1" s="981">
      <c r="A139" s="60" t="inlineStr">
        <is>
          <t>1</t>
        </is>
      </c>
      <c r="B139" s="49" t="inlineStr">
        <is>
          <t>Lãi suất điều hành</t>
        </is>
      </c>
      <c r="C139" s="1001" t="inlineStr">
        <is>
          <t>%/năm</t>
        </is>
      </c>
      <c r="D139" s="115" t="n">
        <v>4.5</v>
      </c>
      <c r="E139" s="115" t="n">
        <v>3.5</v>
      </c>
      <c r="F139" s="115" t="n">
        <v>6</v>
      </c>
      <c r="G139" s="88" t="inlineStr">
        <is>
          <t>Giảm = tăng định giá CK</t>
        </is>
      </c>
      <c r="H139" s="60" t="inlineStr">
        <is>
          <t>1</t>
        </is>
      </c>
      <c r="I139" s="49" t="inlineStr">
        <is>
          <t>Lãi suất chiết khấu (r)</t>
        </is>
      </c>
      <c r="J139" s="116" t="inlineStr">
        <is>
          <t>20%</t>
        </is>
      </c>
    </row>
    <row r="140" ht="24" customHeight="1" s="981">
      <c r="A140" s="60" t="inlineStr">
        <is>
          <t>2</t>
        </is>
      </c>
      <c r="B140" s="49" t="inlineStr">
        <is>
          <t>Lạm phát CPI</t>
        </is>
      </c>
      <c r="C140" s="1001" t="inlineStr">
        <is>
          <t>%/năm</t>
        </is>
      </c>
      <c r="D140" s="115" t="n">
        <v>3.5</v>
      </c>
      <c r="E140" s="115" t="n">
        <v>2.5</v>
      </c>
      <c r="F140" s="115" t="n">
        <v>5.5</v>
      </c>
      <c r="G140" s="88" t="inlineStr">
        <is>
          <t>Cao = áp lực Ngân hàng + Bán lẻ</t>
        </is>
      </c>
      <c r="H140" s="60" t="inlineStr">
        <is>
          <t>2</t>
        </is>
      </c>
      <c r="I140" s="49" t="inlineStr">
        <is>
          <t>Tăng trưởng EPS</t>
        </is>
      </c>
      <c r="J140" s="116" t="inlineStr">
        <is>
          <t>30%</t>
        </is>
      </c>
    </row>
    <row r="141" ht="24" customHeight="1" s="981">
      <c r="A141" s="60" t="inlineStr">
        <is>
          <t>3</t>
        </is>
      </c>
      <c r="B141" s="49" t="inlineStr">
        <is>
          <t>Tỷ giá USD/VND</t>
        </is>
      </c>
      <c r="C141" s="1001" t="inlineStr">
        <is>
          <t>VND</t>
        </is>
      </c>
      <c r="D141" s="115" t="n">
        <v>25500</v>
      </c>
      <c r="E141" s="115" t="n">
        <v>24500</v>
      </c>
      <c r="F141" s="115" t="n">
        <v>26500</v>
      </c>
      <c r="G141" s="88" t="inlineStr">
        <is>
          <t>Tăng = lợi cho XK, hại NK</t>
        </is>
      </c>
      <c r="H141" s="60" t="inlineStr">
        <is>
          <t>3</t>
        </is>
      </c>
      <c r="I141" s="49" t="inlineStr">
        <is>
          <t>Beta thị trường</t>
        </is>
      </c>
      <c r="J141" s="116" t="inlineStr">
        <is>
          <t>15%</t>
        </is>
      </c>
    </row>
    <row r="142" ht="15" customHeight="1" s="981">
      <c r="A142" s="60" t="inlineStr">
        <is>
          <t>4</t>
        </is>
      </c>
      <c r="B142" s="49" t="inlineStr">
        <is>
          <t>Tăng trưởng GDP</t>
        </is>
      </c>
      <c r="C142" s="1001" t="inlineStr">
        <is>
          <t>%/năm</t>
        </is>
      </c>
      <c r="D142" s="115" t="n">
        <v>6.5</v>
      </c>
      <c r="E142" s="115" t="n">
        <v>7.5</v>
      </c>
      <c r="F142" s="115" t="n">
        <v>5</v>
      </c>
      <c r="G142" s="88" t="inlineStr">
        <is>
          <t>Cao = bán lẻ + thép + BĐS hưởng</t>
        </is>
      </c>
      <c r="H142" s="60" t="inlineStr">
        <is>
          <t>4</t>
        </is>
      </c>
      <c r="I142" s="49" t="inlineStr">
        <is>
          <t>Hệ số rủi ro</t>
        </is>
      </c>
      <c r="J142" s="116" t="inlineStr">
        <is>
          <t>15%</t>
        </is>
      </c>
    </row>
    <row r="143" ht="15" customHeight="1" s="981">
      <c r="A143" s="60" t="inlineStr">
        <is>
          <t>5</t>
        </is>
      </c>
      <c r="B143" s="49" t="inlineStr">
        <is>
          <t>Giá Brent ($)</t>
        </is>
      </c>
      <c r="C143" s="1001" t="inlineStr">
        <is>
          <t>USD/thùng</t>
        </is>
      </c>
      <c r="D143" s="115" t="n">
        <v>85</v>
      </c>
      <c r="E143" s="115" t="n">
        <v>75</v>
      </c>
      <c r="F143" s="115" t="n">
        <v>105</v>
      </c>
      <c r="G143" s="88" t="inlineStr">
        <is>
          <t>Tăng = lợi PVN, hại Vietnam Airlines</t>
        </is>
      </c>
      <c r="H143" s="60" t="inlineStr">
        <is>
          <t>5</t>
        </is>
      </c>
      <c r="I143" s="49" t="inlineStr">
        <is>
          <t>Premium thị trường</t>
        </is>
      </c>
      <c r="J143" s="116" t="inlineStr">
        <is>
          <t>20%</t>
        </is>
      </c>
    </row>
    <row r="144" ht="15" customHeight="1" s="981">
      <c r="A144" s="101" t="inlineStr">
        <is>
          <t>💰</t>
        </is>
      </c>
      <c r="B144" s="117" t="inlineStr">
        <is>
          <t>FAIR VALUE THEO 3 KỊCH BẢN (DCF điều chỉnh)</t>
        </is>
      </c>
      <c r="C144" s="118" t="n"/>
      <c r="D144" s="74" t="n"/>
      <c r="E144" s="119" t="n"/>
      <c r="F144" s="120" t="n"/>
      <c r="G144" s="88" t="inlineStr">
        <is>
          <t>← Khoảng dao động giá hợp lý</t>
        </is>
      </c>
      <c r="H144" s="121" t="inlineStr">
        <is>
          <t>EV = 0.5×Base + 0.25×Up + 0.25×Down</t>
        </is>
      </c>
      <c r="I144" s="121" t="n"/>
      <c r="J144" s="104" t="n"/>
    </row>
    <row r="145" ht="41.25" customHeight="1" s="981">
      <c r="A145" s="25" t="n"/>
      <c r="B145" s="25" t="n"/>
      <c r="C145" s="25" t="n"/>
      <c r="D145" s="65">
        <f>IFERROR(IFERROR(IFERROR(VLOOKUP($C$4,'📈 Cổ Phiếu VN 🔍'!$A:$I,9,0),""),0)*(1+0.15)/0.09,"N/A")</f>
        <v/>
      </c>
      <c r="E145" s="65">
        <f>IFERROR(IFERROR(IFERROR(VLOOKUP($C$4,'📈 Cổ Phiếu VN 🔍'!$A:$I,9,0),""),0)*(1+IFERROR(IFERROR(VLOOKUP($C$4,'📈 Cổ Phiếu VN 🔍'!$A:$J,10,0),""),IFERROR(IFERROR(VLOOKUP($C$4,'🌐 Cổ Phiếu TG 🔍'!$A:$I,9,0),""),0)))/0.1,"N/A")</f>
        <v/>
      </c>
      <c r="F145" s="65">
        <f>IFERROR(IFERROR(IFERROR(VLOOKUP($C$4,'📈 Cổ Phiếu VN 🔍'!$A:$I,9,0),""),0)*(1+MAX(IFERROR(IFERROR(VLOOKUP($C$4,'📈 Cổ Phiếu VN 🔍'!$A:$J,10,0),""),IFERROR(IFERROR(VLOOKUP($C$4,'🌐 Cổ Phiếu TG 🔍'!$A:$I,9,0),""),0))-0.1,0))/0.12,"N/A")</f>
        <v/>
      </c>
      <c r="G145" s="122">
        <f>IFERROR(0.5*E145+0.25*D145+0.25*F145,"N/A")</f>
        <v/>
      </c>
      <c r="H145" s="25" t="n"/>
      <c r="I145" s="25" t="n"/>
      <c r="J145" s="25" t="n"/>
    </row>
    <row r="146" ht="15" customHeight="1" s="981">
      <c r="A146" s="983" t="inlineStr">
        <is>
          <t>🧠 PHẦN M: BEHAVIORAL CHECKLIST — 5 câu hỏi tâm lý trước khi MUA/BÁN</t>
        </is>
      </c>
      <c r="B146" s="965" t="n"/>
      <c r="C146" s="965" t="n"/>
      <c r="D146" s="965" t="n"/>
      <c r="E146" s="965" t="n"/>
      <c r="F146" s="965" t="n"/>
      <c r="G146" s="965" t="n"/>
      <c r="H146" s="965" t="n"/>
      <c r="I146" s="965" t="n"/>
      <c r="J146" s="966" t="n"/>
    </row>
    <row r="147" ht="15" customHeight="1" s="981">
      <c r="A147" s="68" t="inlineStr">
        <is>
          <t>STT</t>
        </is>
      </c>
      <c r="B147" s="68" t="inlineStr">
        <is>
          <t>Câu hỏi</t>
        </is>
      </c>
      <c r="C147" s="68" t="inlineStr">
        <is>
          <t>Trả lời (0/1)</t>
        </is>
      </c>
      <c r="D147" s="68" t="inlineStr">
        <is>
          <t>Điểm</t>
        </is>
      </c>
      <c r="E147" s="68" t="inlineStr">
        <is>
          <t>#</t>
        </is>
      </c>
      <c r="F147" s="68" t="inlineStr">
        <is>
          <t>Câu hỏi</t>
        </is>
      </c>
      <c r="G147" s="68" t="inlineStr">
        <is>
          <t>Trả lời (0/1)</t>
        </is>
      </c>
      <c r="H147" s="68" t="inlineStr">
        <is>
          <t>Điểm</t>
        </is>
      </c>
      <c r="I147" s="68" t="inlineStr">
        <is>
          <t>#</t>
        </is>
      </c>
      <c r="J147" s="68" t="inlineStr">
        <is>
          <t>Bias</t>
        </is>
      </c>
    </row>
    <row r="148" ht="21.75" customHeight="1" s="981">
      <c r="A148" s="60" t="inlineStr">
        <is>
          <t>1</t>
        </is>
      </c>
      <c r="B148" s="123" t="inlineStr">
        <is>
          <t>Lệnh này dựa trên phân tích hệ thống (1) hay nghe tin đám đông (0)?</t>
        </is>
      </c>
      <c r="C148" s="123" t="n"/>
      <c r="D148" s="115" t="n">
        <v>1</v>
      </c>
      <c r="E148" s="60" t="inlineStr">
        <is>
          <t>2</t>
        </is>
      </c>
      <c r="F148" s="123" t="inlineStr">
        <is>
          <t>Doanh nghiệp đã qua bộ lọc "Tâm Sáng" (1) hay chưa (0)?</t>
        </is>
      </c>
      <c r="G148" s="123" t="n"/>
      <c r="H148" s="123" t="n"/>
      <c r="I148" s="115" t="n">
        <v>1</v>
      </c>
      <c r="J148" s="25" t="n"/>
    </row>
    <row r="149" ht="23.25" customHeight="1" s="981">
      <c r="A149" s="60" t="inlineStr">
        <is>
          <t>3</t>
        </is>
      </c>
      <c r="B149" s="123" t="inlineStr">
        <is>
          <t>Trạng thái tâm lý: Bình tĩnh (1) hay Hưng phấn/Hoảng sợ (0)?</t>
        </is>
      </c>
      <c r="C149" s="123" t="n"/>
      <c r="D149" s="115" t="n">
        <v>1</v>
      </c>
      <c r="E149" s="60" t="inlineStr">
        <is>
          <t>4</t>
        </is>
      </c>
      <c r="F149" s="123" t="inlineStr">
        <is>
          <t>Có vùng giá MUA rõ ràng (1) hay mua bất chấp (0)?</t>
        </is>
      </c>
      <c r="G149" s="123" t="n"/>
      <c r="H149" s="123" t="n"/>
      <c r="I149" s="115" t="n">
        <v>1</v>
      </c>
      <c r="J149" s="25" t="n"/>
    </row>
    <row r="150" ht="15" customHeight="1" s="981">
      <c r="A150" s="60" t="inlineStr">
        <is>
          <t>5</t>
        </is>
      </c>
      <c r="B150" s="123" t="inlineStr">
        <is>
          <t>Đã có kế hoạch cắt lỗ (1) hay không (0)?</t>
        </is>
      </c>
      <c r="C150" s="123" t="n"/>
      <c r="D150" s="115" t="n">
        <v>1</v>
      </c>
      <c r="E150" s="25" t="n"/>
      <c r="F150" s="25" t="n"/>
      <c r="G150" s="25" t="n"/>
      <c r="H150" s="25" t="n"/>
      <c r="I150" s="25" t="n"/>
      <c r="J150" s="25" t="n"/>
    </row>
    <row r="151" ht="15" customHeight="1" s="981">
      <c r="A151" s="101" t="inlineStr">
        <is>
          <t>🎯</t>
        </is>
      </c>
      <c r="B151" s="124" t="inlineStr">
        <is>
          <t>TỔNG ĐIỂM HÀNH VI (1/0 × 5 câu)</t>
        </is>
      </c>
      <c r="C151" s="125" t="n"/>
      <c r="D151" s="104">
        <f>SUM(D148:D150)+SUM(I148:I149)</f>
        <v/>
      </c>
      <c r="E151" s="60" t="inlineStr">
        <is>
          <t>/ 5</t>
        </is>
      </c>
      <c r="F151" s="105" t="n"/>
      <c r="G151" s="105" t="n"/>
      <c r="H151" s="105" t="n"/>
      <c r="I151" s="105" t="n"/>
      <c r="J151" s="105" t="n"/>
    </row>
    <row r="152" ht="15" customHeight="1" s="981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</row>
    <row r="153" ht="18" customHeight="1" s="981">
      <c r="A153" s="994" t="inlineStr">
        <is>
          <t>🛒 PHẦN N: LOT-SIZE OPTIMIZER — Mua bao nhiêu cổ phù hợp ngân sách?</t>
        </is>
      </c>
    </row>
    <row r="154" ht="15" customHeight="1" s="981">
      <c r="A154" s="995" t="n"/>
    </row>
    <row r="155" ht="15" customHeight="1" s="981">
      <c r="A155" s="60" t="inlineStr">
        <is>
          <t>1</t>
        </is>
      </c>
      <c r="B155" s="49" t="inlineStr">
        <is>
          <t>Ngân sách dự định</t>
        </is>
      </c>
      <c r="C155" s="1001" t="inlineStr">
        <is>
          <t>VND</t>
        </is>
      </c>
      <c r="D155" s="115" t="n">
        <v>14285714</v>
      </c>
      <c r="E155" s="1001" t="inlineStr">
        <is>
          <t>Mặc định: 100M / 7 mã</t>
        </is>
      </c>
      <c r="F155" s="60" t="inlineStr">
        <is>
          <t>1</t>
        </is>
      </c>
      <c r="G155" s="60" t="inlineStr">
        <is>
          <t>Tổng vốn sau khớp</t>
        </is>
      </c>
      <c r="H155" s="1001" t="inlineStr">
        <is>
          <t>VND</t>
        </is>
      </c>
      <c r="I155" s="126">
        <f>IFERROR(FLOOR(D155/(D157*(1+D156)),100)*D157*(1+D156),"N/A")</f>
        <v/>
      </c>
      <c r="J155" s="88" t="inlineStr">
        <is>
          <t>Cận trên thực tế</t>
        </is>
      </c>
    </row>
    <row r="156" ht="15" customHeight="1" s="981">
      <c r="A156" s="60" t="inlineStr">
        <is>
          <t>2</t>
        </is>
      </c>
      <c r="B156" s="49" t="inlineStr">
        <is>
          <t>Phí giao dịch</t>
        </is>
      </c>
      <c r="C156" s="1001" t="inlineStr">
        <is>
          <t>%</t>
        </is>
      </c>
      <c r="D156" s="115" t="n">
        <v>0.0015</v>
      </c>
      <c r="E156" s="1001" t="inlineStr">
        <is>
          <t>0.15% = phí MBS/SSI</t>
        </is>
      </c>
      <c r="F156" s="60" t="inlineStr">
        <is>
          <t>2</t>
        </is>
      </c>
      <c r="G156" s="60" t="inlineStr">
        <is>
          <t>Số lô tối đa</t>
        </is>
      </c>
      <c r="H156" s="1001" t="inlineStr">
        <is>
          <t>Lô</t>
        </is>
      </c>
      <c r="I156" s="127">
        <f>IFERROR(FLOOR(D155/(D157*(1+D156)),1),"N/A")</f>
        <v/>
      </c>
      <c r="J156" s="88" t="inlineStr">
        <is>
          <t>Lô = 100 cổ phiếu</t>
        </is>
      </c>
    </row>
    <row r="157" ht="15" customHeight="1" s="981">
      <c r="A157" s="60" t="inlineStr">
        <is>
          <t>3</t>
        </is>
      </c>
      <c r="B157" s="49" t="inlineStr">
        <is>
          <t>Giá khớp dự kiến</t>
        </is>
      </c>
      <c r="C157" s="1001" t="inlineStr">
        <is>
          <t>VND</t>
        </is>
      </c>
      <c r="D157" s="55">
        <f>IFERROR(IFERROR(VLOOKUP($C$4,'📈 Cổ Phiếu VN 🔍'!$A:$D,4,0),""),IFERROR(IFERROR(VLOOKUP($C$4,'🌐 Cổ Phiếu TG 🔍'!$A:$D,4,0),""),0))</f>
        <v/>
      </c>
      <c r="E157" s="1001" t="inlineStr">
        <is>
          <t>Giá hiện tại từ DB</t>
        </is>
      </c>
      <c r="F157" s="60" t="inlineStr">
        <is>
          <t>3</t>
        </is>
      </c>
      <c r="G157" s="60" t="inlineStr">
        <is>
          <t>Số cổ phiếu</t>
        </is>
      </c>
      <c r="H157" s="1001" t="inlineStr">
        <is>
          <t>Cổ</t>
        </is>
      </c>
      <c r="I157" s="127">
        <f>IFERROR(FLOOR(D155/(D157*(1+D156)),1)*100,"N/A")</f>
        <v/>
      </c>
      <c r="J157" s="88" t="inlineStr">
        <is>
          <t>Lô × 100</t>
        </is>
      </c>
    </row>
    <row r="158" ht="24" customHeight="1" s="981">
      <c r="A158" s="101" t="inlineStr">
        <is>
          <t>💵</t>
        </is>
      </c>
      <c r="B158" s="128" t="inlineStr">
        <is>
          <t>LỆNH ĐỀ XUẤT</t>
        </is>
      </c>
      <c r="C158" s="129" t="n"/>
      <c r="D158" s="74" t="n"/>
      <c r="E158" s="1001" t="inlineStr">
        <is>
          <t>← Tổng đã dùng (kể cả phí)</t>
        </is>
      </c>
      <c r="F158" s="119" t="n"/>
      <c r="G158" s="1001" t="inlineStr">
        <is>
          <t>← Tiền lẻ còn lại</t>
        </is>
      </c>
      <c r="H158" s="121" t="n"/>
      <c r="I158" s="121" t="n"/>
      <c r="J158" s="121" t="n"/>
    </row>
    <row r="159" ht="41.25" customHeight="1" s="981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</row>
    <row r="160" ht="30" customHeight="1" s="981">
      <c r="A160" s="996" t="inlineStr">
        <is>
          <t>⚡ PHẦN O: FINAL ACTION PLAN — Quyết định cuối cùng từ 15 phần phân tích</t>
        </is>
      </c>
      <c r="B160" s="965" t="n"/>
      <c r="C160" s="965" t="n"/>
      <c r="D160" s="965" t="n"/>
      <c r="E160" s="965" t="n"/>
      <c r="F160" s="965" t="n"/>
      <c r="G160" s="965" t="n"/>
      <c r="H160" s="965" t="n"/>
      <c r="I160" s="965" t="n"/>
      <c r="J160" s="966" t="n"/>
    </row>
    <row r="161" ht="15" customHeight="1" s="981">
      <c r="A161" s="1004" t="inlineStr">
        <is>
          <t>📋 BẢNG TỔNG HỢP KẾT QUẢ 15 PHẦN PHÂN TÍCH (đã làm xong ở các phần trên)</t>
        </is>
      </c>
      <c r="B161" s="965" t="n"/>
      <c r="C161" s="965" t="n"/>
      <c r="D161" s="965" t="n"/>
      <c r="E161" s="965" t="n"/>
      <c r="F161" s="965" t="n"/>
      <c r="G161" s="965" t="n"/>
      <c r="H161" s="965" t="n"/>
      <c r="I161" s="965" t="n"/>
      <c r="J161" s="966" t="n"/>
    </row>
    <row r="162" ht="24" customHeight="1" s="981">
      <c r="A162" s="131" t="inlineStr">
        <is>
          <t>Cấu phần điểm</t>
        </is>
      </c>
      <c r="B162" s="131" t="inlineStr">
        <is>
          <t>Điểm đạt</t>
        </is>
      </c>
      <c r="C162" s="131" t="inlineStr">
        <is>
          <t>Tối đa</t>
        </is>
      </c>
      <c r="D162" s="131" t="inlineStr">
        <is>
          <t>%</t>
        </is>
      </c>
      <c r="E162" s="132" t="inlineStr">
        <is>
          <t>Tham chiếu</t>
        </is>
      </c>
      <c r="F162" s="132" t="n"/>
      <c r="G162" s="132" t="n"/>
      <c r="H162" s="132" t="n"/>
      <c r="I162" s="132" t="n"/>
      <c r="J162" s="132" t="n"/>
    </row>
    <row r="163" ht="24" customHeight="1" s="981">
      <c r="A163" s="49" t="inlineStr">
        <is>
          <t>Valuation Score</t>
        </is>
      </c>
      <c r="B163" s="81">
        <f>B92</f>
        <v/>
      </c>
      <c r="C163" s="60" t="n">
        <v>20</v>
      </c>
      <c r="D163" s="133">
        <f>B163/C163</f>
        <v/>
      </c>
      <c r="E163" s="121" t="inlineStr">
        <is>
          <t>Điểm định giá (P/E, PEG, DCF, Graham)</t>
        </is>
      </c>
      <c r="F163" s="121" t="n"/>
      <c r="G163" s="121" t="n"/>
      <c r="H163" s="121" t="n"/>
      <c r="I163" s="121" t="n"/>
      <c r="J163" s="121" t="n"/>
    </row>
    <row r="164" ht="15" customHeight="1" s="981">
      <c r="A164" s="49" t="inlineStr">
        <is>
          <t>Quality Score</t>
        </is>
      </c>
      <c r="B164" s="81">
        <f>B93</f>
        <v/>
      </c>
      <c r="C164" s="60" t="n">
        <v>20</v>
      </c>
      <c r="D164" s="133">
        <f>B164/C164</f>
        <v/>
      </c>
      <c r="E164" s="121" t="inlineStr">
        <is>
          <t>Điểm chất lượng (ROE, ROIC, Margin)</t>
        </is>
      </c>
      <c r="F164" s="121" t="n"/>
      <c r="G164" s="121" t="n"/>
      <c r="H164" s="121" t="n"/>
      <c r="I164" s="121" t="n"/>
      <c r="J164" s="121" t="n"/>
    </row>
    <row r="165" ht="15" customHeight="1" s="981">
      <c r="A165" s="49" t="inlineStr">
        <is>
          <t>Health Score</t>
        </is>
      </c>
      <c r="B165" s="81">
        <f>B94</f>
        <v/>
      </c>
      <c r="C165" s="60" t="n">
        <v>15</v>
      </c>
      <c r="D165" s="133">
        <f>B165/C165</f>
        <v/>
      </c>
      <c r="E165" s="121" t="inlineStr">
        <is>
          <t>Sức khỏe (Altman Z, Piotroski, Debt)</t>
        </is>
      </c>
      <c r="F165" s="121" t="n"/>
      <c r="G165" s="121" t="n"/>
      <c r="H165" s="121" t="n"/>
      <c r="I165" s="121" t="n"/>
      <c r="J165" s="121" t="n"/>
    </row>
    <row r="166" ht="15" customHeight="1" s="981">
      <c r="A166" s="49" t="inlineStr">
        <is>
          <t>Growth Score</t>
        </is>
      </c>
      <c r="B166" s="81">
        <f>B95</f>
        <v/>
      </c>
      <c r="C166" s="60" t="n">
        <v>15</v>
      </c>
      <c r="D166" s="133">
        <f>B166/C166</f>
        <v/>
      </c>
      <c r="E166" s="121" t="inlineStr">
        <is>
          <t>Tăng trưởng (CAGR, Future EPS)</t>
        </is>
      </c>
      <c r="F166" s="121" t="n"/>
      <c r="G166" s="121" t="n"/>
      <c r="H166" s="121" t="n"/>
      <c r="I166" s="121" t="n"/>
      <c r="J166" s="121" t="n"/>
    </row>
    <row r="167" ht="15" customHeight="1" s="981">
      <c r="A167" s="49" t="inlineStr">
        <is>
          <t>Dividend Score</t>
        </is>
      </c>
      <c r="B167" s="81">
        <f>B96</f>
        <v/>
      </c>
      <c r="C167" s="60" t="n">
        <v>10</v>
      </c>
      <c r="D167" s="133">
        <f>B167/C167</f>
        <v/>
      </c>
      <c r="E167" s="121" t="inlineStr">
        <is>
          <t>Cổ tức (Yield, Payout, Years)</t>
        </is>
      </c>
      <c r="F167" s="121" t="n"/>
      <c r="G167" s="121" t="n"/>
      <c r="H167" s="121" t="n"/>
      <c r="I167" s="121" t="n"/>
      <c r="J167" s="121" t="n"/>
    </row>
    <row r="168" ht="15" customHeight="1" s="981">
      <c r="A168" s="49" t="inlineStr">
        <is>
          <t>Technical Score</t>
        </is>
      </c>
      <c r="B168" s="81">
        <f>B97</f>
        <v/>
      </c>
      <c r="C168" s="60" t="n">
        <v>10</v>
      </c>
      <c r="D168" s="133">
        <f>B168/C168</f>
        <v/>
      </c>
      <c r="E168" s="121" t="inlineStr">
        <is>
          <t>Kỹ thuật (RSI, MA50/200, Beta)</t>
        </is>
      </c>
      <c r="F168" s="121" t="n"/>
      <c r="G168" s="121" t="n"/>
      <c r="H168" s="121" t="n"/>
      <c r="I168" s="121" t="n"/>
      <c r="J168" s="121" t="n"/>
    </row>
    <row r="169" ht="27.75" customHeight="1" s="981">
      <c r="A169" s="49" t="inlineStr">
        <is>
          <t>Peer Score</t>
        </is>
      </c>
      <c r="B169" s="81">
        <f>B98</f>
        <v/>
      </c>
      <c r="C169" s="60" t="n">
        <v>10</v>
      </c>
      <c r="D169" s="133">
        <f>B169/C169</f>
        <v/>
      </c>
      <c r="E169" s="121" t="inlineStr">
        <is>
          <t>So sánh ngành (P/E, ROE, Vốn hóa)</t>
        </is>
      </c>
      <c r="F169" s="121" t="n"/>
      <c r="G169" s="121" t="n"/>
      <c r="H169" s="121" t="n"/>
      <c r="I169" s="121" t="n"/>
      <c r="J169" s="121" t="n"/>
    </row>
    <row r="170" ht="15" customHeight="1" s="981">
      <c r="A170" s="49" t="inlineStr">
        <is>
          <t>Buy Zone Score</t>
        </is>
      </c>
      <c r="B170" s="81">
        <f>IFERROR(MIN(15,MAX(0,(IFERROR(AVERAGEIF(D104:D109,"&gt;"&amp;0),IFERROR(IFERROR(VLOOKUP($C$4,'📈 Cổ Phiếu VN 🔍'!$A:$D,4,0),""),IFERROR(IFERROR(VLOOKUP($C$4,'🌐 Cổ Phiếu TG 🔍'!$A:$D,4,0),""),0)))-IFERROR(IFERROR(VLOOKUP($C$4,'📈 Cổ Phiếu VN 🔍'!$A:$D,4,0),""),IFERROR(IFERROR(VLOOKUP($C$4,'🌐 Cổ Phiếu TG 🔍'!$A:$D,4,0),""),0)))/IFERROR(AVERAGEIF(D104:D109,"&gt;"&amp;0),IFERROR(IFERROR(VLOOKUP($C$4,'📈 Cổ Phiếu VN 🔍'!$A:$D,4,0),""),IFERROR(IFERROR(VLOOKUP($C$4,'🌐 Cổ Phiếu TG 🔍'!$A:$D,4,0),""),0)))*50)),0)</f>
        <v/>
      </c>
      <c r="C170" s="60" t="n">
        <v>15</v>
      </c>
      <c r="D170" s="133">
        <f>B170/C170</f>
        <v/>
      </c>
      <c r="E170" s="121" t="inlineStr">
        <is>
          <t>Vùng giá mua (Phần H)</t>
        </is>
      </c>
      <c r="F170" s="121" t="n"/>
      <c r="G170" s="121" t="n"/>
      <c r="H170" s="121" t="n"/>
      <c r="I170" s="121" t="n"/>
      <c r="J170" s="121" t="n"/>
    </row>
    <row r="171" ht="24" customHeight="1" s="981">
      <c r="A171" s="49" t="inlineStr">
        <is>
          <t>Beneish (gian lận)</t>
        </is>
      </c>
      <c r="B171" s="81">
        <f>IF(D119&lt;-2.22,10,IF(D119&lt;-1.78,5,2))</f>
        <v/>
      </c>
      <c r="C171" s="60" t="n">
        <v>10</v>
      </c>
      <c r="D171" s="60" t="n"/>
      <c r="E171" s="121" t="inlineStr">
        <is>
          <t>M-Score &lt; -2.22 = sạch (Phần I)</t>
        </is>
      </c>
      <c r="F171" s="121" t="n"/>
      <c r="G171" s="121" t="n"/>
      <c r="H171" s="121" t="n"/>
      <c r="I171" s="121" t="n"/>
      <c r="J171" s="121" t="n"/>
    </row>
    <row r="172" ht="24" customHeight="1" s="981">
      <c r="A172" s="49" t="inlineStr">
        <is>
          <t>Valuation Bands</t>
        </is>
      </c>
      <c r="B172" s="81">
        <f>IFERROR(IF(IFERROR(IFERROR(VLOOKUP($C$4,'📈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🔍'!$E:$E),13)*0.5*IFERROR(IFERROR(VLOOKUP($C$4,'📈 Cổ Phiếu VN 🔍'!$A:$I,9,0),""),0),15,IF(IFERROR(IFERROR(VLOOKUP($C$4,'📈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🔍'!$E:$E),13)*0.75*IFERROR(IFERROR(VLOOKUP($C$4,'📈 Cổ Phiếu VN 🔍'!$A:$I,9,0),""),0),12,IF(IFERROR(IFERROR(VLOOKUP($C$4,'📈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🔍'!$E:$E),13)*IFERROR(IFERROR(VLOOKUP($C$4,'📈 Cổ Phiếu VN 🔍'!$A:$I,9,0),""),0),8,3))),8)</f>
        <v/>
      </c>
      <c r="C172" s="60" t="n">
        <v>15</v>
      </c>
      <c r="D172" s="60" t="n"/>
      <c r="E172" s="121" t="inlineStr">
        <is>
          <t>Vùng -2σ/-1σ/TB/+1σ/+2σ (Phần J)</t>
        </is>
      </c>
      <c r="F172" s="121" t="n"/>
      <c r="G172" s="121" t="n"/>
      <c r="H172" s="121" t="n"/>
      <c r="I172" s="121" t="n"/>
      <c r="J172" s="121" t="n"/>
    </row>
    <row r="173" ht="23.25" customHeight="1" s="981">
      <c r="A173" s="49" t="inlineStr">
        <is>
          <t>CCC Quality</t>
        </is>
      </c>
      <c r="B173" s="81" t="n">
        <v>8</v>
      </c>
      <c r="C173" s="60" t="n">
        <v>10</v>
      </c>
      <c r="D173" s="133">
        <f>B173/C173</f>
        <v/>
      </c>
      <c r="E173" s="121" t="inlineStr">
        <is>
          <t>Cash Conv Cycle (Phần K)</t>
        </is>
      </c>
      <c r="F173" s="121" t="n"/>
      <c r="G173" s="121" t="n"/>
      <c r="H173" s="121" t="n"/>
      <c r="I173" s="121" t="n"/>
      <c r="J173" s="121" t="n"/>
    </row>
    <row r="174" ht="15" customHeight="1" s="981">
      <c r="A174" s="49" t="inlineStr">
        <is>
          <t>Scenario EV</t>
        </is>
      </c>
      <c r="B174" s="81" t="n">
        <v>8</v>
      </c>
      <c r="C174" s="60" t="n">
        <v>15</v>
      </c>
      <c r="D174" s="133">
        <f>B174/C174</f>
        <v/>
      </c>
      <c r="E174" s="121" t="inlineStr">
        <is>
          <t>Expected Value 3 kịch bản (Phần L)</t>
        </is>
      </c>
      <c r="F174" s="121" t="n"/>
      <c r="G174" s="121" t="n"/>
      <c r="H174" s="121" t="n"/>
      <c r="I174" s="121" t="n"/>
      <c r="J174" s="121" t="n"/>
    </row>
    <row r="175" ht="15" customHeight="1" s="981">
      <c r="A175" s="49" t="inlineStr">
        <is>
          <t>Behavioral Check</t>
        </is>
      </c>
      <c r="B175" s="81" t="n">
        <v>8</v>
      </c>
      <c r="C175" s="60" t="n">
        <v>15</v>
      </c>
      <c r="D175" s="133">
        <f>B175/C175</f>
        <v/>
      </c>
      <c r="E175" s="121" t="inlineStr">
        <is>
          <t>Kỷ luật tâm lý (Phần M, ×3)</t>
        </is>
      </c>
      <c r="F175" s="121" t="n"/>
      <c r="G175" s="121" t="n"/>
      <c r="H175" s="121" t="n"/>
      <c r="I175" s="121" t="n"/>
      <c r="J175" s="121" t="n"/>
    </row>
    <row r="176" ht="23.25" customHeight="1" s="981">
      <c r="A176" s="84" t="inlineStr">
        <is>
          <t>🏆 TỔNG ĐIỂM HỆ THỐNG</t>
        </is>
      </c>
      <c r="B176" s="85">
        <f>SUM(B163:B175)</f>
        <v/>
      </c>
      <c r="C176" s="134" t="n">
        <v>150</v>
      </c>
      <c r="D176" s="104" t="n"/>
      <c r="E176" s="87">
        <f>IF(B176&gt;=110,"🟢 MUA — Đáng giải ngân",IF(B176&gt;=80,"🔵 THEO DÕI",IF(B176&gt;=60,"🟡 TRUNG LẬP","🔴 KHÔNG MUA")))</f>
        <v/>
      </c>
      <c r="F176" s="87" t="n"/>
      <c r="G176" s="87" t="n"/>
      <c r="H176" s="87" t="n"/>
      <c r="I176" s="87" t="n"/>
      <c r="J176" s="87" t="n"/>
    </row>
    <row r="177" ht="15" customHeight="1" s="981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</row>
    <row r="178" ht="27.75" customHeight="1" s="981">
      <c r="A178" s="997" t="inlineStr">
        <is>
          <t>🌳 PHẦN P: REAL OPTIONS VALUATION — Định giá quyền chọn linh hoạt (Binomial Tree 3 bước)</t>
        </is>
      </c>
      <c r="B178" s="965" t="n"/>
      <c r="C178" s="965" t="n"/>
      <c r="D178" s="965" t="n"/>
      <c r="E178" s="965" t="n"/>
      <c r="F178" s="965" t="n"/>
      <c r="G178" s="965" t="n"/>
      <c r="H178" s="965" t="n"/>
      <c r="I178" s="965" t="n"/>
      <c r="J178" s="966" t="n"/>
    </row>
    <row r="179" ht="15" customHeight="1" s="981">
      <c r="A179" s="77" t="inlineStr">
        <is>
          <t>#</t>
        </is>
      </c>
      <c r="B179" s="77" t="inlineStr">
        <is>
          <t>THÔNG SỐ INPUT</t>
        </is>
      </c>
      <c r="C179" s="77" t="inlineStr">
        <is>
          <t>Đơn vị</t>
        </is>
      </c>
      <c r="D179" s="77" t="inlineStr">
        <is>
          <t>Giá trị</t>
        </is>
      </c>
      <c r="E179" s="77" t="inlineStr">
        <is>
          <t>#</t>
        </is>
      </c>
      <c r="F179" s="77" t="inlineStr">
        <is>
          <t>THÔNG SỐ TRUNG GIAN</t>
        </is>
      </c>
      <c r="G179" s="77" t="inlineStr">
        <is>
          <t>Công thức</t>
        </is>
      </c>
      <c r="H179" s="77" t="inlineStr">
        <is>
          <t>Giá trị</t>
        </is>
      </c>
      <c r="I179" s="77" t="inlineStr">
        <is>
          <t>Ghi chú</t>
        </is>
      </c>
      <c r="J179" s="77" t="inlineStr">
        <is>
          <t>—</t>
        </is>
      </c>
    </row>
    <row r="180" ht="24" customHeight="1" s="981">
      <c r="A180" s="60" t="inlineStr">
        <is>
          <t>1</t>
        </is>
      </c>
      <c r="B180" s="49" t="inlineStr">
        <is>
          <t>S₀ — Giá trị dòng tiền cơ sở</t>
        </is>
      </c>
      <c r="C180" s="1001" t="inlineStr">
        <is>
          <t>₫</t>
        </is>
      </c>
      <c r="D180" s="115" t="n"/>
      <c r="E180" s="60" t="inlineStr">
        <is>
          <t>1</t>
        </is>
      </c>
      <c r="F180" s="49" t="inlineStr">
        <is>
          <t>Δt = T/n</t>
        </is>
      </c>
      <c r="G180" s="1001" t="inlineStr">
        <is>
          <t>T/3</t>
        </is>
      </c>
      <c r="H180" s="89" t="n"/>
      <c r="I180" s="121" t="inlineStr">
        <is>
          <t>Bước thời gian</t>
        </is>
      </c>
      <c r="J180" s="121" t="n"/>
    </row>
    <row r="181" ht="24" customHeight="1" s="981">
      <c r="A181" s="60" t="inlineStr">
        <is>
          <t>2</t>
        </is>
      </c>
      <c r="B181" s="49" t="inlineStr">
        <is>
          <t>K — Vốn đầu tư mở rộng</t>
        </is>
      </c>
      <c r="C181" s="1001" t="inlineStr">
        <is>
          <t>₫</t>
        </is>
      </c>
      <c r="D181" s="115" t="n"/>
      <c r="E181" s="60" t="inlineStr">
        <is>
          <t>2</t>
        </is>
      </c>
      <c r="F181" s="49" t="inlineStr">
        <is>
          <t>u (tăng)</t>
        </is>
      </c>
      <c r="G181" s="1001" t="inlineStr">
        <is>
          <t>e^(σ√Δt)</t>
        </is>
      </c>
      <c r="H181" s="89" t="n"/>
      <c r="I181" s="121" t="inlineStr">
        <is>
          <t>Hệ số đi lên</t>
        </is>
      </c>
      <c r="J181" s="121" t="n"/>
    </row>
    <row r="182" ht="41.25" customHeight="1" s="981">
      <c r="A182" s="60" t="inlineStr">
        <is>
          <t>3</t>
        </is>
      </c>
      <c r="B182" s="49" t="inlineStr">
        <is>
          <t>σ — Độ biến động (năm)</t>
        </is>
      </c>
      <c r="C182" s="1001" t="inlineStr">
        <is>
          <t>%</t>
        </is>
      </c>
      <c r="D182" s="115" t="n">
        <v>0.25</v>
      </c>
      <c r="E182" s="60" t="inlineStr">
        <is>
          <t>3</t>
        </is>
      </c>
      <c r="F182" s="49" t="inlineStr">
        <is>
          <t>d (giảm)</t>
        </is>
      </c>
      <c r="G182" s="1001" t="inlineStr">
        <is>
          <t>1/u</t>
        </is>
      </c>
      <c r="H182" s="89" t="n"/>
      <c r="I182" s="121" t="inlineStr">
        <is>
          <t>Hệ số đi xuống</t>
        </is>
      </c>
      <c r="J182" s="121" t="n"/>
    </row>
    <row r="183" ht="41.25" customHeight="1" s="981">
      <c r="A183" s="60" t="inlineStr">
        <is>
          <t>4</t>
        </is>
      </c>
      <c r="B183" s="49" t="inlineStr">
        <is>
          <t>r — Lãi suất phi rủi ro</t>
        </is>
      </c>
      <c r="C183" s="1001" t="inlineStr">
        <is>
          <t>%</t>
        </is>
      </c>
      <c r="D183" s="115" t="n">
        <v>0.045</v>
      </c>
      <c r="E183" s="60" t="inlineStr">
        <is>
          <t>4</t>
        </is>
      </c>
      <c r="F183" s="49" t="inlineStr">
        <is>
          <t>p (xác suất tăng)</t>
        </is>
      </c>
      <c r="G183" s="1001" t="inlineStr">
        <is>
          <t>(e^(rΔt)-d)/(u-d)</t>
        </is>
      </c>
      <c r="H183" s="89" t="n"/>
      <c r="I183" s="121" t="inlineStr">
        <is>
          <t>Xác suất tăng</t>
        </is>
      </c>
      <c r="J183" s="121" t="n"/>
    </row>
    <row r="184" ht="41.25" customHeight="1" s="981">
      <c r="A184" s="60" t="inlineStr">
        <is>
          <t>5</t>
        </is>
      </c>
      <c r="B184" s="49" t="inlineStr">
        <is>
          <t>T — Thời hạn quyền chọn</t>
        </is>
      </c>
      <c r="C184" s="1001" t="inlineStr">
        <is>
          <t>năm</t>
        </is>
      </c>
      <c r="D184" s="115" t="n">
        <v>3</v>
      </c>
      <c r="E184" s="60" t="inlineStr">
        <is>
          <t>5</t>
        </is>
      </c>
      <c r="F184" s="49" t="inlineStr">
        <is>
          <t>1-p</t>
        </is>
      </c>
      <c r="G184" s="1001" t="n"/>
      <c r="H184" s="89" t="n"/>
      <c r="I184" s="121" t="inlineStr">
        <is>
          <t>Xác suất giảm</t>
        </is>
      </c>
      <c r="J184" s="121" t="n"/>
    </row>
    <row r="185" ht="54.75" customHeight="1" s="981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</row>
    <row r="186" ht="27" customHeight="1" s="981">
      <c r="A186" s="1010" t="inlineStr">
        <is>
          <t>🌲 CÂY NHỊ PHÂN GIÁ TRỊ TÀI SẢN (cols 1-4) | 🌳 GIÁ TRỊ QUYỀN CHỌN (cols 6-9)</t>
        </is>
      </c>
      <c r="B186" s="965" t="n"/>
      <c r="C186" s="965" t="n"/>
      <c r="D186" s="965" t="n"/>
      <c r="E186" s="965" t="n"/>
      <c r="F186" s="965" t="n"/>
      <c r="G186" s="965" t="n"/>
      <c r="H186" s="965" t="n"/>
      <c r="I186" s="965" t="n"/>
      <c r="J186" s="966" t="n"/>
    </row>
    <row r="187" ht="27.75" customHeight="1" s="981">
      <c r="A187" s="77" t="inlineStr">
        <is>
          <t>Năm 0</t>
        </is>
      </c>
      <c r="B187" s="77" t="inlineStr">
        <is>
          <t>Năm 1</t>
        </is>
      </c>
      <c r="C187" s="77" t="inlineStr">
        <is>
          <t>Năm 2</t>
        </is>
      </c>
      <c r="D187" s="77" t="inlineStr">
        <is>
          <t>Năm 3</t>
        </is>
      </c>
      <c r="E187" s="135" t="inlineStr">
        <is>
          <t>↔</t>
        </is>
      </c>
      <c r="F187" s="136" t="inlineStr">
        <is>
          <t>ROV-0</t>
        </is>
      </c>
      <c r="G187" s="136" t="inlineStr">
        <is>
          <t>ROV-1</t>
        </is>
      </c>
      <c r="H187" s="136" t="inlineStr">
        <is>
          <t>ROV-2</t>
        </is>
      </c>
      <c r="I187" s="136" t="inlineStr">
        <is>
          <t>ROV-3</t>
        </is>
      </c>
      <c r="J187" s="135" t="inlineStr">
        <is>
          <t>—</t>
        </is>
      </c>
    </row>
    <row r="188" ht="15" customHeight="1" s="981">
      <c r="A188" s="25" t="n"/>
      <c r="B188" s="25" t="n"/>
      <c r="C188" s="25" t="n"/>
      <c r="D188" s="137" t="n"/>
      <c r="E188" s="25" t="n"/>
      <c r="F188" s="25" t="n"/>
      <c r="G188" s="25" t="n"/>
      <c r="H188" s="25" t="n"/>
      <c r="I188" s="137" t="n"/>
      <c r="J188" s="25" t="n"/>
    </row>
    <row r="189" ht="24" customHeight="1" s="981">
      <c r="A189" s="25" t="n"/>
      <c r="B189" s="25" t="n"/>
      <c r="C189" s="137" t="n"/>
      <c r="D189" s="25" t="n"/>
      <c r="E189" s="25" t="n"/>
      <c r="F189" s="25" t="n"/>
      <c r="G189" s="25" t="n"/>
      <c r="H189" s="137" t="n"/>
      <c r="I189" s="25" t="n"/>
      <c r="J189" s="25" t="n"/>
    </row>
    <row r="190" ht="24" customHeight="1" s="981">
      <c r="A190" s="25" t="n"/>
      <c r="B190" s="137" t="n"/>
      <c r="C190" s="25" t="n"/>
      <c r="D190" s="137" t="n"/>
      <c r="E190" s="25" t="n"/>
      <c r="F190" s="25" t="n"/>
      <c r="G190" s="137" t="n"/>
      <c r="H190" s="25" t="n"/>
      <c r="I190" s="137" t="n"/>
      <c r="J190" s="25" t="n"/>
    </row>
    <row r="191" ht="27" customHeight="1" s="981">
      <c r="A191" s="138" t="n"/>
      <c r="B191" s="25" t="n"/>
      <c r="C191" s="139" t="n"/>
      <c r="D191" s="25" t="n"/>
      <c r="E191" s="25" t="n"/>
      <c r="F191" s="140" t="n"/>
      <c r="G191" s="25" t="n"/>
      <c r="H191" s="139" t="n"/>
      <c r="I191" s="25" t="n"/>
      <c r="J191" s="25" t="n"/>
    </row>
    <row r="192" ht="15" customHeight="1" s="981">
      <c r="A192" s="25" t="n"/>
      <c r="B192" s="141" t="n"/>
      <c r="C192" s="25" t="n"/>
      <c r="D192" s="141" t="n"/>
      <c r="E192" s="25" t="n"/>
      <c r="F192" s="25" t="n"/>
      <c r="G192" s="141" t="n"/>
      <c r="H192" s="25" t="n"/>
      <c r="I192" s="141" t="n"/>
      <c r="J192" s="25" t="n"/>
    </row>
    <row r="193" ht="15" customHeight="1" s="981">
      <c r="A193" s="25" t="n"/>
      <c r="B193" s="25" t="n"/>
      <c r="C193" s="141" t="n"/>
      <c r="D193" s="25" t="n"/>
      <c r="E193" s="25" t="n"/>
      <c r="F193" s="25" t="n"/>
      <c r="G193" s="25" t="n"/>
      <c r="H193" s="141" t="n"/>
      <c r="I193" s="25" t="n"/>
      <c r="J193" s="25" t="n"/>
    </row>
    <row r="194" ht="41.25" customHeight="1" s="981">
      <c r="A194" s="25" t="n"/>
      <c r="B194" s="25" t="n"/>
      <c r="C194" s="25" t="n"/>
      <c r="D194" s="141" t="n"/>
      <c r="E194" s="25" t="n"/>
      <c r="F194" s="25" t="n"/>
      <c r="G194" s="25" t="n"/>
      <c r="H194" s="25" t="n"/>
      <c r="I194" s="141" t="n"/>
      <c r="J194" s="25" t="n"/>
    </row>
    <row r="195" ht="15" customHeight="1" s="981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</row>
    <row r="196" ht="24" customHeight="1" s="981">
      <c r="A196" s="997" t="inlineStr">
        <is>
          <t>💎 KẾT QUẢ: NPV TRUYỀN THỐNG vs ROV vs EXPANDED NPV</t>
        </is>
      </c>
      <c r="B196" s="965" t="n"/>
      <c r="C196" s="965" t="n"/>
      <c r="D196" s="965" t="n"/>
      <c r="E196" s="965" t="n"/>
      <c r="F196" s="965" t="n"/>
      <c r="G196" s="965" t="n"/>
      <c r="H196" s="965" t="n"/>
      <c r="I196" s="965" t="n"/>
      <c r="J196" s="966" t="n"/>
    </row>
    <row r="197" ht="24" customHeight="1" s="981">
      <c r="A197" s="142" t="inlineStr">
        <is>
          <t>📉 NPV Truyền thống</t>
        </is>
      </c>
      <c r="B197" s="25" t="n"/>
      <c r="C197" s="25" t="n"/>
      <c r="D197" s="100" t="n"/>
      <c r="E197" s="25" t="n"/>
      <c r="F197" s="143" t="inlineStr">
        <is>
          <t>🌳 ROV (Real Options)</t>
        </is>
      </c>
      <c r="G197" s="25" t="n"/>
      <c r="H197" s="25" t="n"/>
      <c r="I197" s="144" t="n"/>
      <c r="J197" s="25" t="n"/>
    </row>
    <row r="198" ht="36" customHeight="1" s="981">
      <c r="A198" s="145" t="inlineStr">
        <is>
          <t>⚡ EXPANDED NPV (NPV + ROV)</t>
        </is>
      </c>
      <c r="B198" s="25" t="n"/>
      <c r="C198" s="25" t="n"/>
      <c r="D198" s="104" t="n"/>
      <c r="E198" s="25" t="n"/>
      <c r="F198" s="146" t="n"/>
      <c r="G198" s="25" t="n"/>
      <c r="H198" s="25" t="n"/>
      <c r="I198" s="25" t="n"/>
      <c r="J198" s="25" t="n"/>
    </row>
    <row r="199" ht="36" customHeight="1" s="981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</row>
    <row r="200" ht="24" customHeight="1" s="981">
      <c r="A200" s="1017" t="inlineStr">
        <is>
          <t>📐 PHẦN Q: FAMA-FRENCH 5-FACTOR ALPHA — Bóc tách 5 nhân tố sinh lời thật</t>
        </is>
      </c>
      <c r="B200" s="965" t="n"/>
      <c r="C200" s="965" t="n"/>
      <c r="D200" s="965" t="n"/>
      <c r="E200" s="965" t="n"/>
      <c r="F200" s="965" t="n"/>
      <c r="G200" s="965" t="n"/>
      <c r="H200" s="965" t="n"/>
      <c r="I200" s="965" t="n"/>
      <c r="J200" s="966" t="n"/>
    </row>
    <row r="201" ht="24" customHeight="1" s="981">
      <c r="A201" s="59" t="inlineStr">
        <is>
          <t>STT</t>
        </is>
      </c>
      <c r="B201" s="59" t="inlineStr">
        <is>
          <t>Nhân tố</t>
        </is>
      </c>
      <c r="C201" s="59" t="inlineStr">
        <is>
          <t>Mô tả</t>
        </is>
      </c>
      <c r="D201" s="59" t="inlineStr">
        <is>
          <t>Giá trị mã</t>
        </is>
      </c>
      <c r="E201" s="59" t="inlineStr">
        <is>
          <t>Premium</t>
        </is>
      </c>
      <c r="F201" s="59" t="inlineStr">
        <is>
          <t>Beta</t>
        </is>
      </c>
      <c r="G201" s="59" t="inlineStr">
        <is>
          <t>Đóng góp</t>
        </is>
      </c>
      <c r="H201" s="59" t="inlineStr">
        <is>
          <t>Trạng thái</t>
        </is>
      </c>
      <c r="I201" s="59" t="inlineStr">
        <is>
          <t>Trọng số</t>
        </is>
      </c>
      <c r="J201" s="59" t="inlineStr">
        <is>
          <t>Ý nghĩa</t>
        </is>
      </c>
    </row>
    <row r="202" ht="24" customHeight="1" s="981">
      <c r="A202" s="60" t="inlineStr">
        <is>
          <t>1</t>
        </is>
      </c>
      <c r="B202" s="49" t="inlineStr">
        <is>
          <t>Market (β_MKT)</t>
        </is>
      </c>
      <c r="C202" s="147" t="inlineStr">
        <is>
          <t>Beta vs VN-Index</t>
        </is>
      </c>
      <c r="D202" s="89" t="n">
        <v>1.05</v>
      </c>
      <c r="E202" s="92" t="n">
        <v>0.08</v>
      </c>
      <c r="F202" s="148" t="n">
        <v>1.05</v>
      </c>
      <c r="G202" s="149" t="n"/>
      <c r="H202" s="73" t="inlineStr">
        <is>
          <t>"🟢 Theo TT"</t>
        </is>
      </c>
      <c r="I202" s="147" t="inlineStr">
        <is>
          <t>40%</t>
        </is>
      </c>
      <c r="J202" s="150" t="inlineStr">
        <is>
          <t>Tương quan TT</t>
        </is>
      </c>
    </row>
    <row r="203" ht="24" customHeight="1" s="981">
      <c r="A203" s="60" t="inlineStr">
        <is>
          <t>2</t>
        </is>
      </c>
      <c r="B203" s="49" t="inlineStr">
        <is>
          <t>SMB (Size)</t>
        </is>
      </c>
      <c r="C203" s="147" t="inlineStr">
        <is>
          <t>Vốn hóa nhỏ vs lớn</t>
        </is>
      </c>
      <c r="D203" s="89" t="n"/>
      <c r="E203" s="92" t="n">
        <v>0.03</v>
      </c>
      <c r="F203" s="148" t="n">
        <v>-0.2</v>
      </c>
      <c r="G203" s="149" t="n"/>
      <c r="H203" s="73" t="n"/>
      <c r="I203" s="147" t="inlineStr">
        <is>
          <t>15%</t>
        </is>
      </c>
      <c r="J203" s="150" t="inlineStr">
        <is>
          <t>Small-cap +3%</t>
        </is>
      </c>
    </row>
    <row r="204" ht="15" customHeight="1" s="981">
      <c r="A204" s="60" t="inlineStr">
        <is>
          <t>3</t>
        </is>
      </c>
      <c r="B204" s="49" t="inlineStr">
        <is>
          <t>HML (Value)</t>
        </is>
      </c>
      <c r="C204" s="147" t="inlineStr">
        <is>
          <t>P/E thấp vs cao</t>
        </is>
      </c>
      <c r="D204" s="89" t="n"/>
      <c r="E204" s="92" t="n">
        <v>0.04</v>
      </c>
      <c r="F204" s="148" t="n"/>
      <c r="G204" s="149" t="n"/>
      <c r="H204" s="73" t="n"/>
      <c r="I204" s="147" t="inlineStr">
        <is>
          <t>15%</t>
        </is>
      </c>
      <c r="J204" s="150" t="inlineStr">
        <is>
          <t>Value +4%</t>
        </is>
      </c>
    </row>
    <row r="205" ht="24" customHeight="1" s="981">
      <c r="A205" s="60" t="inlineStr">
        <is>
          <t>4</t>
        </is>
      </c>
      <c r="B205" s="49" t="inlineStr">
        <is>
          <t>RMW (Profit)</t>
        </is>
      </c>
      <c r="C205" s="147" t="inlineStr">
        <is>
          <t>ROE cao vs thấp</t>
        </is>
      </c>
      <c r="D205" s="89" t="n"/>
      <c r="E205" s="92" t="n">
        <v>0.035</v>
      </c>
      <c r="F205" s="148" t="n"/>
      <c r="G205" s="149" t="n"/>
      <c r="H205" s="73" t="n"/>
      <c r="I205" s="147" t="inlineStr">
        <is>
          <t>15%</t>
        </is>
      </c>
      <c r="J205" s="150" t="inlineStr">
        <is>
          <t>Quality +3.5%</t>
        </is>
      </c>
    </row>
    <row r="206" ht="24" customHeight="1" s="981">
      <c r="A206" s="60" t="inlineStr">
        <is>
          <t>5</t>
        </is>
      </c>
      <c r="B206" s="49" t="inlineStr">
        <is>
          <t>UMD (Momentum)</t>
        </is>
      </c>
      <c r="C206" s="147" t="inlineStr">
        <is>
          <t>12M return</t>
        </is>
      </c>
      <c r="D206" s="89" t="n"/>
      <c r="E206" s="92" t="n">
        <v>0.05</v>
      </c>
      <c r="F206" s="148" t="n"/>
      <c r="G206" s="149" t="n"/>
      <c r="H206" s="73" t="n"/>
      <c r="I206" s="147" t="inlineStr">
        <is>
          <t>15%</t>
        </is>
      </c>
      <c r="J206" s="150" t="inlineStr">
        <is>
          <t>Momentum +5%</t>
        </is>
      </c>
    </row>
    <row r="207" ht="24" customHeight="1" s="981">
      <c r="A207" s="109" t="inlineStr">
        <is>
          <t>⭐ TỔNG</t>
        </is>
      </c>
      <c r="B207" s="49" t="inlineStr">
        <is>
          <t>Expected Return (5-Factor + Rf)</t>
        </is>
      </c>
      <c r="C207" s="25" t="n"/>
      <c r="D207" s="25" t="n"/>
      <c r="E207" s="25" t="n"/>
      <c r="F207" s="25" t="n"/>
      <c r="G207" s="104" t="n"/>
      <c r="H207" s="146" t="n"/>
      <c r="I207" s="25" t="n"/>
      <c r="J207" s="25" t="n"/>
    </row>
    <row r="208" ht="36" customHeight="1" s="981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</row>
    <row r="209" ht="24" customHeight="1" s="981">
      <c r="A209" s="983" t="inlineStr">
        <is>
          <t>🌏 PHẦN R: SUPPLY CHAIN &amp; FX SENSITIVITY — Độ nhạy chuỗi cung ứng + Tỷ giá</t>
        </is>
      </c>
      <c r="B209" s="965" t="n"/>
      <c r="C209" s="965" t="n"/>
      <c r="D209" s="965" t="n"/>
      <c r="E209" s="965" t="n"/>
      <c r="F209" s="965" t="n"/>
      <c r="G209" s="965" t="n"/>
      <c r="H209" s="965" t="n"/>
      <c r="I209" s="965" t="n"/>
      <c r="J209" s="966" t="n"/>
    </row>
    <row r="210" ht="24" customHeight="1" s="981">
      <c r="A210" s="68" t="inlineStr">
        <is>
          <t>STT</t>
        </is>
      </c>
      <c r="B210" s="68" t="inlineStr">
        <is>
          <t>Yếu tố vĩ mô</t>
        </is>
      </c>
      <c r="C210" s="68" t="inlineStr">
        <is>
          <t>Mức</t>
        </is>
      </c>
      <c r="D210" s="68" t="inlineStr">
        <is>
          <t>Hệ số nhạy ngành</t>
        </is>
      </c>
      <c r="E210" s="68" t="inlineStr">
        <is>
          <t>Tác động LN</t>
        </is>
      </c>
      <c r="F210" s="68" t="inlineStr">
        <is>
          <t>% Thay đổi giá</t>
        </is>
      </c>
      <c r="G210" s="68" t="inlineStr">
        <is>
          <t>Risk</t>
        </is>
      </c>
      <c r="H210" s="68" t="inlineStr">
        <is>
          <t>Đối phó</t>
        </is>
      </c>
      <c r="I210" s="68" t="inlineStr">
        <is>
          <t>Hành động</t>
        </is>
      </c>
      <c r="J210" s="68" t="inlineStr">
        <is>
          <t>Ưu tiên</t>
        </is>
      </c>
    </row>
    <row r="211" ht="24" customHeight="1" s="981">
      <c r="A211" s="60" t="inlineStr">
        <is>
          <t>1</t>
        </is>
      </c>
      <c r="B211" s="150" t="inlineStr">
        <is>
          <t>USD/VND tăng 3%</t>
        </is>
      </c>
      <c r="C211" s="147" t="n">
        <v>0.03</v>
      </c>
      <c r="D211" s="92" t="n"/>
      <c r="E211" s="151" t="n"/>
      <c r="F211" s="92" t="n"/>
      <c r="G211" s="73" t="n"/>
      <c r="H211" s="150" t="inlineStr">
        <is>
          <t>Hedging FX</t>
        </is>
      </c>
      <c r="I211" s="150" t="inlineStr">
        <is>
          <t>Mua quyền chọn USD</t>
        </is>
      </c>
      <c r="J211" s="147" t="inlineStr">
        <is>
          <t>Cao</t>
        </is>
      </c>
    </row>
    <row r="212" ht="24" customHeight="1" s="981">
      <c r="A212" s="60" t="inlineStr">
        <is>
          <t>2</t>
        </is>
      </c>
      <c r="B212" s="150" t="inlineStr">
        <is>
          <t>Lãi suất USD +50bps</t>
        </is>
      </c>
      <c r="C212" s="147" t="n">
        <v>0.005</v>
      </c>
      <c r="D212" s="92" t="n"/>
      <c r="E212" s="151" t="n"/>
      <c r="F212" s="92" t="n"/>
      <c r="G212" s="73" t="n"/>
      <c r="H212" s="150" t="inlineStr">
        <is>
          <t>Giảm vay USD</t>
        </is>
      </c>
      <c r="I212" s="150" t="inlineStr">
        <is>
          <t>Chuyển VND</t>
        </is>
      </c>
      <c r="J212" s="147" t="inlineStr">
        <is>
          <t>TB</t>
        </is>
      </c>
    </row>
    <row r="213" ht="24" customHeight="1" s="981">
      <c r="A213" s="60" t="inlineStr">
        <is>
          <t>3</t>
        </is>
      </c>
      <c r="B213" s="150" t="inlineStr">
        <is>
          <t>Giá dầu Brent +20%</t>
        </is>
      </c>
      <c r="C213" s="147" t="n">
        <v>0.2</v>
      </c>
      <c r="D213" s="92" t="n"/>
      <c r="E213" s="151" t="n"/>
      <c r="F213" s="92" t="n"/>
      <c r="G213" s="73" t="n"/>
      <c r="H213" s="150" t="inlineStr">
        <is>
          <t>Hedging dầu</t>
        </is>
      </c>
      <c r="I213" s="150" t="inlineStr">
        <is>
          <t>Lock-in fuel</t>
        </is>
      </c>
      <c r="J213" s="147" t="inlineStr">
        <is>
          <t>Cao</t>
        </is>
      </c>
    </row>
    <row r="214" ht="36" customHeight="1" s="981">
      <c r="A214" s="60" t="inlineStr">
        <is>
          <t>4</t>
        </is>
      </c>
      <c r="B214" s="150" t="inlineStr">
        <is>
          <t>Giá thép +15%</t>
        </is>
      </c>
      <c r="C214" s="147" t="n">
        <v>0.15</v>
      </c>
      <c r="D214" s="92" t="n"/>
      <c r="E214" s="151" t="n"/>
      <c r="F214" s="92" t="n"/>
      <c r="G214" s="73" t="n"/>
      <c r="H214" s="150" t="inlineStr">
        <is>
          <t>Long-term contract</t>
        </is>
      </c>
      <c r="I214" s="150" t="inlineStr">
        <is>
          <t>Pre-buy</t>
        </is>
      </c>
      <c r="J214" s="147" t="inlineStr">
        <is>
          <t>TB</t>
        </is>
      </c>
    </row>
    <row r="215" ht="24" customHeight="1" s="981">
      <c r="A215" s="60" t="inlineStr">
        <is>
          <t>5</t>
        </is>
      </c>
      <c r="B215" s="150" t="inlineStr">
        <is>
          <t>CPI VN &gt;5%</t>
        </is>
      </c>
      <c r="C215" s="147" t="n">
        <v>0.05</v>
      </c>
      <c r="D215" s="92" t="n"/>
      <c r="E215" s="151" t="n"/>
      <c r="F215" s="92" t="n"/>
      <c r="G215" s="73" t="n"/>
      <c r="H215" s="150" t="inlineStr">
        <is>
          <t>Pricing power</t>
        </is>
      </c>
      <c r="I215" s="150" t="inlineStr">
        <is>
          <t>Tăng giá bán</t>
        </is>
      </c>
      <c r="J215" s="147" t="inlineStr">
        <is>
          <t>Cao</t>
        </is>
      </c>
    </row>
    <row r="216" ht="42" customHeight="1" s="981">
      <c r="A216" s="101" t="inlineStr">
        <is>
          <t>🎯</t>
        </is>
      </c>
      <c r="B216" s="49" t="inlineStr">
        <is>
          <t>TỔNG ĐỘ NHẠY VĨ MÔ</t>
        </is>
      </c>
      <c r="C216" s="25" t="n"/>
      <c r="D216" s="93">
        <f>SUMPRODUCT(C211:C215)</f>
        <v/>
      </c>
      <c r="E216" s="93">
        <f>IF(D216&lt;0.2,"🟢 Ít nhạy",IF(D216&lt;0.4,"🟡 TB","🔴 Rất nhạy"))</f>
        <v/>
      </c>
      <c r="F216" s="104" t="n"/>
      <c r="G216" s="146" t="n"/>
      <c r="H216" s="25" t="n"/>
      <c r="I216" s="25" t="n"/>
      <c r="J216" s="25" t="n"/>
    </row>
    <row r="217" ht="15" customHeight="1" s="981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</row>
    <row r="218" ht="36" customHeight="1" s="981">
      <c r="A218" s="985" t="inlineStr">
        <is>
          <t>🛡 PHẦN S: GOVERNANCE DEEP CHECK — 5 điểm mù tâm lý + 10 câu ESG (chấm 1-5)</t>
        </is>
      </c>
      <c r="B218" s="965" t="n"/>
      <c r="C218" s="965" t="n"/>
      <c r="D218" s="965" t="n"/>
      <c r="E218" s="965" t="n"/>
      <c r="F218" s="965" t="n"/>
      <c r="G218" s="965" t="n"/>
      <c r="H218" s="965" t="n"/>
      <c r="I218" s="965" t="n"/>
      <c r="J218" s="966" t="n"/>
    </row>
    <row r="219" ht="31.5" customHeight="1" s="981">
      <c r="A219" s="136" t="inlineStr">
        <is>
          <t>#</t>
        </is>
      </c>
      <c r="B219" s="136" t="inlineStr">
        <is>
          <t>Câu hỏi quản trị / ESG</t>
        </is>
      </c>
      <c r="C219" s="136" t="inlineStr">
        <is>
          <t>Điểm 1-5</t>
        </is>
      </c>
      <c r="D219" s="136" t="inlineStr">
        <is>
          <t>Trọng số</t>
        </is>
      </c>
      <c r="E219" s="136" t="inlineStr">
        <is>
          <t>#</t>
        </is>
      </c>
      <c r="F219" s="136" t="inlineStr">
        <is>
          <t>Câu hỏi quản trị / ESG</t>
        </is>
      </c>
      <c r="G219" s="136" t="inlineStr">
        <is>
          <t>Điểm 1-5</t>
        </is>
      </c>
      <c r="H219" s="136" t="inlineStr">
        <is>
          <t>Trọng số</t>
        </is>
      </c>
      <c r="I219" s="136" t="inlineStr">
        <is>
          <t>Bias</t>
        </is>
      </c>
      <c r="J219" s="136" t="inlineStr">
        <is>
          <t>Ghi chú</t>
        </is>
      </c>
    </row>
    <row r="220" ht="15" customHeight="1" s="981">
      <c r="A220" s="60" t="inlineStr">
        <is>
          <t>1</t>
        </is>
      </c>
      <c r="B220" s="150" t="inlineStr">
        <is>
          <t>BLD có giữ lời hứa với cổ đông?</t>
        </is>
      </c>
      <c r="C220" s="115" t="n">
        <v>3</v>
      </c>
      <c r="D220" s="1001" t="inlineStr">
        <is>
          <t>15%</t>
        </is>
      </c>
      <c r="E220" s="60" t="inlineStr">
        <is>
          <t>6</t>
        </is>
      </c>
      <c r="F220" s="150" t="inlineStr">
        <is>
          <t>Có chiến lược ESG rõ ràng?</t>
        </is>
      </c>
      <c r="G220" s="115" t="n">
        <v>3</v>
      </c>
      <c r="H220" s="1001" t="inlineStr">
        <is>
          <t>10%</t>
        </is>
      </c>
      <c r="I220" s="1001" t="inlineStr">
        <is>
          <t>Trust</t>
        </is>
      </c>
      <c r="J220" s="1001" t="inlineStr">
        <is>
          <t>"Tâm Sáng"</t>
        </is>
      </c>
    </row>
    <row r="221" ht="25.5" customHeight="1" s="981">
      <c r="A221" s="60" t="inlineStr">
        <is>
          <t>2</t>
        </is>
      </c>
      <c r="B221" s="150" t="inlineStr">
        <is>
          <t>Lịch sử cổ tức tiền mặt 5+ năm?</t>
        </is>
      </c>
      <c r="C221" s="115" t="n">
        <v>4</v>
      </c>
      <c r="D221" s="1001" t="inlineStr">
        <is>
          <t>15%</t>
        </is>
      </c>
      <c r="E221" s="60" t="inlineStr">
        <is>
          <t>7</t>
        </is>
      </c>
      <c r="F221" s="150" t="inlineStr">
        <is>
          <t>Trách nhiệm xã hội?</t>
        </is>
      </c>
      <c r="G221" s="115" t="n">
        <v>3</v>
      </c>
      <c r="H221" s="1001" t="inlineStr">
        <is>
          <t>8%</t>
        </is>
      </c>
      <c r="I221" s="1001" t="inlineStr">
        <is>
          <t>Cash flow</t>
        </is>
      </c>
      <c r="J221" s="1001" t="inlineStr">
        <is>
          <t>"Tâm Sáng"</t>
        </is>
      </c>
    </row>
    <row r="222" ht="27.75" customHeight="1" s="981">
      <c r="A222" s="60" t="inlineStr">
        <is>
          <t>3</t>
        </is>
      </c>
      <c r="B222" s="150" t="inlineStr">
        <is>
          <t>Không lạm dụng ESOP pha loãng?</t>
        </is>
      </c>
      <c r="C222" s="115" t="n">
        <v>4</v>
      </c>
      <c r="D222" s="1001" t="inlineStr">
        <is>
          <t>10%</t>
        </is>
      </c>
      <c r="E222" s="60" t="inlineStr">
        <is>
          <t>8</t>
        </is>
      </c>
      <c r="F222" s="150" t="inlineStr">
        <is>
          <t>Tác động môi trường?</t>
        </is>
      </c>
      <c r="G222" s="115" t="n">
        <v>3</v>
      </c>
      <c r="H222" s="1001" t="inlineStr">
        <is>
          <t>8%</t>
        </is>
      </c>
      <c r="I222" s="1001" t="inlineStr">
        <is>
          <t>Dilution</t>
        </is>
      </c>
      <c r="J222" s="1001" t="inlineStr">
        <is>
          <t>"Tâm Sáng"</t>
        </is>
      </c>
    </row>
    <row r="223" ht="25.5" customHeight="1" s="981">
      <c r="A223" s="60" t="inlineStr">
        <is>
          <t>4</t>
        </is>
      </c>
      <c r="B223" s="150" t="inlineStr">
        <is>
          <t>BLD tập trung kinh doanh cốt lõi?</t>
        </is>
      </c>
      <c r="C223" s="115" t="n">
        <v>4</v>
      </c>
      <c r="D223" s="1001" t="inlineStr">
        <is>
          <t>10%</t>
        </is>
      </c>
      <c r="E223" s="60" t="inlineStr">
        <is>
          <t>9</t>
        </is>
      </c>
      <c r="F223" s="150" t="inlineStr">
        <is>
          <t>BCTC minh bạch (Big4)?</t>
        </is>
      </c>
      <c r="G223" s="115" t="n">
        <v>4</v>
      </c>
      <c r="H223" s="1001" t="inlineStr">
        <is>
          <t>10%</t>
        </is>
      </c>
      <c r="I223" s="1001" t="inlineStr">
        <is>
          <t>Focus</t>
        </is>
      </c>
      <c r="J223" s="1001" t="inlineStr">
        <is>
          <t>"Tâm Sáng"</t>
        </is>
      </c>
    </row>
    <row r="224" ht="25.5" customHeight="1" s="981">
      <c r="A224" s="60" t="inlineStr">
        <is>
          <t>5</t>
        </is>
      </c>
      <c r="B224" s="150" t="inlineStr">
        <is>
          <t>Có kế hoạch kế nhiệm rõ ràng?</t>
        </is>
      </c>
      <c r="C224" s="115" t="n">
        <v>3</v>
      </c>
      <c r="D224" s="1001" t="inlineStr">
        <is>
          <t>8%</t>
        </is>
      </c>
      <c r="E224" s="60" t="inlineStr">
        <is>
          <t>10</t>
        </is>
      </c>
      <c r="F224" s="150" t="inlineStr">
        <is>
          <t>Chuyển đổi xanh?</t>
        </is>
      </c>
      <c r="G224" s="115" t="n">
        <v>3</v>
      </c>
      <c r="H224" s="1001" t="inlineStr">
        <is>
          <t>6%</t>
        </is>
      </c>
      <c r="I224" s="1001" t="inlineStr">
        <is>
          <t>Stability</t>
        </is>
      </c>
      <c r="J224" s="1001" t="inlineStr">
        <is>
          <t>"Tâm Sáng"</t>
        </is>
      </c>
    </row>
    <row r="225" ht="25.5" customHeight="1" s="981">
      <c r="A225" s="152" t="inlineStr">
        <is>
          <t>🛡</t>
        </is>
      </c>
      <c r="B225" s="49" t="inlineStr">
        <is>
          <t>TỔNG GOVERNANCE &amp; ESG (weighted)</t>
        </is>
      </c>
      <c r="C225" s="93">
        <f>SUMPRODUCT(C220:C224,D220:D224)+SUMPRODUCT(G220:G224,H220:H224)</f>
        <v/>
      </c>
      <c r="D225" s="25" t="n"/>
      <c r="E225" s="25" t="n"/>
      <c r="F225" s="25" t="n"/>
      <c r="G225" s="104" t="n"/>
      <c r="H225" s="146" t="n"/>
      <c r="I225" s="25">
        <f>IF(C225&gt;=3.5,"🟢 Quản trị tốt",IF(C225&gt;=2.5,"🟡 TB","🔴 Yếu"))</f>
        <v/>
      </c>
      <c r="J225" s="25" t="n"/>
    </row>
    <row r="226" ht="25.5" customHeight="1" s="981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</row>
    <row r="227" ht="25.5" customHeight="1" s="981">
      <c r="A227" s="988" t="inlineStr">
        <is>
          <t>⚠️ PHẦN T: EXPECTED SHORTFALL &amp; TAIL RISK — Rủi ro đuôi cực hạn</t>
        </is>
      </c>
      <c r="B227" s="965" t="n"/>
      <c r="C227" s="965" t="n"/>
      <c r="D227" s="965" t="n"/>
      <c r="E227" s="965" t="n"/>
      <c r="F227" s="965" t="n"/>
      <c r="G227" s="965" t="n"/>
      <c r="H227" s="965" t="n"/>
      <c r="I227" s="965" t="n"/>
      <c r="J227" s="966" t="n"/>
    </row>
    <row r="228" ht="25.5" customHeight="1" s="981">
      <c r="A228" s="99" t="inlineStr">
        <is>
          <t>STT</t>
        </is>
      </c>
      <c r="B228" s="99" t="inlineStr">
        <is>
          <t>Chỉ số</t>
        </is>
      </c>
      <c r="C228" s="99" t="inlineStr">
        <is>
          <t>Công thức</t>
        </is>
      </c>
      <c r="D228" s="99" t="inlineStr">
        <is>
          <t>Giá trị</t>
        </is>
      </c>
      <c r="E228" s="99" t="inlineStr">
        <is>
          <t>Mức cảnh báo</t>
        </is>
      </c>
      <c r="F228" s="99" t="inlineStr">
        <is>
          <t>Trạng thái</t>
        </is>
      </c>
      <c r="G228" s="99" t="inlineStr">
        <is>
          <t>#</t>
        </is>
      </c>
      <c r="H228" s="99" t="inlineStr">
        <is>
          <t>Chỉ số</t>
        </is>
      </c>
      <c r="I228" s="99" t="inlineStr">
        <is>
          <t>Giá trị</t>
        </is>
      </c>
      <c r="J228" s="99" t="inlineStr">
        <is>
          <t>Đánh giá</t>
        </is>
      </c>
    </row>
    <row r="229" ht="23.25" customHeight="1" s="981">
      <c r="A229" s="60" t="inlineStr">
        <is>
          <t>1</t>
        </is>
      </c>
      <c r="B229" s="49" t="inlineStr">
        <is>
          <t>VaR 95%</t>
        </is>
      </c>
      <c r="C229" s="1001" t="inlineStr">
        <is>
          <t>μ - 1.645σ</t>
        </is>
      </c>
      <c r="D229" s="100" t="n"/>
      <c r="E229" s="1001" t="inlineStr">
        <is>
          <t>&lt; -20%</t>
        </is>
      </c>
      <c r="F229" s="73" t="n"/>
      <c r="G229" s="60" t="inlineStr">
        <is>
          <t>5</t>
        </is>
      </c>
      <c r="H229" s="49" t="inlineStr">
        <is>
          <t>Volatility (σ)</t>
        </is>
      </c>
      <c r="I229" s="147" t="inlineStr">
        <is>
          <t>25%</t>
        </is>
      </c>
      <c r="J229" s="73" t="inlineStr">
        <is>
          <t>"🟡 TB"</t>
        </is>
      </c>
    </row>
    <row r="230" ht="27.75" customHeight="1" s="981">
      <c r="A230" s="60" t="inlineStr">
        <is>
          <t>2</t>
        </is>
      </c>
      <c r="B230" s="49" t="inlineStr">
        <is>
          <t>VaR 99%</t>
        </is>
      </c>
      <c r="C230" s="1001" t="inlineStr">
        <is>
          <t>μ - 2.326σ</t>
        </is>
      </c>
      <c r="D230" s="100" t="n"/>
      <c r="E230" s="1001" t="inlineStr">
        <is>
          <t>&lt; -40%</t>
        </is>
      </c>
      <c r="F230" s="73" t="n"/>
      <c r="G230" s="60" t="inlineStr">
        <is>
          <t>6</t>
        </is>
      </c>
      <c r="H230" s="49" t="inlineStr">
        <is>
          <t>Skewness</t>
        </is>
      </c>
      <c r="I230" s="147" t="inlineStr">
        <is>
          <t>-0.5 (left tail)</t>
        </is>
      </c>
      <c r="J230" s="73" t="inlineStr">
        <is>
          <t>"🟠 Đuôi trái"</t>
        </is>
      </c>
    </row>
    <row r="231" ht="39.75" customHeight="1" s="981">
      <c r="A231" s="60" t="inlineStr">
        <is>
          <t>3</t>
        </is>
      </c>
      <c r="B231" s="49" t="inlineStr">
        <is>
          <t>Expected Shortfall 95%</t>
        </is>
      </c>
      <c r="C231" s="1001" t="inlineStr">
        <is>
          <t>μ - 2.063σ</t>
        </is>
      </c>
      <c r="D231" s="100" t="n"/>
      <c r="E231" s="1001" t="inlineStr">
        <is>
          <t>&lt; -30%</t>
        </is>
      </c>
      <c r="F231" s="73" t="n"/>
      <c r="G231" s="60" t="inlineStr">
        <is>
          <t>7</t>
        </is>
      </c>
      <c r="H231" s="49" t="inlineStr">
        <is>
          <t>Kurtosis</t>
        </is>
      </c>
      <c r="I231" s="147" t="inlineStr">
        <is>
          <t>4.5 (fat-tail)</t>
        </is>
      </c>
      <c r="J231" s="73" t="inlineStr">
        <is>
          <t>"🟠 Đuôi béo"</t>
        </is>
      </c>
    </row>
    <row r="232" ht="37.5" customHeight="1" s="981">
      <c r="A232" s="60" t="inlineStr">
        <is>
          <t>4</t>
        </is>
      </c>
      <c r="B232" s="49" t="inlineStr">
        <is>
          <t>Max Drawdown 5Y</t>
        </is>
      </c>
      <c r="C232" s="1001" t="inlineStr">
        <is>
          <t>σ × 2.5</t>
        </is>
      </c>
      <c r="D232" s="100" t="n"/>
      <c r="E232" s="1001" t="inlineStr">
        <is>
          <t>&lt; 50%</t>
        </is>
      </c>
      <c r="F232" s="73">
        <f>IF(H79="N/A","N/A",IF(H79*0.25&gt;0.5,"🔴 Có thể sập &gt;50%",IF(H79*0.25&gt;0.3,"🟠 Có thể sập 30-50%","🟡 Hạn chế")))</f>
        <v/>
      </c>
      <c r="G232" s="60" t="inlineStr">
        <is>
          <t>8</t>
        </is>
      </c>
      <c r="H232" s="49" t="inlineStr">
        <is>
          <t>Black Swan / năm</t>
        </is>
      </c>
      <c r="I232" s="147" t="inlineStr">
        <is>
          <t>0.5%</t>
        </is>
      </c>
      <c r="J232" s="73" t="inlineStr">
        <is>
          <t>"🟡 Hiếm nhưng nặng"</t>
        </is>
      </c>
    </row>
    <row r="233" ht="24" customHeight="1" s="981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</row>
    <row r="234" ht="15" customHeight="1" s="981">
      <c r="A234" s="996" t="inlineStr">
        <is>
          <t>🏆 PHẦN U: ENHANCED FINAL VERDICT 250 ĐIỂM — Tổng kết 21 phần (Citadel/Bridgewater)</t>
        </is>
      </c>
      <c r="B234" s="965" t="n"/>
      <c r="C234" s="965" t="n"/>
      <c r="D234" s="965" t="n"/>
      <c r="E234" s="965" t="n"/>
      <c r="F234" s="965" t="n"/>
      <c r="G234" s="965" t="n"/>
      <c r="H234" s="965" t="n"/>
      <c r="I234" s="965" t="n"/>
      <c r="J234" s="966" t="n"/>
    </row>
    <row r="235" ht="24" customHeight="1" s="981">
      <c r="A235" s="77" t="inlineStr">
        <is>
          <t>STT</t>
        </is>
      </c>
      <c r="B235" s="77" t="inlineStr">
        <is>
          <t>Cấu phần điểm</t>
        </is>
      </c>
      <c r="C235" s="77" t="inlineStr">
        <is>
          <t>Điểm đạt</t>
        </is>
      </c>
      <c r="D235" s="77" t="inlineStr">
        <is>
          <t>Tối đa</t>
        </is>
      </c>
      <c r="E235" s="77" t="inlineStr">
        <is>
          <t>%</t>
        </is>
      </c>
      <c r="F235" s="77" t="inlineStr">
        <is>
          <t>Tham chiếu</t>
        </is>
      </c>
      <c r="G235" s="77" t="inlineStr">
        <is>
          <t>Trạng thái</t>
        </is>
      </c>
      <c r="H235" s="77" t="inlineStr">
        <is>
          <t>—</t>
        </is>
      </c>
      <c r="I235" s="77" t="inlineStr">
        <is>
          <t>—</t>
        </is>
      </c>
      <c r="J235" s="77" t="inlineStr">
        <is>
          <t>—</t>
        </is>
      </c>
    </row>
    <row r="236" ht="18" customHeight="1" s="981">
      <c r="A236" s="60" t="n">
        <v>1</v>
      </c>
      <c r="B236" s="49" t="inlineStr">
        <is>
          <t>Valuation (Phần B)</t>
        </is>
      </c>
      <c r="C236" s="81">
        <f>ROUND(MIN(20,MAX(0,IF(IFERROR(IFERROR(VLOOKUP($C$4,'📈 Cổ Phiếu VN 🔍'!$A:$E,5,0),""),IFERROR(IFERROR(VLOOKUP($C$4,'🌐 Cổ Phiếu TG 🔍'!$A:$E,5,0),""),0))=0,10,IF(IFERROR(IFERROR(VLOOKUP($C$4,'📈 Cổ Phiếu VN 🔍'!$A:$E,5,0),""),IFERROR(IFERROR(VLOOKUP($C$4,'🌐 Cổ Phiếu TG 🔍'!$A:$E,5,0),""),0))&lt;8,20,IF(IFERROR(IFERROR(VLOOKUP($C$4,'📈 Cổ Phiếu VN 🔍'!$A:$E,5,0),""),IFERROR(IFERROR(VLOOKUP($C$4,'🌐 Cổ Phiếu TG 🔍'!$A:$E,5,0),""),0))&lt;18,15,IF(IFERROR(IFERROR(VLOOKUP($C$4,'📈 Cổ Phiếu VN 🔍'!$A:$E,5,0),""),IFERROR(IFERROR(VLOOKUP($C$4,'🌐 Cổ Phiếu TG 🔍'!$A:$E,5,0),""),0))&lt;25,8,3)))))),1)</f>
        <v/>
      </c>
      <c r="D236" s="60" t="n">
        <v>20</v>
      </c>
      <c r="E236" s="133">
        <f>C236/D236</f>
        <v/>
      </c>
      <c r="F236" s="88" t="inlineStr">
        <is>
          <t>P/E, PEG, DCF, Graham</t>
        </is>
      </c>
      <c r="G236" s="69">
        <f>IF(C236/D236&gt;=0.75,"🟢 Tốt",IF(C236/D236&gt;=0.5,"🟡 TB","🔴 Yếu"))</f>
        <v/>
      </c>
      <c r="H236" s="25" t="n"/>
      <c r="I236" s="25" t="n"/>
      <c r="J236" s="25" t="n"/>
    </row>
    <row r="237" ht="18" customHeight="1" s="981">
      <c r="A237" s="60" t="n">
        <v>2</v>
      </c>
      <c r="B237" s="49" t="inlineStr">
        <is>
          <t>Quality (Phần C)</t>
        </is>
      </c>
      <c r="C237" s="81">
        <f>ROUND(MIN(20,MAX(0,IF(IFERROR(IFERROR(VLOOKUP($C$4,'📈 Cổ Phiếu VN 🔍'!$A:$G,7,0),""),IFERROR(IFERROR(VLOOKUP($C$4,'🌐 Cổ Phiếu TG 🔍'!$A:$G,7,0),""),0))&gt;0.2,15,IF(IFERROR(IFERROR(VLOOKUP($C$4,'📈 Cổ Phiếu VN 🔍'!$A:$G,7,0),""),IFERROR(IFERROR(VLOOKUP($C$4,'🌐 Cổ Phiếu TG 🔍'!$A:$G,7,0),""),0))&gt;0.15,10,5))+IF(IFERROR(IFERROR(VLOOKUP($C$4,'📈 Cổ Phiếu VN 🔍'!$A:$S,19,0),""),0)&gt;0.15,5,0))),1)</f>
        <v/>
      </c>
      <c r="D237" s="60" t="n">
        <v>20</v>
      </c>
      <c r="E237" s="133">
        <f>C237/D237</f>
        <v/>
      </c>
      <c r="F237" s="88" t="inlineStr">
        <is>
          <t>ROE, ROIC, Margin</t>
        </is>
      </c>
      <c r="G237" s="69">
        <f>IF(C237/D237&gt;=0.75,"🟢 Tốt",IF(C237/D237&gt;=0.5,"🟡 TB","🔴 Yếu"))</f>
        <v/>
      </c>
      <c r="H237" s="25" t="n"/>
      <c r="I237" s="25" t="n"/>
      <c r="J237" s="25" t="n"/>
    </row>
    <row r="238" ht="18" customHeight="1" s="981">
      <c r="A238" s="60" t="n">
        <v>3</v>
      </c>
      <c r="B238" s="49" t="inlineStr">
        <is>
          <t>Health (Phần D)</t>
        </is>
      </c>
      <c r="C238" s="81">
        <f>ROUND(MIN(15,MAX(0,IF(IFERROR(IFERROR(VLOOKUP($C$4,'📈 Cổ Phiếu VN 🔍'!$A:$T,20,0),""),0)&lt;0.5,15,IF(IFERROR(IFERROR(VLOOKUP($C$4,'📈 Cổ Phiếu VN 🔍'!$A:$T,20,0),""),0)&lt;1,12,IF(IFERROR(IFERROR(VLOOKUP($C$4,'📈 Cổ Phiếu VN 🔍'!$A:$T,20,0),""),0)&lt;2,8,4))))),1)</f>
        <v/>
      </c>
      <c r="D238" s="60" t="n">
        <v>15</v>
      </c>
      <c r="E238" s="133">
        <f>C238/D238</f>
        <v/>
      </c>
      <c r="F238" s="88" t="inlineStr">
        <is>
          <t>Altman Z, Piotroski</t>
        </is>
      </c>
      <c r="G238" s="69">
        <f>IF(C238/D238&gt;=0.75,"🟢 Tốt",IF(C238/D238&gt;=0.5,"🟡 TB","🔴 Yếu"))</f>
        <v/>
      </c>
      <c r="H238" s="25" t="n"/>
      <c r="I238" s="25" t="n"/>
      <c r="J238" s="25" t="n"/>
    </row>
    <row r="239" ht="18" customHeight="1" s="981">
      <c r="A239" s="60" t="n">
        <v>4</v>
      </c>
      <c r="B239" s="49" t="inlineStr">
        <is>
          <t>Growth (Phần E)</t>
        </is>
      </c>
      <c r="C239" s="81">
        <f>ROUND(MIN(15,MAX(0,IF(IFERROR(IFERROR(VLOOKUP($C$4,'📈 Cổ Phiếu VN 🔍'!$A:$J,10,0),""),IFERROR(IFERROR(VLOOKUP($C$4,'🌐 Cổ Phiếu TG 🔍'!$A:$I,9,0),""),0))&gt;0.2,15,IF(IFERROR(IFERROR(VLOOKUP($C$4,'📈 Cổ Phiếu VN 🔍'!$A:$J,10,0),""),IFERROR(IFERROR(VLOOKUP($C$4,'🌐 Cổ Phiếu TG 🔍'!$A:$I,9,0),""),0))&gt;0.1,10,IF(IFERROR(IFERROR(VLOOKUP($C$4,'📈 Cổ Phiếu VN 🔍'!$A:$J,10,0),""),IFERROR(IFERROR(VLOOKUP($C$4,'🌐 Cổ Phiếu TG 🔍'!$A:$I,9,0),""),0))&gt;0,7,3))))),1)</f>
        <v/>
      </c>
      <c r="D239" s="60" t="n">
        <v>15</v>
      </c>
      <c r="E239" s="133">
        <f>C239/D239</f>
        <v/>
      </c>
      <c r="F239" s="88" t="inlineStr">
        <is>
          <t>Revenue/EPS CAGR</t>
        </is>
      </c>
      <c r="G239" s="69">
        <f>IF(C239/D239&gt;=0.75,"🟢 Tốt",IF(C239/D239&gt;=0.5,"🟡 TB","🔴 Yếu"))</f>
        <v/>
      </c>
      <c r="H239" s="25" t="n"/>
      <c r="I239" s="25" t="n"/>
      <c r="J239" s="25" t="n"/>
    </row>
    <row r="240" ht="18" customHeight="1" s="981">
      <c r="A240" s="60" t="n">
        <v>5</v>
      </c>
      <c r="B240" s="49" t="inlineStr">
        <is>
          <t>Dividend (Phần E)</t>
        </is>
      </c>
      <c r="C240" s="81">
        <f>ROUND(MIN(10,MAX(0,IF(IFERROR(IFERROR(VLOOKUP($C$4,'📈 Cổ Phiếu VN 🔍'!$A:$U,21,0),""),0)&gt;0.05,10,IF(IFERROR(IFERROR(VLOOKUP($C$4,'📈 Cổ Phiếu VN 🔍'!$A:$U,21,0),""),0)&gt;0.03,7,4)))),1)</f>
        <v/>
      </c>
      <c r="D240" s="60" t="n">
        <v>10</v>
      </c>
      <c r="E240" s="133">
        <f>C240/D240</f>
        <v/>
      </c>
      <c r="F240" s="88" t="inlineStr">
        <is>
          <t>Yield, Payout</t>
        </is>
      </c>
      <c r="G240" s="69">
        <f>IF(C240/D240&gt;=0.75,"🟢 Tốt",IF(C240/D240&gt;=0.5,"🟡 TB","🔴 Yếu"))</f>
        <v/>
      </c>
      <c r="H240" s="25" t="n"/>
      <c r="I240" s="25" t="n"/>
      <c r="J240" s="25" t="n"/>
    </row>
    <row r="241" ht="18" customHeight="1" s="981">
      <c r="A241" s="60" t="n">
        <v>6</v>
      </c>
      <c r="B241" s="49" t="inlineStr">
        <is>
          <t>Technical (Phần E)</t>
        </is>
      </c>
      <c r="C241" s="81">
        <f>ROUND(MIN(10,MAX(0,IF(IFERROR(IFERROR(VLOOKUP($C$4,'📈 Cổ Phiếu VN 🔍'!$A:$J,10,0),""),IFERROR(IFERROR(VLOOKUP($C$4,'🌐 Cổ Phiếu TG 🔍'!$A:$I,9,0),""),0))&gt;0,7,4)+IF(IFERROR(IFERROR(VLOOKUP($C$4,'📈 Cổ Phiếu VN 🔍'!$A:$Z,26,0),""),0)&gt;70,3,0))),1)</f>
        <v/>
      </c>
      <c r="D241" s="60" t="n">
        <v>10</v>
      </c>
      <c r="E241" s="133">
        <f>C241/D241</f>
        <v/>
      </c>
      <c r="F241" s="88" t="inlineStr">
        <is>
          <t>RSI, MA, Beta</t>
        </is>
      </c>
      <c r="G241" s="69">
        <f>IF(C241/D241&gt;=0.75,"🟢 Tốt",IF(C241/D241&gt;=0.5,"🟡 TB","🔴 Yếu"))</f>
        <v/>
      </c>
      <c r="H241" s="25" t="n"/>
      <c r="I241" s="25" t="n"/>
      <c r="J241" s="25" t="n"/>
    </row>
    <row r="242" ht="14.25" customHeight="1" s="981">
      <c r="A242" s="60" t="n">
        <v>7</v>
      </c>
      <c r="B242" s="49" t="inlineStr">
        <is>
          <t>Peer Comparison (Phần F)</t>
        </is>
      </c>
      <c r="C242" s="81">
        <f>ROUND(MIN(10,MAX(0,IF(IFERROR(IFERROR(VLOOKUP($C$4,'📈 Cổ Phiếu VN 🔍'!$A:$E,5,0),""),IFERROR(IFERROR(VLOOKUP($C$4,'🌐 Cổ Phiếu TG 🔍'!$A:$E,5,0),""),0))&lt;IFERROR(AVERAGEIF('📈 Cổ Phiếu VN 🔍'!$C:$C,IFERROR(IFERROR(VLOOKUP($C$4,'📈 Cổ Phiếu VN 🔍'!$A:$C,3,0),""),"Khác"),'📈 Cổ Phiếu VN 🔍'!$E:$E),13),8,5))),1)</f>
        <v/>
      </c>
      <c r="D242" s="60" t="n">
        <v>10</v>
      </c>
      <c r="E242" s="133">
        <f>C242/D242</f>
        <v/>
      </c>
      <c r="F242" s="88" t="inlineStr">
        <is>
          <t>vs ngành</t>
        </is>
      </c>
      <c r="G242" s="69">
        <f>IF(C242/D242&gt;=0.75,"🟢 Tốt",IF(C242/D242&gt;=0.5,"🟡 TB","🔴 Yếu"))</f>
        <v/>
      </c>
      <c r="H242" s="25" t="n"/>
      <c r="I242" s="25" t="n"/>
      <c r="J242" s="25" t="n"/>
    </row>
    <row r="243" ht="14.25" customHeight="1" s="981">
      <c r="A243" s="60" t="n">
        <v>8</v>
      </c>
      <c r="B243" s="49" t="inlineStr">
        <is>
          <t>Buy Zone (Phần H)</t>
        </is>
      </c>
      <c r="C243" s="81">
        <f>ROUND(MIN(15,MAX(0,IFERROR((IFERROR(AVERAGEIF(D104:D109,"&gt;"&amp;0),IFERROR(IFERROR(VLOOKUP($C$4,'📈 Cổ Phiếu VN 🔍'!$A:$D,4,0),""),IFERROR(IFERROR(VLOOKUP($C$4,'🌐 Cổ Phiếu TG 🔍'!$A:$D,4,0),""),0)))-IFERROR(IFERROR(VLOOKUP($C$4,'📈 Cổ Phiếu VN 🔍'!$A:$D,4,0),""),IFERROR(IFERROR(VLOOKUP($C$4,'🌐 Cổ Phiếu TG 🔍'!$A:$D,4,0),""),0)))/IFERROR(AVERAGEIF(D104:D109,"&gt;"&amp;0),IFERROR(IFERROR(VLOOKUP($C$4,'📈 Cổ Phiếu VN 🔍'!$A:$D,4,0),""),IFERROR(IFERROR(VLOOKUP($C$4,'🌐 Cổ Phiếu TG 🔍'!$A:$D,4,0),""),0)))*50,0))),1)</f>
        <v/>
      </c>
      <c r="D243" s="60" t="n">
        <v>15</v>
      </c>
      <c r="E243" s="133">
        <f>C243/D243</f>
        <v/>
      </c>
      <c r="F243" s="88" t="inlineStr">
        <is>
          <t>Margin of Safety</t>
        </is>
      </c>
      <c r="G243" s="69">
        <f>IF(C243/D243&gt;=0.75,"🟢 Tốt",IF(C243/D243&gt;=0.5,"🟡 TB","🔴 Yếu"))</f>
        <v/>
      </c>
      <c r="H243" s="25" t="n"/>
      <c r="I243" s="25" t="n"/>
      <c r="J243" s="25" t="n"/>
    </row>
    <row r="244" ht="31.5" customHeight="1" s="981">
      <c r="A244" s="60" t="n">
        <v>9</v>
      </c>
      <c r="B244" s="49" t="inlineStr">
        <is>
          <t>Beneish Clean (Phần I)</t>
        </is>
      </c>
      <c r="C244" s="81">
        <f>IF(D119&lt;-2.22,10,IF(D119&lt;-1.78,6,3))</f>
        <v/>
      </c>
      <c r="D244" s="60" t="n">
        <v>10</v>
      </c>
      <c r="E244" s="133">
        <f>C244/D244</f>
        <v/>
      </c>
      <c r="F244" s="88" t="inlineStr">
        <is>
          <t>Không gian lận</t>
        </is>
      </c>
      <c r="G244" s="69">
        <f>IF(C244/D244&gt;=0.75,"🟢 Tốt",IF(C244/D244&gt;=0.5,"🟡 TB","🔴 Yếu"))</f>
        <v/>
      </c>
      <c r="H244" s="25" t="n"/>
      <c r="I244" s="25" t="n"/>
      <c r="J244" s="25" t="n"/>
    </row>
    <row r="245" ht="21.75" customHeight="1" s="981">
      <c r="A245" s="60" t="n">
        <v>10</v>
      </c>
      <c r="B245" s="49" t="inlineStr">
        <is>
          <t>Historical Bands (Phần J)</t>
        </is>
      </c>
      <c r="C245" s="81">
        <f>ROUND(MIN(15,MAX(0,IF(IFERROR(IFERROR(VLOOKUP($C$4,'📈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🔍'!$E:$E),13)*0.75*IFERROR(IFERROR(VLOOKUP($C$4,'📈 Cổ Phiếu VN 🔍'!$A:$I,9,0),""),0),15,IF(IFERROR(IFERROR(VLOOKUP($C$4,'📈 Cổ Phiếu VN 🔍'!$A:$D,4,0),""),IFERROR(IFERROR(VLOOKUP($C$4,'🌐 Cổ Phiếu TG 🔍'!$A:$D,4,0),""),0))&lt;IFERROR(AVERAGEIF('📈 Cổ Phiếu VN 🔍'!$C:$C,IFERROR(IFERROR(VLOOKUP($C$4,'📈 Cổ Phiếu VN 🔍'!$A:$C,3,0),""),"Khác"),'📈 Cổ Phiếu VN 🔍'!$E:$E),13)*IFERROR(IFERROR(VLOOKUP($C$4,'📈 Cổ Phiếu VN 🔍'!$A:$I,9,0),""),0),10,5)))),1)</f>
        <v/>
      </c>
      <c r="D245" s="60" t="n">
        <v>15</v>
      </c>
      <c r="E245" s="133">
        <f>C245/D245</f>
        <v/>
      </c>
      <c r="F245" s="88" t="inlineStr">
        <is>
          <t>P/E vs lịch sử</t>
        </is>
      </c>
      <c r="G245" s="69">
        <f>IF(C245/D245&gt;=0.75,"🟢 Tốt",IF(C245/D245&gt;=0.5,"🟡 TB","🔴 Yếu"))</f>
        <v/>
      </c>
      <c r="H245" s="25" t="n"/>
      <c r="I245" s="25" t="n"/>
      <c r="J245" s="25" t="n"/>
    </row>
    <row r="246" ht="14.25" customHeight="1" s="981">
      <c r="A246" s="60" t="n">
        <v>11</v>
      </c>
      <c r="B246" s="49" t="inlineStr">
        <is>
          <t>CCC Quality (Phần K)</t>
        </is>
      </c>
      <c r="C246" s="81">
        <f>8</f>
        <v/>
      </c>
      <c r="D246" s="60" t="n">
        <v>10</v>
      </c>
      <c r="E246" s="133">
        <f>C246/D246</f>
        <v/>
      </c>
      <c r="F246" s="88" t="inlineStr">
        <is>
          <t>Cash Conversion</t>
        </is>
      </c>
      <c r="G246" s="69">
        <f>IF(C246/D246&gt;=0.75,"🟢 Tốt",IF(C246/D246&gt;=0.5,"🟡 TB","🔴 Yếu"))</f>
        <v/>
      </c>
      <c r="H246" s="25" t="n"/>
      <c r="I246" s="25" t="n"/>
      <c r="J246" s="25" t="n"/>
    </row>
    <row r="247" ht="15" customHeight="1" s="981">
      <c r="A247" s="60" t="n">
        <v>12</v>
      </c>
      <c r="B247" s="49" t="inlineStr">
        <is>
          <t>Scenario EV (Phần L)</t>
        </is>
      </c>
      <c r="C247" s="81">
        <f>ROUND(MIN(15,MAX(0,IFERROR((E145-IFERROR(IFERROR(VLOOKUP($C$4,'📈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🔍'!$A:$D,4,0),""),0))*30,0))),1)</f>
        <v/>
      </c>
      <c r="D247" s="60" t="n">
        <v>15</v>
      </c>
      <c r="E247" s="133">
        <f>C247/D247</f>
        <v/>
      </c>
      <c r="F247" s="88" t="inlineStr">
        <is>
          <t>3 kịch bản vĩ mô</t>
        </is>
      </c>
      <c r="G247" s="69">
        <f>IF(C247/D247&gt;=0.75,"🟢 Tốt",IF(C247/D247&gt;=0.5,"🟡 TB","🔴 Yếu"))</f>
        <v/>
      </c>
      <c r="H247" s="25" t="n"/>
      <c r="I247" s="25" t="n"/>
      <c r="J247" s="25" t="n"/>
    </row>
    <row r="248" ht="15" customHeight="1" s="981">
      <c r="A248" s="60" t="n">
        <v>13</v>
      </c>
      <c r="B248" s="49" t="inlineStr">
        <is>
          <t>Behavioral (Phần M)</t>
        </is>
      </c>
      <c r="C248" s="81">
        <f>8</f>
        <v/>
      </c>
      <c r="D248" s="60" t="n">
        <v>15</v>
      </c>
      <c r="E248" s="133">
        <f>C248/D248</f>
        <v/>
      </c>
      <c r="F248" s="88" t="inlineStr">
        <is>
          <t>Kỷ luật tâm lý</t>
        </is>
      </c>
      <c r="G248" s="69">
        <f>IF(C248/D248&gt;=0.75,"🟢 Tốt",IF(C248/D248&gt;=0.5,"🟡 TB","🔴 Yếu"))</f>
        <v/>
      </c>
      <c r="H248" s="25" t="n"/>
      <c r="I248" s="25" t="n"/>
      <c r="J248" s="25" t="n"/>
    </row>
    <row r="249" ht="15" customHeight="1" s="981">
      <c r="A249" s="60" t="n">
        <v>14</v>
      </c>
      <c r="B249" s="49" t="inlineStr">
        <is>
          <t>Real Options (Phần P)</t>
        </is>
      </c>
      <c r="C249" s="81">
        <f>5</f>
        <v/>
      </c>
      <c r="D249" s="60" t="n">
        <v>15</v>
      </c>
      <c r="E249" s="133">
        <f>C249/D249</f>
        <v/>
      </c>
      <c r="F249" s="88" t="inlineStr">
        <is>
          <t>Giá trị linh hoạt</t>
        </is>
      </c>
      <c r="G249" s="69">
        <f>IF(C249/D249&gt;=0.75,"🟢 Tốt",IF(C249/D249&gt;=0.5,"🟡 TB","🔴 Yếu"))</f>
        <v/>
      </c>
      <c r="H249" s="25" t="n"/>
      <c r="I249" s="25" t="n"/>
      <c r="J249" s="25" t="n"/>
    </row>
    <row r="250" ht="15" customHeight="1" s="981">
      <c r="A250" s="60" t="n">
        <v>15</v>
      </c>
      <c r="B250" s="49" t="inlineStr">
        <is>
          <t>Fama-French (Phần Q)</t>
        </is>
      </c>
      <c r="C250" s="81">
        <f>8</f>
        <v/>
      </c>
      <c r="D250" s="60" t="n">
        <v>15</v>
      </c>
      <c r="E250" s="133">
        <f>C250/D250</f>
        <v/>
      </c>
      <c r="F250" s="88" t="inlineStr">
        <is>
          <t>5-factor return</t>
        </is>
      </c>
      <c r="G250" s="69">
        <f>IF(C250/D250&gt;=0.75,"🟢 Tốt",IF(C250/D250&gt;=0.5,"🟡 TB","🔴 Yếu"))</f>
        <v/>
      </c>
      <c r="H250" s="25" t="n"/>
      <c r="I250" s="25" t="n"/>
      <c r="J250" s="25" t="n"/>
    </row>
    <row r="251" ht="15" customHeight="1" s="981">
      <c r="A251" s="60" t="n">
        <v>16</v>
      </c>
      <c r="B251" s="49" t="inlineStr">
        <is>
          <t>FX Sensitivity (Phần R)</t>
        </is>
      </c>
      <c r="C251" s="81">
        <f>5</f>
        <v/>
      </c>
      <c r="D251" s="60" t="n">
        <v>10</v>
      </c>
      <c r="E251" s="133">
        <f>C251/D251</f>
        <v/>
      </c>
      <c r="F251" s="88" t="inlineStr">
        <is>
          <t>Macro stress</t>
        </is>
      </c>
      <c r="G251" s="69">
        <f>IF(C251/D251&gt;=0.75,"🟢 Tốt",IF(C251/D251&gt;=0.5,"🟡 TB","🔴 Yếu"))</f>
        <v/>
      </c>
      <c r="H251" s="25" t="n"/>
      <c r="I251" s="25" t="n"/>
      <c r="J251" s="25" t="n"/>
    </row>
    <row r="252" ht="15" customHeight="1" s="981">
      <c r="A252" s="60" t="n">
        <v>17</v>
      </c>
      <c r="B252" s="49" t="inlineStr">
        <is>
          <t>Governance ESG (Phần S)</t>
        </is>
      </c>
      <c r="C252" s="81">
        <f>ROUND(MIN(20,MAX(0,IF(IFERROR(IFERROR(VLOOKUP($C$4,'📈 Cổ Phiếu VN 🔍'!$A:$Z,26,0),""),0)&gt;80,20,IF(IFERROR(IFERROR(VLOOKUP($C$4,'📈 Cổ Phiếu VN 🔍'!$A:$Z,26,0),""),0)&gt;60,15,IF(IFERROR(IFERROR(VLOOKUP($C$4,'📈 Cổ Phiếu VN 🔍'!$A:$Z,26,0),""),0)&gt;40,10,5))))),1)</f>
        <v/>
      </c>
      <c r="D252" s="60" t="n">
        <v>20</v>
      </c>
      <c r="E252" s="133">
        <f>C252/D252</f>
        <v/>
      </c>
      <c r="F252" s="88" t="inlineStr">
        <is>
          <t>"Tâm Sáng" filter</t>
        </is>
      </c>
      <c r="G252" s="69">
        <f>IF(C252/D252&gt;=0.75,"🟢 Tốt",IF(C252/D252&gt;=0.5,"🟡 TB","🔴 Yếu"))</f>
        <v/>
      </c>
      <c r="H252" s="25" t="n"/>
      <c r="I252" s="25" t="n"/>
      <c r="J252" s="25" t="n"/>
    </row>
    <row r="253" ht="15" customHeight="1" s="981">
      <c r="A253" s="60" t="n">
        <v>18</v>
      </c>
      <c r="B253" s="49" t="inlineStr">
        <is>
          <t>Tail Risk Safe (Phần T)</t>
        </is>
      </c>
      <c r="C253" s="81">
        <f>ROUND(MIN(10,MAX(0,IF(IFERROR(IFERROR(VLOOKUP($C$4,'📈 Cổ Phiếu VN 🔍'!$A:$T,20,0),""),0)&lt;0.5,10,IF(IFERROR(IFERROR(VLOOKUP($C$4,'📈 Cổ Phiếu VN 🔍'!$A:$T,20,0),""),0)&lt;1,7,4)))),1)</f>
        <v/>
      </c>
      <c r="D253" s="60" t="n">
        <v>10</v>
      </c>
      <c r="E253" s="133">
        <f>C253/D253</f>
        <v/>
      </c>
      <c r="F253" s="88" t="inlineStr">
        <is>
          <t>Expected Shortfall</t>
        </is>
      </c>
      <c r="G253" s="69">
        <f>IF(C253/D253&gt;=0.75,"🟢 Tốt",IF(C253/D253&gt;=0.5,"🟡 TB","🔴 Yếu"))</f>
        <v/>
      </c>
      <c r="H253" s="25" t="n"/>
      <c r="I253" s="25" t="n"/>
      <c r="J253" s="25" t="n"/>
    </row>
    <row r="254" ht="32.25" customHeight="1" s="981">
      <c r="A254" s="153" t="inlineStr">
        <is>
          <t>🏆</t>
        </is>
      </c>
      <c r="B254" s="84" t="inlineStr">
        <is>
          <t>TỔNG ĐIỂM HỆ THỐNG (21 cấu phần)</t>
        </is>
      </c>
      <c r="C254" s="85">
        <f>SUM(C236:C253)</f>
        <v/>
      </c>
      <c r="D254" s="1011" t="n">
        <v>250</v>
      </c>
      <c r="E254" s="86">
        <f>C254/D254</f>
        <v/>
      </c>
      <c r="F254" s="1006" t="n"/>
      <c r="G254" s="1011">
        <f>IF(C254&gt;=175,"🟢 MUA MẠNH — Điểm xuất sắc",IF(C254&gt;=135,"🔵 MUA — Đáng giải ngân",IF(C254&gt;=100,"🟡 THEO DÕI",IF(C254&gt;=70,"🟠 TRUNG LẬP","🔴 CHƯA ĐỦ ĐK"))))</f>
        <v/>
      </c>
      <c r="H254" s="25" t="n"/>
      <c r="I254" s="25" t="n"/>
      <c r="J254" s="25" t="n"/>
    </row>
    <row r="255" ht="14.25" customHeight="1" s="981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</row>
    <row r="256" ht="15" customHeight="1" s="981">
      <c r="A256" s="1016" t="inlineStr">
        <is>
          <t>📍 PHẦN V: "MUA TẠI GIÁ NÀY LÀ ĐƯỢC!" — Lệnh đặt mua cụ thể (Action Plan)</t>
        </is>
      </c>
      <c r="B256" s="965" t="n"/>
      <c r="C256" s="965" t="n"/>
      <c r="D256" s="965" t="n"/>
      <c r="E256" s="965" t="n"/>
      <c r="F256" s="965" t="n"/>
      <c r="G256" s="965" t="n"/>
      <c r="H256" s="965" t="n"/>
      <c r="I256" s="965" t="n"/>
      <c r="J256" s="966" t="n"/>
    </row>
    <row r="257" ht="21.75" customHeight="1" s="981">
      <c r="A257" s="1011">
        <f>IFERROR("🎯 Fair Value TB 6 PP: "&amp;TEXT(D110,"#,##0")&amp;" ₫","N/A")</f>
        <v/>
      </c>
      <c r="B257" s="965" t="n"/>
      <c r="C257" s="966" t="n"/>
      <c r="D257" s="156" t="n"/>
      <c r="E257" s="87">
        <f>IFERROR("Giá HT: "&amp;TEXT(IFERROR(IFERROR(VLOOKUP($C$4,'📈 Cổ Phiếu VN 🔍'!$A:$D,4,0),""),IFERROR(IFERROR(VLOOKUP($C$4,'🌐 Cổ Phiếu TG 🔍'!$A:$D,4,0),""),0)),"#,##0")&amp;" ₫","N/A")</f>
        <v/>
      </c>
      <c r="F257" s="87" t="n"/>
      <c r="G257" s="74" t="n"/>
      <c r="H257" s="1011">
        <f>IFERROR("% chênh: "&amp;TEXT((D110-IFERROR(IFERROR(VLOOKUP($C$4,'📈 Cổ Phiếu VN 🔍'!$A:$D,4,0),""),IFERROR(IFERROR(VLOOKUP($C$4,'🌐 Cổ Phiếu TG 🔍'!$A:$D,4,0),""),0)))/D110,"0.0%"),"N/A")</f>
        <v/>
      </c>
      <c r="I257" s="157" t="n"/>
      <c r="J257" s="158" t="n"/>
    </row>
    <row r="258" ht="24" customHeight="1" s="981">
      <c r="A258" s="25" t="n"/>
      <c r="B258" s="25" t="n"/>
      <c r="C258" s="25" t="n"/>
      <c r="D258" s="25" t="n"/>
      <c r="E258" s="25" t="n"/>
      <c r="F258" s="25" t="n"/>
      <c r="G258" s="93" t="n"/>
      <c r="H258" s="25" t="n"/>
      <c r="I258" s="25" t="n"/>
      <c r="J258" s="25" t="n"/>
    </row>
    <row r="259" ht="24" customHeight="1" s="981">
      <c r="A259" s="1000" t="inlineStr">
        <is>
          <t>🎯 5 VÙNG GIÁ MUA CỤ THỂ — TUỲ THEO GIÁ THỊ TRƯỜNG</t>
        </is>
      </c>
      <c r="B259" s="965" t="n"/>
      <c r="C259" s="965" t="n"/>
      <c r="D259" s="965" t="n"/>
      <c r="E259" s="965" t="n"/>
      <c r="F259" s="965" t="n"/>
      <c r="G259" s="965" t="n"/>
      <c r="H259" s="965" t="n"/>
      <c r="I259" s="965" t="n"/>
      <c r="J259" s="966" t="n"/>
    </row>
    <row r="260" ht="24" customHeight="1" s="981">
      <c r="A260" s="1004" t="inlineStr">
        <is>
          <t>Mức</t>
        </is>
      </c>
      <c r="B260" s="1004" t="inlineStr">
        <is>
          <t>Tên hành động</t>
        </is>
      </c>
      <c r="C260" s="1004" t="inlineStr">
        <is>
          <t>Multiplier</t>
        </is>
      </c>
      <c r="D260" s="1004" t="inlineStr">
        <is>
          <t>GIÁ MUA</t>
        </is>
      </c>
      <c r="E260" s="1004" t="inlineStr">
        <is>
          <t>% so FV</t>
        </is>
      </c>
      <c r="F260" s="1004" t="inlineStr">
        <is>
          <t>% Vốn dùng</t>
        </is>
      </c>
      <c r="G260" s="1004" t="inlineStr">
        <is>
          <t>Tiền dùng</t>
        </is>
      </c>
      <c r="H260" s="1004" t="inlineStr">
        <is>
          <t>Lô (100CP)</t>
        </is>
      </c>
      <c r="I260" s="1004" t="inlineStr">
        <is>
          <t>Số CP</t>
        </is>
      </c>
      <c r="J260" s="1004" t="inlineStr">
        <is>
          <t>Hiện tại nằm vùng?</t>
        </is>
      </c>
    </row>
    <row r="261" ht="24" customHeight="1" s="981">
      <c r="A261" s="159" t="inlineStr">
        <is>
          <t>🟢🟢🟢</t>
        </is>
      </c>
      <c r="B261" s="160" t="inlineStr">
        <is>
          <t>MUA NGAY ALL-IN</t>
        </is>
      </c>
      <c r="C261" s="60" t="n">
        <v>0.6</v>
      </c>
      <c r="D261" s="161" t="n"/>
      <c r="E261" s="60" t="n"/>
      <c r="F261" s="60" t="n">
        <v>1</v>
      </c>
      <c r="G261" s="156" t="n"/>
      <c r="H261" s="142" t="n"/>
      <c r="I261" s="142" t="n"/>
      <c r="J261" s="162" t="n"/>
    </row>
    <row r="262" ht="24" customHeight="1" s="981">
      <c r="A262" s="163" t="inlineStr">
        <is>
          <t>🟢🟢</t>
        </is>
      </c>
      <c r="B262" s="164" t="inlineStr">
        <is>
          <t>TÍCH SẢN MẠNH</t>
        </is>
      </c>
      <c r="C262" s="60" t="n">
        <v>0.75</v>
      </c>
      <c r="D262" s="65">
        <f>IFERROR(D110*0.6,"N/A")</f>
        <v/>
      </c>
      <c r="E262" s="56">
        <f>IFERROR((D110*0.6-IFERROR(IFERROR(VLOOKUP($C$4,'📈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2" s="82" t="inlineStr">
        <is>
          <t>1.0</t>
        </is>
      </c>
      <c r="G262" s="65">
        <f>IFERROR(1*14285714,"N/A")</f>
        <v/>
      </c>
      <c r="H262" s="70">
        <f>IFERROR(FLOOR(1*14285714/(D110*0.6),1),"N/A")</f>
        <v/>
      </c>
      <c r="I262" s="70">
        <f>IFERROR(FLOOR(1*14285714/(D110*0.6),1)*100,"N/A")</f>
        <v/>
      </c>
      <c r="J262" s="62">
        <f>IFERROR(IF(IFERROR(IFERROR(VLOOKUP($C$4,'📈 Cổ Phiếu VN 🔍'!$A:$D,4,0),""),IFERROR(IFERROR(VLOOKUP($C$4,'🌐 Cổ Phiếu TG 🔍'!$A:$D,4,0),""),0))&lt;=D110*0.6,"✅ Bạn đang ở vùng này!","—"),"N/A")</f>
        <v/>
      </c>
    </row>
    <row r="263" ht="24" customHeight="1" s="981">
      <c r="A263" s="165" t="inlineStr">
        <is>
          <t>🟢</t>
        </is>
      </c>
      <c r="B263" s="166" t="inlineStr">
        <is>
          <t>MUA TÍCH SẢN</t>
        </is>
      </c>
      <c r="C263" s="60" t="n">
        <v>0.85</v>
      </c>
      <c r="D263" s="65">
        <f>IFERROR(D110*0.75,"N/A")</f>
        <v/>
      </c>
      <c r="E263" s="56">
        <f>IFERROR((D110*0.75-IFERROR(IFERROR(VLOOKUP($C$4,'📈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3" s="82" t="inlineStr">
        <is>
          <t>0.7</t>
        </is>
      </c>
      <c r="G263" s="65">
        <f>IFERROR(0.7*14285714,"N/A")</f>
        <v/>
      </c>
      <c r="H263" s="70">
        <f>IFERROR(FLOOR(0.7*14285714/(D110*0.75),1),"N/A")</f>
        <v/>
      </c>
      <c r="I263" s="70">
        <f>IFERROR(FLOOR(0.7*14285714/(D110*0.75),1)*100,"N/A")</f>
        <v/>
      </c>
      <c r="J263" s="62">
        <f>IFERROR(IF(IFERROR(IFERROR(VLOOKUP($C$4,'📈 Cổ Phiếu VN 🔍'!$A:$D,4,0),""),IFERROR(IFERROR(VLOOKUP($C$4,'🌐 Cổ Phiếu TG 🔍'!$A:$D,4,0),""),0))&lt;=D110*0.75,"✅ Bạn đang ở vùng này!","—"),"N/A")</f>
        <v/>
      </c>
    </row>
    <row r="264" ht="24" customHeight="1" s="981">
      <c r="A264" s="167" t="inlineStr">
        <is>
          <t>🔵</t>
        </is>
      </c>
      <c r="B264" s="168" t="inlineStr">
        <is>
          <t>MUA THỬ</t>
        </is>
      </c>
      <c r="C264" s="60" t="n">
        <v>0.95</v>
      </c>
      <c r="D264" s="65">
        <f>IFERROR(D110*0.85,"N/A")</f>
        <v/>
      </c>
      <c r="E264" s="56">
        <f>IFERROR((D110*0.85-IFERROR(IFERROR(VLOOKUP($C$4,'📈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4" s="82" t="inlineStr">
        <is>
          <t>0.5</t>
        </is>
      </c>
      <c r="G264" s="65">
        <f>IFERROR(0.5*14285714,"N/A")</f>
        <v/>
      </c>
      <c r="H264" s="70">
        <f>IFERROR(FLOOR(0.5*14285714/(D110*0.85),1),"N/A")</f>
        <v/>
      </c>
      <c r="I264" s="70">
        <f>IFERROR(FLOOR(0.5*14285714/(D110*0.85),1)*100,"N/A")</f>
        <v/>
      </c>
      <c r="J264" s="62">
        <f>IFERROR(IF(IFERROR(IFERROR(VLOOKUP($C$4,'📈 Cổ Phiếu VN 🔍'!$A:$D,4,0),""),IFERROR(IFERROR(VLOOKUP($C$4,'🌐 Cổ Phiếu TG 🔍'!$A:$D,4,0),""),0))&lt;=D110*0.85,"✅ Bạn đang ở vùng này!","—"),"N/A")</f>
        <v/>
      </c>
    </row>
    <row r="265" ht="24" customHeight="1" s="981">
      <c r="A265" s="167" t="inlineStr">
        <is>
          <t>🟡</t>
        </is>
      </c>
      <c r="B265" s="168" t="inlineStr">
        <is>
          <t>ĐỢI — KHÔNG MUA</t>
        </is>
      </c>
      <c r="C265" s="60" t="n">
        <v>1</v>
      </c>
      <c r="D265" s="65">
        <f>IFERROR(D110*0.95,"N/A")</f>
        <v/>
      </c>
      <c r="E265" s="56">
        <f>IFERROR((D110*0.95-IFERROR(IFERROR(VLOOKUP($C$4,'📈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5" s="82" t="inlineStr">
        <is>
          <t>0.3</t>
        </is>
      </c>
      <c r="G265" s="65">
        <f>IFERROR(0.3*14285714,"N/A")</f>
        <v/>
      </c>
      <c r="H265" s="70">
        <f>IFERROR(FLOOR(0.3*14285714/(D110*0.95),1),"N/A")</f>
        <v/>
      </c>
      <c r="I265" s="70">
        <f>IFERROR(FLOOR(0.3*14285714/(D110*0.95),1)*100,"N/A")</f>
        <v/>
      </c>
      <c r="J265" s="62">
        <f>IFERROR(IF(IFERROR(IFERROR(VLOOKUP($C$4,'📈 Cổ Phiếu VN 🔍'!$A:$D,4,0),""),IFERROR(IFERROR(VLOOKUP($C$4,'🌐 Cổ Phiếu TG 🔍'!$A:$D,4,0),""),0))&lt;=D110*0.95,"✅ Bạn đang ở vùng này!","—"),"N/A")</f>
        <v/>
      </c>
    </row>
    <row r="266" ht="24" customHeight="1" s="981">
      <c r="A266" s="169" t="inlineStr">
        <is>
          <t>🔴</t>
        </is>
      </c>
      <c r="B266" s="170" t="inlineStr">
        <is>
          <t>BÁN NGAY — đã quá đắt</t>
        </is>
      </c>
      <c r="C266" s="60" t="n">
        <v>1.15</v>
      </c>
      <c r="D266" s="65">
        <f>IFERROR(D110*1,"N/A")</f>
        <v/>
      </c>
      <c r="E266" s="56">
        <f>IFERROR((D110*1-IFERROR(IFERROR(VLOOKUP($C$4,'📈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6" s="82" t="inlineStr">
        <is>
          <t>0.1</t>
        </is>
      </c>
      <c r="G266" s="65">
        <f>IFERROR(0.1*14285714,"N/A")</f>
        <v/>
      </c>
      <c r="H266" s="70">
        <f>IFERROR(FLOOR(0.1*14285714/(D110*1),1),"N/A")</f>
        <v/>
      </c>
      <c r="I266" s="70">
        <f>IFERROR(FLOOR(0.1*14285714/(D110*1),1)*100,"N/A")</f>
        <v/>
      </c>
      <c r="J266" s="62">
        <f>IFERROR(IF(IFERROR(IFERROR(VLOOKUP($C$4,'📈 Cổ Phiếu VN 🔍'!$A:$D,4,0),""),IFERROR(IFERROR(VLOOKUP($C$4,'🌐 Cổ Phiếu TG 🔍'!$A:$D,4,0),""),0))&lt;=D110*1,"✅ Bạn đang ở vùng này!","—"),"N/A")</f>
        <v/>
      </c>
    </row>
    <row r="267" ht="24" customHeight="1" s="981">
      <c r="A267" s="25" t="n"/>
      <c r="B267" s="25" t="n"/>
      <c r="C267" s="25" t="n"/>
      <c r="D267" s="65">
        <f>IFERROR(D110*1.15,"N/A")</f>
        <v/>
      </c>
      <c r="E267" s="56">
        <f>IFERROR((D110*1.15-IFERROR(IFERROR(VLOOKUP($C$4,'📈 Cổ Phiếu VN 🔍'!$A:$D,4,0),""),IFERROR(IFERROR(VLOOKUP($C$4,'🌐 Cổ Phiếu TG 🔍'!$A:$D,4,0),""),0)))/IFERROR(IFERROR(VLOOKUP($C$4,'📈 Cổ Phiếu VN 🔍'!$A:$D,4,0),""),IFERROR(IFERROR(VLOOKUP($C$4,'🌐 Cổ Phiếu TG 🔍'!$A:$D,4,0),""),0)),"N/A")</f>
        <v/>
      </c>
      <c r="F267" s="82" t="inlineStr">
        <is>
          <t>0.0</t>
        </is>
      </c>
      <c r="G267" s="65">
        <f>IFERROR(0*14285714,"N/A")</f>
        <v/>
      </c>
      <c r="H267" s="70">
        <f>IFERROR(FLOOR(0*14285714/(D110*1.15),1),"N/A")</f>
        <v/>
      </c>
      <c r="I267" s="70">
        <f>IFERROR(FLOOR(0*14285714/(D110*1.15),1)*100,"N/A")</f>
        <v/>
      </c>
      <c r="J267" s="62">
        <f>IFERROR(IF(IFERROR(IFERROR(VLOOKUP($C$4,'📈 Cổ Phiếu VN 🔍'!$A:$D,4,0),""),IFERROR(IFERROR(VLOOKUP($C$4,'🌐 Cổ Phiếu TG 🔍'!$A:$D,4,0),""),0))&lt;=D110*1.15,"✅ Bạn đang ở vùng này!","—"),"N/A")</f>
        <v/>
      </c>
    </row>
    <row r="268" ht="24" customHeight="1" s="981">
      <c r="A268" s="1006" t="inlineStr">
        <is>
          <t>⚡ HÀNH ĐỘNG CỤ THỂ NGAY HÔM NAY:</t>
        </is>
      </c>
      <c r="B268" s="965" t="n"/>
      <c r="C268" s="965" t="n"/>
      <c r="D268" s="965" t="n"/>
      <c r="E268" s="965" t="n"/>
      <c r="F268" s="965" t="n"/>
      <c r="G268" s="965" t="n"/>
      <c r="H268" s="965" t="n"/>
      <c r="I268" s="965" t="n"/>
      <c r="J268" s="966" t="n"/>
    </row>
    <row r="269" ht="24" customHeight="1" s="981">
      <c r="A269" s="171" t="n"/>
      <c r="B269" s="171" t="n"/>
      <c r="C269" s="171" t="n"/>
      <c r="D269" s="171" t="n"/>
      <c r="E269" s="171" t="n"/>
      <c r="F269" s="171" t="n"/>
      <c r="G269" s="171" t="n"/>
      <c r="H269" s="171" t="n"/>
      <c r="I269" s="171" t="n"/>
      <c r="J269" s="171" t="n"/>
    </row>
    <row r="270" ht="24" customHeight="1" s="981">
      <c r="A270" s="60" t="inlineStr">
        <is>
          <t>Ngân sách dùng:</t>
        </is>
      </c>
      <c r="B270" s="172" t="n"/>
      <c r="C270" s="74" t="n"/>
      <c r="D270" s="156" t="n"/>
      <c r="E270" s="173">
        <f>IFERROR(FLOOR(14285714/(D264*(1+0.0015)),1)*100,"N/A")</f>
        <v/>
      </c>
      <c r="F270" s="174" t="n"/>
      <c r="G270" s="60" t="inlineStr">
        <is>
          <t>→ Mua</t>
        </is>
      </c>
      <c r="H270" s="81">
        <f>C254</f>
        <v/>
      </c>
      <c r="I270" s="60" t="inlineStr">
        <is>
          <t>tại giá</t>
        </is>
      </c>
      <c r="J270" s="79">
        <f>D264</f>
        <v/>
      </c>
    </row>
    <row r="271" ht="24" customHeight="1" s="981">
      <c r="A271" s="1001" t="inlineStr">
        <is>
          <t>Chi phí thực tế (gồm 0.15% phí):</t>
        </is>
      </c>
      <c r="B271" s="121" t="n"/>
      <c r="C271" s="121" t="n"/>
      <c r="D271" s="175" t="n"/>
      <c r="E271" s="176">
        <f>IFERROR(FLOOR(14285714/(D264*(1+0.0015)),1)*100*D264*(1+0.0015),"N/A")</f>
        <v/>
      </c>
      <c r="F271" s="177" t="n"/>
      <c r="G271" s="156" t="n"/>
      <c r="H271" s="176">
        <f>IFERROR(14285714-FLOOR(14285714/(D264*(1+0.0015)),1)*100*D264*(1+0.0015),"N/A")</f>
        <v/>
      </c>
      <c r="I271" s="178" t="n"/>
      <c r="J271" s="178" t="n"/>
    </row>
    <row r="272" ht="14.25" customHeight="1" s="981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</row>
    <row r="273" ht="18" customHeight="1" s="981">
      <c r="A273" s="987" t="inlineStr">
        <is>
          <t>🔍 LÝ DO QUYẾT ĐỊNH NÀY — Cross-check với 21 phần phân tích:</t>
        </is>
      </c>
      <c r="B273" s="965" t="n"/>
      <c r="C273" s="965" t="n"/>
      <c r="D273" s="965" t="n"/>
      <c r="E273" s="965" t="n"/>
      <c r="F273" s="965" t="n"/>
      <c r="G273" s="965" t="n"/>
      <c r="H273" s="965" t="n"/>
      <c r="I273" s="965" t="n"/>
      <c r="J273" s="966" t="n"/>
    </row>
    <row r="274" ht="27.75" customHeight="1" s="981">
      <c r="A274" s="60" t="inlineStr">
        <is>
          <t>1</t>
        </is>
      </c>
      <c r="B274" s="49" t="inlineStr">
        <is>
          <t>Tổng điểm hệ thống (Phần U)</t>
        </is>
      </c>
      <c r="C274" s="172" t="n"/>
      <c r="D274" s="172" t="n"/>
      <c r="E274" s="74" t="n"/>
      <c r="F274" s="1001" t="inlineStr">
        <is>
          <t>/250</t>
        </is>
      </c>
      <c r="G274" s="1001" t="inlineStr">
        <is>
          <t>Càng cao càng đáng mua</t>
        </is>
      </c>
      <c r="H274" s="121" t="n"/>
      <c r="I274" s="121" t="n"/>
      <c r="J274" s="121" t="n"/>
    </row>
    <row r="275" ht="25.5" customHeight="1" s="981">
      <c r="A275" s="60" t="inlineStr">
        <is>
          <t>2</t>
        </is>
      </c>
      <c r="B275" s="49" t="inlineStr">
        <is>
          <t>Margin of Safety (Phần H)</t>
        </is>
      </c>
      <c r="C275" s="172" t="n"/>
      <c r="D275" s="172" t="n"/>
      <c r="E275" s="74" t="n"/>
      <c r="F275" s="1001" t="inlineStr">
        <is>
          <t>%</t>
        </is>
      </c>
      <c r="G275" s="1001" t="inlineStr">
        <is>
          <t>Càng dương càng rẻ</t>
        </is>
      </c>
      <c r="H275" s="121" t="n"/>
      <c r="I275" s="121" t="n"/>
      <c r="J275" s="121" t="n"/>
    </row>
    <row r="276" ht="25.5" customHeight="1" s="981">
      <c r="A276" s="60" t="inlineStr">
        <is>
          <t>3</t>
        </is>
      </c>
      <c r="B276" s="49" t="inlineStr">
        <is>
          <t>Beneish M-Score (Phần I)</t>
        </is>
      </c>
      <c r="C276" s="172" t="n"/>
      <c r="D276" s="172" t="n"/>
      <c r="E276" s="74" t="n"/>
      <c r="F276" s="1001" t="inlineStr">
        <is>
          <t>&lt; -2.22 = sạch</t>
        </is>
      </c>
      <c r="G276" s="1001" t="inlineStr">
        <is>
          <t>Phát hiện gian lận BCTC</t>
        </is>
      </c>
      <c r="H276" s="121" t="n"/>
      <c r="I276" s="121" t="n"/>
      <c r="J276" s="121" t="n"/>
    </row>
    <row r="277" ht="25.5" customHeight="1" s="981">
      <c r="A277" s="60" t="inlineStr">
        <is>
          <t>4</t>
        </is>
      </c>
      <c r="B277" s="49" t="inlineStr">
        <is>
          <t>P/E Band (Phần J)</t>
        </is>
      </c>
      <c r="C277" s="172" t="n"/>
      <c r="D277" s="172" t="n"/>
      <c r="E277" s="74" t="n"/>
      <c r="F277" s="1001" t="inlineStr">
        <is>
          <t>-σ = rẻ</t>
        </is>
      </c>
      <c r="G277" s="1001" t="inlineStr">
        <is>
          <t>So với chính nó 5 năm qua</t>
        </is>
      </c>
      <c r="H277" s="121" t="n"/>
      <c r="I277" s="121" t="n"/>
      <c r="J277" s="121" t="n"/>
    </row>
    <row r="278" ht="25.5" customHeight="1" s="981">
      <c r="A278" s="60" t="inlineStr">
        <is>
          <t>5</t>
        </is>
      </c>
      <c r="B278" s="49" t="inlineStr">
        <is>
          <t>Expected Value 3 KB (Phần L)</t>
        </is>
      </c>
      <c r="C278" s="172" t="n"/>
      <c r="D278" s="172" t="n"/>
      <c r="E278" s="74" t="n"/>
      <c r="F278" s="1001" t="inlineStr">
        <is>
          <t>vs Giá HT</t>
        </is>
      </c>
      <c r="G278" s="1001" t="inlineStr">
        <is>
          <t>Trung vị 3 kịch bản vĩ mô</t>
        </is>
      </c>
      <c r="H278" s="121" t="n"/>
      <c r="I278" s="121" t="n"/>
      <c r="J278" s="121" t="n"/>
    </row>
    <row r="279" ht="25.5" customHeight="1" s="981">
      <c r="A279" s="60" t="inlineStr">
        <is>
          <t>6</t>
        </is>
      </c>
      <c r="B279" s="49" t="inlineStr">
        <is>
          <t>Behavioral Check (Phần M)</t>
        </is>
      </c>
      <c r="C279" s="172" t="n"/>
      <c r="D279" s="172" t="n"/>
      <c r="E279" s="74" t="n"/>
      <c r="F279" s="1001" t="inlineStr">
        <is>
          <t>/5</t>
        </is>
      </c>
      <c r="G279" s="1001" t="inlineStr">
        <is>
          <t>Kỷ luật tâm lý ≥ 4/5</t>
        </is>
      </c>
      <c r="H279" s="121" t="n"/>
      <c r="I279" s="121" t="n"/>
      <c r="J279" s="121" t="n"/>
    </row>
    <row r="280" ht="14.25" customHeight="1" s="981">
      <c r="A280" s="179" t="n"/>
      <c r="B280" s="179" t="n"/>
      <c r="C280" s="179" t="n"/>
      <c r="D280" s="179" t="n"/>
      <c r="E280" s="179" t="n"/>
      <c r="F280" s="179" t="n"/>
      <c r="G280" s="179" t="n"/>
      <c r="H280" s="179" t="n"/>
      <c r="I280" s="179" t="n"/>
      <c r="J280" s="179" t="n"/>
    </row>
    <row r="281" ht="21.75" customHeight="1" s="981">
      <c r="A281" s="180" t="n"/>
      <c r="B281" s="179" t="n"/>
      <c r="C281" s="179" t="n"/>
      <c r="D281" s="179" t="n"/>
      <c r="E281" s="179" t="n"/>
      <c r="F281" s="179" t="n"/>
      <c r="G281" s="179" t="n"/>
      <c r="H281" s="179" t="n"/>
      <c r="I281" s="179" t="n"/>
      <c r="J281" s="179" t="n"/>
    </row>
    <row r="282" ht="14.25" customHeight="1" s="981">
      <c r="A282" s="980" t="inlineStr">
        <is>
          <t>📐 PHẦN W: PAIR TRADING &amp; STAT ARBITRAGE — Chiến lược trung tính TT (Renaissance Tech style)</t>
        </is>
      </c>
    </row>
    <row r="283" ht="14.25" customHeight="1" s="981">
      <c r="A283" s="181" t="inlineStr">
        <is>
          <t>STT</t>
        </is>
      </c>
      <c r="B283" s="182" t="inlineStr">
        <is>
          <t>Yếu tố</t>
        </is>
      </c>
      <c r="C283" s="181" t="inlineStr">
        <is>
          <t>Mã chính</t>
        </is>
      </c>
      <c r="D283" s="181" t="inlineStr">
        <is>
          <t>Mã ghép cặp</t>
        </is>
      </c>
      <c r="E283" s="181" t="inlineStr">
        <is>
          <t>Spread Z-Score</t>
        </is>
      </c>
      <c r="F283" s="181" t="inlineStr">
        <is>
          <t>Tín hiệu</t>
        </is>
      </c>
      <c r="G283" s="181" t="inlineStr">
        <is>
          <t>Vị thế</t>
        </is>
      </c>
      <c r="H283" s="181" t="inlineStr">
        <is>
          <t>Half-life (ngày)</t>
        </is>
      </c>
      <c r="I283" s="181" t="inlineStr">
        <is>
          <t>Khuyến nghị</t>
        </is>
      </c>
      <c r="J283" s="181" t="inlineStr">
        <is>
          <t>Ghi chú</t>
        </is>
      </c>
    </row>
    <row r="284" ht="14.25" customHeight="1" s="981">
      <c r="A284" s="45" t="n">
        <v>1</v>
      </c>
      <c r="B284" s="43" t="inlineStr">
        <is>
          <t>Same-sector pair</t>
        </is>
      </c>
      <c r="C284" s="45">
        <f>$C$4</f>
        <v/>
      </c>
      <c r="D284" s="45">
        <f>IFERROR(INDEX('📈 Cổ Phiếu VN 🔍'!$A:$A,MATCH(IFERROR(VLOOKUP($C$4,'📈 Cổ Phiếu VN 🔍'!$A:$C,3,0),""),'📈 Cổ Phiếu VN 🔍'!$C:$C,0)+1),"N/A")</f>
        <v/>
      </c>
      <c r="E284" s="45">
        <f>IFERROR(((IFERROR(VLOOKUP($C$4,'📈 Cổ Phiếu VN 🔍'!$A:$J,10,0),0)-IFERROR(VLOOKUP(D284,'📈 Cổ Phiếu VN 🔍'!$A:$J,10,0),0))/15),"N/A")</f>
        <v/>
      </c>
      <c r="F284" s="45">
        <f>IFERROR(IF(ABS(E284)&gt;2,"🔴 SHORT cao",IF(ABS(E284)&gt;1,"🟡 Theo dõi","🟢 Không lệch")),"N/A")</f>
        <v/>
      </c>
      <c r="G284" s="45">
        <f>IF(E284&gt;2,"SHORT mã chính",IF(E284&lt;-2,"LONG mã chính","Không vào lệnh"))</f>
        <v/>
      </c>
      <c r="H284" s="45">
        <f>10</f>
        <v/>
      </c>
      <c r="I284" s="45">
        <f>IF(ABS(E284)&gt;2,"🟢 Vào lệnh","⚪ Đợi")</f>
        <v/>
      </c>
      <c r="J284" s="43" t="inlineStr">
        <is>
          <t>Mean reversion</t>
        </is>
      </c>
    </row>
    <row r="285" ht="14.25" customHeight="1" s="981">
      <c r="A285" s="45" t="n">
        <v>2</v>
      </c>
      <c r="B285" s="43" t="inlineStr">
        <is>
          <t>VN30 hedge</t>
        </is>
      </c>
      <c r="C285" s="45">
        <f>$C$4</f>
        <v/>
      </c>
      <c r="D285" s="45" t="inlineStr">
        <is>
          <t>VN30F1M</t>
        </is>
      </c>
      <c r="E285" s="45">
        <f>IFERROR((IFERROR(VLOOKUP($C$4,'📈 Cổ Phiếu VN 🔍'!$A:$J,10,0),0)-IFERROR(AVERAGEIF('📈 Cổ Phiếu VN 🔍'!$C:$C,"&lt;&gt;",'📈 Cổ Phiếu VN 🔍'!$J:$J),0))/10,"N/A")</f>
        <v/>
      </c>
      <c r="F285" s="45">
        <f>IFERROR(IF(ABS(E284)&gt;1.5,"🔴 Lệch nhiều","🟢 Theo TT"),"N/A")</f>
        <v/>
      </c>
      <c r="G285" s="45">
        <f>IF(E284&gt;1.5,"Hedge VN30F1M","Không hedge")</f>
        <v/>
      </c>
      <c r="H285" s="45">
        <f>15</f>
        <v/>
      </c>
      <c r="I285" s="45">
        <f>IF(ABS(E284)&gt;1.5,"🟢 Hedge","⚪ Giữ")</f>
        <v/>
      </c>
      <c r="J285" s="43" t="inlineStr">
        <is>
          <t>Beta hedge</t>
        </is>
      </c>
    </row>
    <row r="286" ht="14.25" customHeight="1" s="981">
      <c r="A286" s="45" t="n">
        <v>3</v>
      </c>
      <c r="B286" s="43" t="inlineStr">
        <is>
          <t>Industry leader</t>
        </is>
      </c>
      <c r="C286" s="45">
        <f>$C$4</f>
        <v/>
      </c>
      <c r="D286" s="45">
        <f>IF(IFERROR(VLOOKUP($C$4,'📈 Cổ Phiếu VN 🔍'!$A:$C,3,0),"")="Ngân hàng","VCB",IF(IFERROR(VLOOKUP($C$4,'📈 Cổ Phiếu VN 🔍'!$A:$C,3,0),"")="Bất động sản","VHM","FPT"))</f>
        <v/>
      </c>
      <c r="E286" s="45">
        <f>IFERROR((IFERROR(VLOOKUP($C$4,'📈 Cổ Phiếu VN 🔍'!$A:$E,5,0),0)-IFERROR(VLOOKUP(D284,'📈 Cổ Phiếu VN 🔍'!$A:$E,5,0),0))/2,"N/A")</f>
        <v/>
      </c>
      <c r="F286" s="45">
        <f>IFERROR(IF(E284&gt;1.5,"🔴 Đắt hơn leader",IF(E284&lt;-1.5,"🟢 Rẻ hơn leader","🟡 Tương đương")),"N/A")</f>
        <v/>
      </c>
      <c r="G286" s="45">
        <f>IF(E284&lt;-1.5,"LONG (rẻ hơn)",IF(E284&gt;1.5,"Cân nhắc SHORT","Giữ"))</f>
        <v/>
      </c>
      <c r="H286" s="45">
        <f>20</f>
        <v/>
      </c>
      <c r="I286" s="45">
        <f>IF(E284&lt;-1.5,"🟢 MUA","⚪ Đợi")</f>
        <v/>
      </c>
      <c r="J286" s="43" t="inlineStr">
        <is>
          <t>Relative value</t>
        </is>
      </c>
    </row>
    <row r="287" ht="14.25" customHeight="1" s="981">
      <c r="A287" s="183" t="inlineStr">
        <is>
          <t>🎯</t>
        </is>
      </c>
      <c r="B287" s="184" t="inlineStr">
        <is>
          <t>TÍN HIỆU PAIR TRADING TỔNG HỢP</t>
        </is>
      </c>
      <c r="C287" s="29" t="n"/>
      <c r="D287" s="29" t="n"/>
      <c r="E287" s="29" t="n"/>
      <c r="F287" s="185">
        <f>COUNTIF(I284:I286,"🟢*")</f>
        <v/>
      </c>
      <c r="G287" s="29" t="n"/>
      <c r="H287" s="29" t="n"/>
      <c r="I287" s="185">
        <f>IF(F287&gt;=2,"🟢 Pair-trade mạnh",IF(F287&gt;=1,"🟡 Pair-trade nhẹ","⚪ Không"))</f>
        <v/>
      </c>
      <c r="J287" s="29" t="n"/>
    </row>
    <row r="288" ht="14.25" customHeight="1" s="981">
      <c r="A288" s="29" t="n"/>
      <c r="B288" s="29" t="n"/>
      <c r="C288" s="29" t="n"/>
      <c r="D288" s="29" t="n"/>
      <c r="E288" s="29" t="n"/>
      <c r="F288" s="29" t="n"/>
      <c r="G288" s="29" t="n"/>
      <c r="H288" s="29" t="n"/>
      <c r="I288" s="29" t="n"/>
      <c r="J288" s="29" t="n"/>
    </row>
    <row r="289" ht="14.25" customHeight="1" s="981">
      <c r="A289" s="980" t="inlineStr">
        <is>
          <t>🌀 PHẦN X: SOROS REFLEXIVITY — Vòng phản hồi Giá ↔ Tâm lý (George Soros Theory)</t>
        </is>
      </c>
    </row>
    <row r="290" ht="14.25" customHeight="1" s="981">
      <c r="A290" s="181" t="inlineStr">
        <is>
          <t>STT</t>
        </is>
      </c>
      <c r="B290" s="181" t="inlineStr">
        <is>
          <t>Yếu tố Reflexivity</t>
        </is>
      </c>
      <c r="C290" s="181" t="inlineStr">
        <is>
          <t>Đo lường</t>
        </is>
      </c>
      <c r="D290" s="181" t="inlineStr">
        <is>
          <t>Giá trị</t>
        </is>
      </c>
      <c r="E290" s="181" t="inlineStr">
        <is>
          <t>Ngưỡng</t>
        </is>
      </c>
      <c r="F290" s="181" t="inlineStr">
        <is>
          <t>Trạng thái</t>
        </is>
      </c>
      <c r="G290" s="181" t="inlineStr">
        <is>
          <t>Pha (Soros)</t>
        </is>
      </c>
      <c r="H290" s="181" t="inlineStr">
        <is>
          <t>Hành động</t>
        </is>
      </c>
      <c r="I290" s="181" t="inlineStr">
        <is>
          <t>Ưu tiên</t>
        </is>
      </c>
      <c r="J290" s="181" t="inlineStr">
        <is>
          <t>Ghi chú</t>
        </is>
      </c>
    </row>
    <row r="291" ht="14.25" customHeight="1" s="981">
      <c r="A291" s="45" t="n">
        <v>1</v>
      </c>
      <c r="B291" s="186" t="inlineStr">
        <is>
          <t>Momentum giá</t>
        </is>
      </c>
      <c r="C291" s="45" t="inlineStr">
        <is>
          <t>%YTD</t>
        </is>
      </c>
      <c r="D291" s="45">
        <f>IFERROR(VLOOKUP($C$4,'📈 Cổ Phiếu VN 🔍'!$A:$J,10,0)/100,0)</f>
        <v/>
      </c>
      <c r="E291" s="45" t="inlineStr">
        <is>
          <t>&gt; 30% = quá nóng</t>
        </is>
      </c>
      <c r="F291" s="45">
        <f>IF(D291&gt;0.3,"🔴 Quá nóng",IF(D291&gt;0.1,"🟡 Đang lên",IF(D291&gt;-0.1,"🟢 Bình ổn","🟠 Đang xuống")))</f>
        <v/>
      </c>
      <c r="G291" s="45">
        <f>IF(D291&gt;0.5,"BÙNG NỔ",IF(D291&gt;0.2,"TĂNG TỐC",IF(D291&gt;0,"HÌNH THÀNH","ĐẢO CHIỀU")))</f>
        <v/>
      </c>
      <c r="H291" s="45">
        <f>IF(D291&gt;0.5,"BÁN dần","Quan sát")</f>
        <v/>
      </c>
      <c r="I291" s="45" t="inlineStr">
        <is>
          <t>Cao</t>
        </is>
      </c>
      <c r="J291" s="43" t="inlineStr">
        <is>
          <t>Boom phase</t>
        </is>
      </c>
    </row>
    <row r="292" ht="14.25" customHeight="1" s="981">
      <c r="A292" s="45" t="n">
        <v>2</v>
      </c>
      <c r="B292" s="186" t="inlineStr">
        <is>
          <t>PB premium</t>
        </is>
      </c>
      <c r="C292" s="45" t="inlineStr">
        <is>
          <t>P/B vs ngành</t>
        </is>
      </c>
      <c r="D292" s="45">
        <f>IFERROR(IFERROR(VLOOKUP($C$4,'📈 Cổ Phiếu VN 🔍'!$A:$F,6,0),0)/IFERROR(AVERAGEIF('📈 Cổ Phiếu VN 🔍'!$C:$C,IFERROR(VLOOKUP($C$4,'📈 Cổ Phiếu VN 🔍'!$A:$C,3,0),""),'📈 Cổ Phiếu VN 🔍'!$F:$F),1),"N/A")</f>
        <v/>
      </c>
      <c r="E292" s="45" t="inlineStr">
        <is>
          <t>&gt; 1.5 = Bong bóng</t>
        </is>
      </c>
      <c r="F292" s="45">
        <f>IFERROR(IF(D291&gt;1.5,"🔴 Bong bóng",IF(D291&gt;1.2,"🟡 Đắt","🟢 Hợp lý")),"N/A")</f>
        <v/>
      </c>
      <c r="G292" s="45">
        <f>IFERROR(IF(D291&gt;1.5,"EUPHORIA",IF(D291&gt;1.2,"OPTIMISM","REALISM")),"")</f>
        <v/>
      </c>
      <c r="H292" s="45">
        <f>IFERROR(IF(D291&gt;1.5,"BÁN","Giữ"),"")</f>
        <v/>
      </c>
      <c r="I292" s="45" t="inlineStr">
        <is>
          <t>Cao</t>
        </is>
      </c>
      <c r="J292" s="43" t="inlineStr">
        <is>
          <t>Crowd belief</t>
        </is>
      </c>
    </row>
    <row r="293" ht="14.25" customHeight="1" s="981">
      <c r="A293" s="45" t="n">
        <v>3</v>
      </c>
      <c r="B293" s="186" t="inlineStr">
        <is>
          <t>Volume/MA</t>
        </is>
      </c>
      <c r="C293" s="45" t="inlineStr">
        <is>
          <t>Volume bùng nổ</t>
        </is>
      </c>
      <c r="D293" s="45">
        <f>IFERROR(IF(IFERROR(VLOOKUP($C$4,'📡 LIVE PRICE FEED'!$A:$G,7,0),0)&gt;0,1.5,1),1)</f>
        <v/>
      </c>
      <c r="E293" s="45" t="inlineStr">
        <is>
          <t>&gt; 2.0 = bùng nổ</t>
        </is>
      </c>
      <c r="F293" s="45">
        <f>IF(D291&gt;2,"🔴 FOMO",IF(D291&gt;1.5,"🟡 Cao","🟢 Bình thường"))</f>
        <v/>
      </c>
      <c r="G293" s="45">
        <f>IF(D291&gt;2,"FOMO PEAK",IF(D291&gt;1.5,"DISTRIBUTION","ACCUMULATION"))</f>
        <v/>
      </c>
      <c r="H293" s="45">
        <f>IF(D291&gt;2,"CHỐT LỜI","Giữ")</f>
        <v/>
      </c>
      <c r="I293" s="45" t="inlineStr">
        <is>
          <t>Cao</t>
        </is>
      </c>
      <c r="J293" s="43" t="inlineStr">
        <is>
          <t>Crowd panic</t>
        </is>
      </c>
    </row>
    <row r="294" ht="14.25" customHeight="1" s="981">
      <c r="A294" s="45" t="n">
        <v>4</v>
      </c>
      <c r="B294" s="186" t="inlineStr">
        <is>
          <t>Insider sell</t>
        </is>
      </c>
      <c r="C294" s="45" t="inlineStr">
        <is>
          <t>% Insider giảm</t>
        </is>
      </c>
      <c r="D294" s="45">
        <f>IFERROR(IF(IFERROR(VLOOKUP($C$4,'📈 Cổ Phiếu VN 🔍'!$A:$X,24,0),0)&lt;2,0.8,IFERROR(VLOOKUP($C$4,'📈 Cổ Phiếu VN 🔍'!$A:$X,24,0),0)/10),0)</f>
        <v/>
      </c>
      <c r="E294" s="45" t="inlineStr">
        <is>
          <t>&lt; 0.3 = nội bộ bán</t>
        </is>
      </c>
      <c r="F294" s="45">
        <f>IF(D291&lt;0.3,"🔴 BLD bán",IF(D291&lt;0.5,"🟡 Theo dõi","🟢 Giữ nguyên"))</f>
        <v/>
      </c>
      <c r="G294" s="45">
        <f>IF(D291&lt;0.3,"TWILIGHT","DAWN")</f>
        <v/>
      </c>
      <c r="H294" s="45">
        <f>IF(D291&lt;0.3,"CẢNH GIÁC","Tiếp tục")</f>
        <v/>
      </c>
      <c r="I294" s="45" t="inlineStr">
        <is>
          <t>Cao</t>
        </is>
      </c>
      <c r="J294" s="43" t="inlineStr">
        <is>
          <t>Smart money</t>
        </is>
      </c>
    </row>
    <row r="295" ht="14.25" customHeight="1" s="981">
      <c r="A295" s="45" t="n">
        <v>5</v>
      </c>
      <c r="B295" s="186" t="inlineStr">
        <is>
          <t>NĐT ngoài flow</t>
        </is>
      </c>
      <c r="C295" s="45" t="inlineStr">
        <is>
          <t>%NN tăng giảm</t>
        </is>
      </c>
      <c r="D295" s="45">
        <f>IFERROR(VLOOKUP($C$4,'📈 Cổ Phiếu VN 🔍'!$A:$W,23,0)/100,0)</f>
        <v/>
      </c>
      <c r="E295" s="45" t="inlineStr">
        <is>
          <t>&gt; 30% = ổn định</t>
        </is>
      </c>
      <c r="F295" s="45">
        <f>IF(D291&gt;0.3,"🟢 NN nắm cao",IF(D291&gt;0.15,"🟡 TB","🔴 NN ít"))</f>
        <v/>
      </c>
      <c r="G295" s="45">
        <f>IF(D291&gt;0.3,"INSTITUTION","RETAIL")</f>
        <v/>
      </c>
      <c r="H295" s="45">
        <f>IF(D291&gt;0.3,"Tin cậy cao","Cẩn trọng")</f>
        <v/>
      </c>
      <c r="I295" s="45" t="inlineStr">
        <is>
          <t>TB</t>
        </is>
      </c>
      <c r="J295" s="43" t="inlineStr">
        <is>
          <t>Quality of holder</t>
        </is>
      </c>
    </row>
    <row r="296" ht="14.25" customHeight="1" s="981">
      <c r="A296" s="183" t="inlineStr">
        <is>
          <t>🎯</t>
        </is>
      </c>
      <c r="B296" s="187" t="inlineStr">
        <is>
          <t>PHA REFLEXIVITY TỔNG</t>
        </is>
      </c>
      <c r="C296" s="29" t="n"/>
      <c r="D296" s="29" t="n"/>
      <c r="E296" s="29" t="n"/>
      <c r="F296" s="185">
        <f>COUNTIF(F291:F295,"🔴*")</f>
        <v/>
      </c>
      <c r="G296" s="29" t="n"/>
      <c r="H296" s="185">
        <f>IF(F296&gt;=3,"BONG BÓNG — BÁN MẠNH",IF(F296&gt;=2,"NÓNG — Giảm vị thế",IF(F296&gt;=1,"TRUNG TÍNH","ĐÁY — Có thể MUA")))</f>
        <v/>
      </c>
      <c r="I296" s="29" t="n"/>
      <c r="J296" s="29" t="n"/>
    </row>
    <row r="297" ht="14.25" customHeight="1" s="981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  <c r="J297" s="29" t="n"/>
    </row>
    <row r="298" ht="14.25" customHeight="1" s="981">
      <c r="A298" s="980" t="inlineStr">
        <is>
          <t>🐋 PHẦN Y: SMART MONEY FOOTPRINT — Theo dấu Cá Voi · NĐT NN · Tổ chức</t>
        </is>
      </c>
    </row>
    <row r="299" ht="14.25" customHeight="1" s="981">
      <c r="A299" s="181" t="inlineStr">
        <is>
          <t>STT</t>
        </is>
      </c>
      <c r="B299" s="181" t="inlineStr">
        <is>
          <t>Yếu tố</t>
        </is>
      </c>
      <c r="C299" s="181" t="inlineStr">
        <is>
          <t>Giá trị</t>
        </is>
      </c>
      <c r="D299" s="181" t="inlineStr">
        <is>
          <t>Ngưỡng tốt</t>
        </is>
      </c>
      <c r="E299" s="181" t="inlineStr">
        <is>
          <t>Đánh giá</t>
        </is>
      </c>
      <c r="F299" s="181" t="inlineStr">
        <is>
          <t>#</t>
        </is>
      </c>
      <c r="G299" s="181" t="inlineStr">
        <is>
          <t>Yếu tố</t>
        </is>
      </c>
      <c r="H299" s="181" t="inlineStr">
        <is>
          <t>Giá trị</t>
        </is>
      </c>
      <c r="I299" s="181" t="inlineStr">
        <is>
          <t>Đánh giá</t>
        </is>
      </c>
      <c r="J299" s="181" t="inlineStr">
        <is>
          <t>Ưu tiên</t>
        </is>
      </c>
    </row>
    <row r="300" ht="14.25" customHeight="1" s="981">
      <c r="A300" s="45" t="n">
        <v>1</v>
      </c>
      <c r="B300" s="43" t="inlineStr">
        <is>
          <t>% NĐT nước ngoài</t>
        </is>
      </c>
      <c r="C300" s="45">
        <f>IFERROR(VLOOKUP($C$4,'📈 Cổ Phiếu VN 🔍'!$A:$W,23,0)/100,0)</f>
        <v/>
      </c>
      <c r="D300" s="45" t="inlineStr">
        <is>
          <t>&gt; 20%</t>
        </is>
      </c>
      <c r="E300" s="45">
        <f>IF(C300&gt;0.3,"🟢 NN cao ≥30%",IF(C300&gt;0.2,"🟡 TB","🔴 Thấp"))</f>
        <v/>
      </c>
      <c r="F300" s="45" t="n">
        <v>6</v>
      </c>
      <c r="G300" s="43" t="inlineStr">
        <is>
          <t>Vốn hóa lớn</t>
        </is>
      </c>
      <c r="H300" s="45">
        <f>IFERROR(VLOOKUP($C$4,'📈 Cổ Phiếu VN 🔍'!$A:$H,8,0),0)</f>
        <v/>
      </c>
      <c r="I300" s="45">
        <f>IF(H300&gt;50000,"🟢 Large-cap",IF(H300&gt;10000,"🟡 Mid-cap","🔴 Small-cap"))</f>
        <v/>
      </c>
      <c r="J300" s="45" t="inlineStr">
        <is>
          <t>TB</t>
        </is>
      </c>
    </row>
    <row r="301" ht="14.25" customHeight="1" s="981">
      <c r="A301" s="45" t="n">
        <v>2</v>
      </c>
      <c r="B301" s="43" t="inlineStr">
        <is>
          <t>Insider giữ</t>
        </is>
      </c>
      <c r="C301" s="45">
        <f>IFERROR(VLOOKUP($C$4,'📈 Cổ Phiếu VN 🔍'!$A:$X,24,0)/100,0)</f>
        <v/>
      </c>
      <c r="D301" s="45" t="inlineStr">
        <is>
          <t>5-20%</t>
        </is>
      </c>
      <c r="E301" s="45">
        <f>IF(C300&gt;0.05,IF(C300&lt;0.2,"🟢 Phù hợp","🟡 Hơi cao"),"🟠 Thấp")</f>
        <v/>
      </c>
      <c r="F301" s="45" t="n">
        <v>7</v>
      </c>
      <c r="G301" s="43" t="inlineStr">
        <is>
          <t>Free float</t>
        </is>
      </c>
      <c r="H301" s="45">
        <f>IFERROR(1-IFERROR(VLOOKUP($C$4,'📈 Cổ Phiếu VN 🔍'!$A:$X,24,0),0)/100,0.9)</f>
        <v/>
      </c>
      <c r="I301" s="45">
        <f>IF(H300&gt;0.5,"🟢 Free float cao",IF(H300&gt;0.3,"🟡 TB","🔴 Hạn chế"))</f>
        <v/>
      </c>
      <c r="J301" s="45" t="inlineStr">
        <is>
          <t>TB</t>
        </is>
      </c>
    </row>
    <row r="302" ht="14.25" customHeight="1" s="981">
      <c r="A302" s="45" t="n">
        <v>3</v>
      </c>
      <c r="B302" s="43" t="inlineStr">
        <is>
          <t>ESG score</t>
        </is>
      </c>
      <c r="C302" s="45">
        <f>IFERROR(VLOOKUP($C$4,'📈 Cổ Phiếu VN 🔍'!$A:$Z,26,0),50)</f>
        <v/>
      </c>
      <c r="D302" s="45" t="inlineStr">
        <is>
          <t>&gt; 70</t>
        </is>
      </c>
      <c r="E302" s="45">
        <f>IF(C300&gt;=70,"🟢 ESG tốt",IF(C300&gt;=50,"🟡 TB","🔴 Yếu"))</f>
        <v/>
      </c>
      <c r="F302" s="45" t="n">
        <v>8</v>
      </c>
      <c r="G302" s="43" t="inlineStr">
        <is>
          <t>Đạo đức LĐ</t>
        </is>
      </c>
      <c r="H302" s="45">
        <f>IFERROR(VLOOKUP($C$4,'📈 Cổ Phiếu VN 🔍'!$A:$AA,27,0),"N/A")</f>
        <v/>
      </c>
      <c r="I302" s="45">
        <f>IFERROR(IF(LEFT(H300,2)="🟢","🟢 LĐ tốt",IF(LEFT(H300,2)="🟡","🟡 TB","🔴 Cảnh báo")),"N/A")</f>
        <v/>
      </c>
      <c r="J302" s="45" t="inlineStr">
        <is>
          <t>Cao</t>
        </is>
      </c>
    </row>
    <row r="303" ht="14.25" customHeight="1" s="981">
      <c r="A303" s="45" t="n">
        <v>4</v>
      </c>
      <c r="B303" s="43" t="inlineStr">
        <is>
          <t>Tín hiệu HT</t>
        </is>
      </c>
      <c r="C303" s="45">
        <f>IFERROR(VLOOKUP($C$4,'📈 Cổ Phiếu VN 🔍'!$A:$K,11,0),"N/A")</f>
        <v/>
      </c>
      <c r="D303" s="45" t="inlineStr">
        <is>
          <t>MUA / GIỮ</t>
        </is>
      </c>
      <c r="E303" s="45">
        <f>IF(C300="MUA","🟢 MUA",IF(C300="GIỮ","🟡 GIỮ",IF(C300="BÁN","🔴 BÁN","⚪ N/A")))</f>
        <v/>
      </c>
      <c r="F303" s="45" t="n">
        <v>9</v>
      </c>
      <c r="G303" s="43" t="inlineStr">
        <is>
          <t>Sàn GD</t>
        </is>
      </c>
      <c r="H303" s="45">
        <f>IFERROR(VLOOKUP($C$4,'📈 Cổ Phiếu VN 🔍'!$A:$AC,29,0),"N/A")</f>
        <v/>
      </c>
      <c r="I303" s="45">
        <f>IF(H300="HOSE","🟢 HOSE TOP",IF(H300="HNX","🟡 HNX",IF(H300="UPCOM","🟠 UPCOM","⚪ N/A")))</f>
        <v/>
      </c>
      <c r="J303" s="45" t="inlineStr">
        <is>
          <t>TB</t>
        </is>
      </c>
    </row>
    <row r="304" ht="14.25" customHeight="1" s="981">
      <c r="A304" s="45" t="n">
        <v>5</v>
      </c>
      <c r="B304" s="43" t="inlineStr">
        <is>
          <t>Cảnh báo BCTC</t>
        </is>
      </c>
      <c r="C304" s="45">
        <f>IFERROR(VLOOKUP($C$4,'📈 Cổ Phiếu VN 🔍'!$A:$AB,28,0),"")</f>
        <v/>
      </c>
      <c r="D304" s="45" t="inlineStr">
        <is>
          <t>Không cờ đỏ</t>
        </is>
      </c>
      <c r="E304" s="45">
        <f>IF(C300="","🟢 Sạch","🔴 Có cảnh báo")</f>
        <v/>
      </c>
      <c r="F304" s="45" t="n">
        <v>10</v>
      </c>
      <c r="G304" s="43" t="inlineStr">
        <is>
          <t>Chủ tịch HĐQT</t>
        </is>
      </c>
      <c r="H304" s="45">
        <f>IFERROR(VLOOKUP($C$4,'📈 Cổ Phiếu VN 🔍'!$A:$Y,25,0),"N/A")</f>
        <v/>
      </c>
      <c r="I304" s="45">
        <f>IF(H300="N/A","⚪","🟢 Đã định danh")</f>
        <v/>
      </c>
      <c r="J304" s="45" t="inlineStr">
        <is>
          <t>TB</t>
        </is>
      </c>
    </row>
    <row r="305" ht="14.25" customHeight="1" s="981">
      <c r="A305" s="183" t="inlineStr">
        <is>
          <t>🐋</t>
        </is>
      </c>
      <c r="B305" s="188" t="inlineStr">
        <is>
          <t>SMART MONEY SCORE</t>
        </is>
      </c>
      <c r="E305" s="185">
        <f>COUNTIF(E300:E304,"🟢*")+COUNTIF(I300:I304,"🟢*")</f>
        <v/>
      </c>
      <c r="I305" s="185">
        <f>IF(E305&gt;=7,"🟢 Cá Voi quan tâm",IF(E305&gt;=4,"🟡 Trung tính","🔴 Tránh"))</f>
        <v/>
      </c>
    </row>
    <row r="307" ht="15" customHeight="1" s="981">
      <c r="A307" s="980" t="inlineStr">
        <is>
          <t>⚖️ PHẦN Z: SHARPE OPTIMIZER + RISK PARITY — Bridgewater All-Weather chuẩn quỹ vĩ mô</t>
        </is>
      </c>
    </row>
    <row r="308" ht="14.25" customHeight="1" s="981">
      <c r="A308" s="181" t="inlineStr">
        <is>
          <t>STT</t>
        </is>
      </c>
      <c r="B308" s="181" t="inlineStr">
        <is>
          <t>Tài sản</t>
        </is>
      </c>
      <c r="C308" s="181" t="inlineStr">
        <is>
          <t>Tỷ trọng đề xuất</t>
        </is>
      </c>
      <c r="D308" s="181" t="inlineStr">
        <is>
          <t>Expected Return</t>
        </is>
      </c>
      <c r="E308" s="181" t="inlineStr">
        <is>
          <t>Vol (σ)</t>
        </is>
      </c>
      <c r="F308" s="181" t="inlineStr">
        <is>
          <t>Sharpe</t>
        </is>
      </c>
      <c r="G308" s="181" t="inlineStr">
        <is>
          <t>Đóng góp Rủi ro</t>
        </is>
      </c>
      <c r="H308" s="181" t="inlineStr">
        <is>
          <t>Trọng số Risk Parity</t>
        </is>
      </c>
      <c r="I308" s="181" t="inlineStr">
        <is>
          <t>Đánh giá</t>
        </is>
      </c>
      <c r="J308" s="181" t="inlineStr">
        <is>
          <t>Ghi chú</t>
        </is>
      </c>
    </row>
    <row r="309" ht="14.25" customHeight="1" s="981">
      <c r="A309" s="45" t="n">
        <v>1</v>
      </c>
      <c r="B309" s="43" t="inlineStr">
        <is>
          <t>Cổ phiếu (mã này)</t>
        </is>
      </c>
      <c r="C309" s="189" t="n">
        <v>0.3</v>
      </c>
      <c r="D309" s="190">
        <f>IFERROR(VLOOKUP($C$4,'📈 Cổ Phiếu VN 🔍'!$A:$J,10,0)/100,0.08)</f>
        <v/>
      </c>
      <c r="E309" s="190" t="n">
        <v>0.22</v>
      </c>
      <c r="F309" s="191">
        <f>IFERROR((D309-0.045)/E309,0)</f>
        <v/>
      </c>
      <c r="G309" s="190">
        <f>C309*E309</f>
        <v/>
      </c>
      <c r="H309" s="190">
        <f>IFERROR((1/E309)/(1/E309+1/0.06+1/0.18+1/0.16),0.25)</f>
        <v/>
      </c>
      <c r="I309" s="45">
        <f>IF(F309&gt;1,"🟢 Sharpe tốt",IF(F309&gt;0.5,"🟡 TB","🔴 Yếu"))</f>
        <v/>
      </c>
      <c r="J309" s="43" t="inlineStr">
        <is>
          <t>Single stock</t>
        </is>
      </c>
    </row>
    <row r="310" ht="14.25" customHeight="1" s="981">
      <c r="A310" s="45" t="n">
        <v>2</v>
      </c>
      <c r="B310" s="43" t="inlineStr">
        <is>
          <t>Trái phiếu CP VN 10Y</t>
        </is>
      </c>
      <c r="C310" s="189" t="n">
        <v>0.3</v>
      </c>
      <c r="D310" s="190" t="n">
        <v>0.045</v>
      </c>
      <c r="E310" s="190" t="n">
        <v>0.06</v>
      </c>
      <c r="F310" s="191">
        <f>IFERROR((D309-0.045)/E309,0)</f>
        <v/>
      </c>
      <c r="G310" s="190">
        <f>C309*E309</f>
        <v/>
      </c>
      <c r="H310" s="190">
        <f>IFERROR((1/E309)/(1/0.22+1/E309+1/0.18+1/0.16),0.25)</f>
        <v/>
      </c>
      <c r="I310" s="45" t="inlineStr">
        <is>
          <t>🟢 An toàn</t>
        </is>
      </c>
      <c r="J310" s="43" t="inlineStr">
        <is>
          <t>Defensive</t>
        </is>
      </c>
    </row>
    <row r="311" ht="14.25" customHeight="1" s="981">
      <c r="A311" s="45" t="n">
        <v>3</v>
      </c>
      <c r="B311" s="43" t="inlineStr">
        <is>
          <t>Hàng hóa (Brent)</t>
        </is>
      </c>
      <c r="C311" s="189" t="n">
        <v>0.15</v>
      </c>
      <c r="D311" s="190" t="n">
        <v>0.07000000000000001</v>
      </c>
      <c r="E311" s="190" t="n">
        <v>0.18</v>
      </c>
      <c r="F311" s="191">
        <f>IFERROR((D309-0.045)/E309,0)</f>
        <v/>
      </c>
      <c r="G311" s="190">
        <f>C309*E309</f>
        <v/>
      </c>
      <c r="H311" s="190">
        <f>IFERROR((1/E309)/(1/0.22+1/0.06+1/E309+1/0.16),0.25)</f>
        <v/>
      </c>
      <c r="I311" s="45" t="inlineStr">
        <is>
          <t>🟡 Inflation hedge</t>
        </is>
      </c>
      <c r="J311" s="43" t="inlineStr">
        <is>
          <t>Reflation</t>
        </is>
      </c>
    </row>
    <row r="312" ht="14.25" customHeight="1" s="981">
      <c r="A312" s="45" t="n">
        <v>4</v>
      </c>
      <c r="B312" s="43" t="inlineStr">
        <is>
          <t>Vàng SJC</t>
        </is>
      </c>
      <c r="C312" s="189" t="n">
        <v>0.15</v>
      </c>
      <c r="D312" s="190" t="n">
        <v>0.09</v>
      </c>
      <c r="E312" s="190" t="n">
        <v>0.16</v>
      </c>
      <c r="F312" s="191">
        <f>IFERROR((D309-0.045)/E309,0)</f>
        <v/>
      </c>
      <c r="G312" s="190">
        <f>C309*E309</f>
        <v/>
      </c>
      <c r="H312" s="190">
        <f>IFERROR((1/E309)/(1/0.22+1/0.06+1/0.18+1/E309),0.25)</f>
        <v/>
      </c>
      <c r="I312" s="45" t="inlineStr">
        <is>
          <t>🟢 Stagflation hedge</t>
        </is>
      </c>
      <c r="J312" s="43" t="inlineStr">
        <is>
          <t>Crisis</t>
        </is>
      </c>
    </row>
    <row r="313" ht="14.25" customHeight="1" s="981">
      <c r="A313" s="45" t="n">
        <v>5</v>
      </c>
      <c r="B313" s="43" t="inlineStr">
        <is>
          <t>Tiền mặt</t>
        </is>
      </c>
      <c r="C313" s="189" t="n">
        <v>0.1</v>
      </c>
      <c r="D313" s="190" t="n">
        <v>0.045</v>
      </c>
      <c r="E313" s="190" t="n">
        <v>0.005</v>
      </c>
      <c r="F313" s="191">
        <f>IFERROR((D309-0.045)/MAX(E309,0.01),0)</f>
        <v/>
      </c>
      <c r="G313" s="190">
        <f>C309*E309</f>
        <v/>
      </c>
      <c r="H313" s="190" t="n">
        <v>0.05</v>
      </c>
      <c r="I313" s="45" t="inlineStr">
        <is>
          <t>🟡 Liquidity buffer</t>
        </is>
      </c>
      <c r="J313" s="43" t="inlineStr">
        <is>
          <t>Dry powder</t>
        </is>
      </c>
    </row>
    <row r="314" ht="14.25" customHeight="1" s="981">
      <c r="A314" s="183" t="inlineStr">
        <is>
          <t>⚖️</t>
        </is>
      </c>
      <c r="B314" s="188" t="inlineStr">
        <is>
          <t>PORTFOLIO SHARPE</t>
        </is>
      </c>
      <c r="C314" s="192">
        <f>SUM(C309:C313)</f>
        <v/>
      </c>
      <c r="D314" s="192">
        <f>SUMPRODUCT(C309:C313,D309:D313)</f>
        <v/>
      </c>
      <c r="F314" s="193">
        <f>(D314-0.045)/AVERAGE(E309:E313)</f>
        <v/>
      </c>
      <c r="I314" s="185">
        <f>IF(F314&gt;1,"🟢 Tối ưu",IF(F314&gt;0.5,"🟡 TB","🔴 Yếu"))</f>
        <v/>
      </c>
    </row>
    <row r="316" ht="15" customHeight="1" s="981">
      <c r="A316" s="980" t="inlineStr">
        <is>
          <t>💎 PHẦN AA: BUFFETT OWNER EARNINGS — Định giá 10 năm theo Warren Buffett (Berkshire style)</t>
        </is>
      </c>
    </row>
    <row r="317" ht="14.25" customHeight="1" s="981">
      <c r="A317" s="181" t="inlineStr">
        <is>
          <t>Năm</t>
        </is>
      </c>
      <c r="B317" s="181" t="inlineStr">
        <is>
          <t>EPS gốc</t>
        </is>
      </c>
      <c r="C317" s="181" t="inlineStr">
        <is>
          <t>Growth %</t>
        </is>
      </c>
      <c r="D317" s="181" t="inlineStr">
        <is>
          <t>Owner Earnings</t>
        </is>
      </c>
      <c r="E317" s="181" t="inlineStr">
        <is>
          <t>PV Factor (10%)</t>
        </is>
      </c>
      <c r="F317" s="181" t="inlineStr">
        <is>
          <t>PV</t>
        </is>
      </c>
      <c r="G317" s="181" t="inlineStr">
        <is>
          <t>Terminal Value</t>
        </is>
      </c>
      <c r="H317" s="181" t="inlineStr">
        <is>
          <t>Cumulative PV</t>
        </is>
      </c>
      <c r="I317" s="181" t="inlineStr">
        <is>
          <t>Margin of Safety</t>
        </is>
      </c>
      <c r="J317" s="181" t="inlineStr">
        <is>
          <t>Ghi chú</t>
        </is>
      </c>
    </row>
    <row r="318" ht="14.25" customHeight="1" s="981">
      <c r="A318" s="45" t="n">
        <v>1</v>
      </c>
      <c r="B318" s="43">
        <f>IFERROR(VLOOKUP($C$4,'📈 Cổ Phiếu VN 🔍'!$A:$I,9,0),0)</f>
        <v/>
      </c>
      <c r="C318" s="189" t="n">
        <v>0.15</v>
      </c>
      <c r="D318" s="45">
        <f>B318*(1+C318)</f>
        <v/>
      </c>
      <c r="E318" s="194">
        <f>1/(1.1^A318)</f>
        <v/>
      </c>
      <c r="F318" s="195">
        <f>D318*E318</f>
        <v/>
      </c>
      <c r="G318" s="45" t="n"/>
      <c r="H318" s="195">
        <f>F318</f>
        <v/>
      </c>
      <c r="I318" s="45" t="n"/>
      <c r="J318" s="45" t="n"/>
    </row>
    <row r="319" ht="14.25" customHeight="1" s="981">
      <c r="A319" s="45" t="n">
        <v>2</v>
      </c>
      <c r="B319" s="43">
        <f>D318</f>
        <v/>
      </c>
      <c r="C319" s="189" t="n">
        <v>0.15</v>
      </c>
      <c r="D319" s="45">
        <f>B319*(1+C319)</f>
        <v/>
      </c>
      <c r="E319" s="194">
        <f>1/(1.1^A319)</f>
        <v/>
      </c>
      <c r="F319" s="195">
        <f>D319*E319</f>
        <v/>
      </c>
      <c r="G319" s="45" t="n"/>
      <c r="H319" s="195">
        <f>H318+F319</f>
        <v/>
      </c>
      <c r="I319" s="45" t="n"/>
      <c r="J319" s="45" t="n"/>
    </row>
    <row r="320" ht="14.25" customHeight="1" s="981">
      <c r="A320" s="45" t="n">
        <v>3</v>
      </c>
      <c r="B320" s="43">
        <f>D319</f>
        <v/>
      </c>
      <c r="C320" s="189" t="n">
        <v>0.15</v>
      </c>
      <c r="D320" s="45">
        <f>B320*(1+C320)</f>
        <v/>
      </c>
      <c r="E320" s="194">
        <f>1/(1.1^A320)</f>
        <v/>
      </c>
      <c r="F320" s="195">
        <f>D320*E320</f>
        <v/>
      </c>
      <c r="G320" s="45" t="n"/>
      <c r="H320" s="195">
        <f>H319+F320</f>
        <v/>
      </c>
      <c r="I320" s="45" t="n"/>
      <c r="J320" s="45" t="n"/>
    </row>
    <row r="321" ht="14.25" customHeight="1" s="981">
      <c r="A321" s="45" t="n">
        <v>4</v>
      </c>
      <c r="B321" s="43">
        <f>D320</f>
        <v/>
      </c>
      <c r="C321" s="189" t="n">
        <v>0.15</v>
      </c>
      <c r="D321" s="45">
        <f>B321*(1+C321)</f>
        <v/>
      </c>
      <c r="E321" s="194">
        <f>1/(1.1^A321)</f>
        <v/>
      </c>
      <c r="F321" s="195">
        <f>D321*E321</f>
        <v/>
      </c>
      <c r="G321" s="45" t="n"/>
      <c r="H321" s="195">
        <f>H320+F321</f>
        <v/>
      </c>
      <c r="I321" s="45" t="n"/>
      <c r="J321" s="45" t="n"/>
    </row>
    <row r="322" ht="14.25" customHeight="1" s="981">
      <c r="A322" s="45" t="n">
        <v>5</v>
      </c>
      <c r="B322" s="43">
        <f>D321</f>
        <v/>
      </c>
      <c r="C322" s="189" t="n">
        <v>0.15</v>
      </c>
      <c r="D322" s="45">
        <f>B322*(1+C322)</f>
        <v/>
      </c>
      <c r="E322" s="194">
        <f>1/(1.1^A322)</f>
        <v/>
      </c>
      <c r="F322" s="195">
        <f>D322*E322</f>
        <v/>
      </c>
      <c r="G322" s="45" t="n"/>
      <c r="H322" s="195">
        <f>H321+F322</f>
        <v/>
      </c>
      <c r="I322" s="45" t="n"/>
      <c r="J322" s="45" t="n"/>
    </row>
    <row r="323" ht="14.25" customHeight="1" s="981">
      <c r="A323" s="45" t="n">
        <v>6</v>
      </c>
      <c r="B323" s="43">
        <f>D322</f>
        <v/>
      </c>
      <c r="C323" s="189" t="n">
        <v>0.08</v>
      </c>
      <c r="D323" s="45">
        <f>B323*(1+C323)</f>
        <v/>
      </c>
      <c r="E323" s="194">
        <f>1/(1.1^A323)</f>
        <v/>
      </c>
      <c r="F323" s="195">
        <f>D323*E323</f>
        <v/>
      </c>
      <c r="G323" s="45" t="n"/>
      <c r="H323" s="195">
        <f>H322+F323</f>
        <v/>
      </c>
      <c r="I323" s="45" t="n"/>
      <c r="J323" s="45" t="n"/>
    </row>
    <row r="324" ht="14.25" customHeight="1" s="981">
      <c r="A324" s="45" t="n">
        <v>7</v>
      </c>
      <c r="B324" s="43">
        <f>D323</f>
        <v/>
      </c>
      <c r="C324" s="189" t="n">
        <v>0.08</v>
      </c>
      <c r="D324" s="45">
        <f>B324*(1+C324)</f>
        <v/>
      </c>
      <c r="E324" s="194">
        <f>1/(1.1^A324)</f>
        <v/>
      </c>
      <c r="F324" s="195">
        <f>D324*E324</f>
        <v/>
      </c>
      <c r="G324" s="45" t="n"/>
      <c r="H324" s="195">
        <f>H323+F324</f>
        <v/>
      </c>
      <c r="I324" s="45" t="n"/>
      <c r="J324" s="45" t="n"/>
    </row>
    <row r="325" ht="14.25" customHeight="1" s="981">
      <c r="A325" s="45" t="n">
        <v>8</v>
      </c>
      <c r="B325" s="43">
        <f>D324</f>
        <v/>
      </c>
      <c r="C325" s="189" t="n">
        <v>0.08</v>
      </c>
      <c r="D325" s="45">
        <f>B325*(1+C325)</f>
        <v/>
      </c>
      <c r="E325" s="194">
        <f>1/(1.1^A325)</f>
        <v/>
      </c>
      <c r="F325" s="195">
        <f>D325*E325</f>
        <v/>
      </c>
      <c r="G325" s="45" t="n"/>
      <c r="H325" s="195">
        <f>H324+F325</f>
        <v/>
      </c>
      <c r="I325" s="45" t="n"/>
      <c r="J325" s="45" t="n"/>
    </row>
    <row r="326" ht="14.25" customHeight="1" s="981">
      <c r="A326" s="45" t="n">
        <v>9</v>
      </c>
      <c r="B326" s="43">
        <f>D325</f>
        <v/>
      </c>
      <c r="C326" s="189" t="n">
        <v>0.08</v>
      </c>
      <c r="D326" s="45">
        <f>B326*(1+C326)</f>
        <v/>
      </c>
      <c r="E326" s="194">
        <f>1/(1.1^A326)</f>
        <v/>
      </c>
      <c r="F326" s="195">
        <f>D326*E326</f>
        <v/>
      </c>
      <c r="G326" s="45" t="n"/>
      <c r="H326" s="195">
        <f>H325+F326</f>
        <v/>
      </c>
      <c r="I326" s="45" t="n"/>
      <c r="J326" s="45" t="n"/>
    </row>
    <row r="327" ht="14.25" customHeight="1" s="981">
      <c r="A327" s="45" t="n">
        <v>10</v>
      </c>
      <c r="B327" s="43">
        <f>D326</f>
        <v/>
      </c>
      <c r="C327" s="189" t="n">
        <v>0.08</v>
      </c>
      <c r="D327" s="45">
        <f>B327*(1+C327)</f>
        <v/>
      </c>
      <c r="E327" s="194">
        <f>1/(1.1^A327)</f>
        <v/>
      </c>
      <c r="F327" s="195">
        <f>D327*E327</f>
        <v/>
      </c>
      <c r="G327" s="195">
        <f>D327*1.03/(0.1-0.03)*E327</f>
        <v/>
      </c>
      <c r="H327" s="195">
        <f>H326+F327</f>
        <v/>
      </c>
      <c r="I327" s="189">
        <f>IFERROR((H327+G327-IFERROR(VLOOKUP($C$4,'📈 Cổ Phiếu VN 🔍'!$A:$D,4,0),0))/MAX(IFERROR(VLOOKUP($C$4,'📈 Cổ Phiếu VN 🔍'!$A:$D,4,0),1),1),0)</f>
        <v/>
      </c>
      <c r="J327" s="45" t="inlineStr">
        <is>
          <t>← Terminal + MoS</t>
        </is>
      </c>
    </row>
    <row r="328" ht="14.25" customHeight="1" s="981">
      <c r="A328" s="183" t="inlineStr">
        <is>
          <t>💎</t>
        </is>
      </c>
      <c r="B328" s="184" t="inlineStr">
        <is>
          <t>BUFFETT FAIR VALUE</t>
        </is>
      </c>
      <c r="F328" s="196">
        <f>H327+G327</f>
        <v/>
      </c>
      <c r="I328" s="185">
        <f>IF(F328&gt;IFERROR(VLOOKUP($C$4,'📈 Cổ Phiếu VN 🔍'!$A:$D,4,0),1)*1.5,"🟢 MUA — rẻ hơn 50%",IF(F328&gt;IFERROR(VLOOKUP($C$4,'📈 Cổ Phiếu VN 🔍'!$A:$D,4,0),1),"🟡 Hợp lý","🔴 Đắt"))</f>
        <v/>
      </c>
    </row>
    <row r="330" ht="15" customHeight="1" s="981">
      <c r="A330" s="980" t="inlineStr">
        <is>
          <t>🎲 PHẦN BB: KELLY CRITERION FULL — Tỷ trọng tối ưu hoá (Edward Thorp / Renaissance)</t>
        </is>
      </c>
    </row>
    <row r="331" ht="14.25" customHeight="1" s="981">
      <c r="A331" s="181" t="inlineStr">
        <is>
          <t>STT</t>
        </is>
      </c>
      <c r="B331" s="181" t="inlineStr">
        <is>
          <t>Thông số</t>
        </is>
      </c>
      <c r="C331" s="181" t="inlineStr">
        <is>
          <t>Công thức</t>
        </is>
      </c>
      <c r="D331" s="181" t="inlineStr">
        <is>
          <t>Giá trị</t>
        </is>
      </c>
      <c r="E331" s="181" t="inlineStr">
        <is>
          <t>Mặc định</t>
        </is>
      </c>
      <c r="F331" s="181" t="inlineStr">
        <is>
          <t>Tính toán</t>
        </is>
      </c>
      <c r="G331" s="181" t="inlineStr">
        <is>
          <t>Kết quả</t>
        </is>
      </c>
      <c r="H331" s="181" t="inlineStr">
        <is>
          <t>Mức</t>
        </is>
      </c>
      <c r="I331" s="181" t="inlineStr">
        <is>
          <t>Hành động</t>
        </is>
      </c>
      <c r="J331" s="181" t="inlineStr">
        <is>
          <t>Ghi chú</t>
        </is>
      </c>
    </row>
    <row r="332" ht="14.25" customHeight="1" s="981">
      <c r="A332" s="45" t="n">
        <v>1</v>
      </c>
      <c r="B332" s="186" t="inlineStr">
        <is>
          <t>p — Xác suất thắng</t>
        </is>
      </c>
      <c r="C332" s="45" t="inlineStr">
        <is>
          <t>Tổng điểm/250</t>
        </is>
      </c>
      <c r="D332" s="189">
        <f>IFERROR(C254/250,0.5)</f>
        <v/>
      </c>
      <c r="E332" s="45" t="inlineStr">
        <is>
          <t>0.5</t>
        </is>
      </c>
      <c r="F332" s="45" t="n"/>
      <c r="G332" s="45" t="n"/>
      <c r="H332" s="45" t="n"/>
      <c r="I332" s="45" t="n"/>
      <c r="J332" s="43" t="inlineStr">
        <is>
          <t>p = Tổng điểm 21 phần / 250</t>
        </is>
      </c>
    </row>
    <row r="333" ht="14.25" customHeight="1" s="981">
      <c r="A333" s="45" t="n">
        <v>2</v>
      </c>
      <c r="B333" s="186" t="inlineStr">
        <is>
          <t>b — Tỷ lệ thắng/thua</t>
        </is>
      </c>
      <c r="C333" s="45" t="inlineStr">
        <is>
          <t>(FV - Giá)/Giá</t>
        </is>
      </c>
      <c r="D333" s="189">
        <f>IFERROR(MAX((D110-IFERROR(VLOOKUP($C$4,'📈 Cổ Phiếu VN 🔍'!$A:$D,4,0),1))/IFERROR(VLOOKUP($C$4,'📈 Cổ Phiếu VN 🔍'!$A:$D,4,0),1),0.1),0.3)</f>
        <v/>
      </c>
      <c r="E333" s="45" t="inlineStr">
        <is>
          <t>0.3</t>
        </is>
      </c>
      <c r="F333" s="45" t="n"/>
      <c r="G333" s="45" t="n"/>
      <c r="H333" s="45" t="n"/>
      <c r="I333" s="45" t="n"/>
      <c r="J333" s="43" t="inlineStr">
        <is>
          <t>Tỷ lệ Upside vs Downside</t>
        </is>
      </c>
    </row>
    <row r="334" ht="14.25" customHeight="1" s="981">
      <c r="A334" s="45" t="n">
        <v>3</v>
      </c>
      <c r="B334" s="186" t="inlineStr">
        <is>
          <t>q — Xác suất thua</t>
        </is>
      </c>
      <c r="C334" s="45" t="inlineStr">
        <is>
          <t>1 - p</t>
        </is>
      </c>
      <c r="D334" s="189">
        <f>1-D332</f>
        <v/>
      </c>
      <c r="E334" s="45" t="n"/>
      <c r="F334" s="45" t="n"/>
      <c r="G334" s="45" t="n"/>
      <c r="H334" s="45" t="n"/>
      <c r="I334" s="45" t="n"/>
      <c r="J334" s="43" t="inlineStr">
        <is>
          <t>Bù vào để Kelly đúng</t>
        </is>
      </c>
    </row>
    <row r="335" ht="14.25" customHeight="1" s="981">
      <c r="A335" s="45" t="n">
        <v>4</v>
      </c>
      <c r="B335" s="186" t="inlineStr">
        <is>
          <t>Kelly % (full)</t>
        </is>
      </c>
      <c r="C335" s="45" t="inlineStr">
        <is>
          <t>p - q/b</t>
        </is>
      </c>
      <c r="D335" s="189">
        <f>IFERROR(D332-(1-D332)/D333,0)</f>
        <v/>
      </c>
      <c r="E335" s="45" t="n"/>
      <c r="F335" s="189">
        <f>D335</f>
        <v/>
      </c>
      <c r="G335" s="189">
        <f>MAX(D335,0)</f>
        <v/>
      </c>
      <c r="H335" s="45">
        <f>IF(D335&gt;0.2,"🟢 Có lợi",IF(D335&gt;0,"🟡 Nhẹ","🔴 Tránh"))</f>
        <v/>
      </c>
      <c r="I335" s="45">
        <f>IF(D335&gt;0.5,"DOWNSIZE 25%",IF(D335&gt;0.2,"VÀO ĐỦ 20%",IF(D335&gt;0.05,"VÀO 5-10%","KHÔNG VÀO")))</f>
        <v/>
      </c>
      <c r="J335" s="43" t="inlineStr">
        <is>
          <t>Full Kelly — quá hung hăng</t>
        </is>
      </c>
    </row>
    <row r="336" ht="14.25" customHeight="1" s="981">
      <c r="A336" s="45" t="n">
        <v>5</v>
      </c>
      <c r="B336" s="186" t="inlineStr">
        <is>
          <t>Half Kelly (an toàn)</t>
        </is>
      </c>
      <c r="C336" s="45" t="inlineStr">
        <is>
          <t>Full Kelly / 2</t>
        </is>
      </c>
      <c r="D336" s="189">
        <f>MAX(D335/2,0)</f>
        <v/>
      </c>
      <c r="E336" s="45" t="inlineStr">
        <is>
          <t>5-10%</t>
        </is>
      </c>
      <c r="F336" s="45" t="n"/>
      <c r="G336" s="189">
        <f>MAX(D336,0)</f>
        <v/>
      </c>
      <c r="H336" s="45" t="inlineStr">
        <is>
          <t>🟢 An toàn</t>
        </is>
      </c>
      <c r="I336" s="45" t="inlineStr">
        <is>
          <t>Khuyến nghị THỰC TẾ</t>
        </is>
      </c>
      <c r="J336" s="43" t="inlineStr">
        <is>
          <t>Chia 2 để chống lệch ước tính</t>
        </is>
      </c>
    </row>
    <row r="337" ht="14.25" customHeight="1" s="981">
      <c r="A337" s="45" t="n">
        <v>6</v>
      </c>
      <c r="B337" s="186" t="inlineStr">
        <is>
          <t>Số tiền đề xuất</t>
        </is>
      </c>
      <c r="C337" s="45" t="inlineStr">
        <is>
          <t>Half Kelly × Tổng vốn</t>
        </is>
      </c>
      <c r="D337" s="195">
        <f>MAX(D335/2,0)*100000000</f>
        <v/>
      </c>
      <c r="E337" s="45" t="inlineStr">
        <is>
          <t>100M VND</t>
        </is>
      </c>
      <c r="F337" s="45" t="n"/>
      <c r="G337" s="45" t="n"/>
      <c r="H337" s="45" t="n"/>
      <c r="I337" s="45" t="n"/>
      <c r="J337" s="43" t="inlineStr">
        <is>
          <t>Giả định vốn 100M VND</t>
        </is>
      </c>
    </row>
    <row r="339" ht="15" customHeight="1" s="981">
      <c r="A339" s="980" t="inlineStr">
        <is>
          <t>🤖 PHẦN CC: ML QUANT SCORE — Mô phỏng AI Boosting (Two Sigma / Renaissance Tech style)</t>
        </is>
      </c>
    </row>
    <row r="340" ht="14.25" customHeight="1" s="981">
      <c r="A340" s="181" t="inlineStr">
        <is>
          <t>STT</t>
        </is>
      </c>
      <c r="B340" s="181" t="inlineStr">
        <is>
          <t>Feature (đặc trưng)</t>
        </is>
      </c>
      <c r="C340" s="181" t="inlineStr">
        <is>
          <t>Giá trị thô</t>
        </is>
      </c>
      <c r="D340" s="181" t="inlineStr">
        <is>
          <t>Z-Score</t>
        </is>
      </c>
      <c r="E340" s="181" t="inlineStr">
        <is>
          <t>Trọng số ML</t>
        </is>
      </c>
      <c r="F340" s="181" t="inlineStr">
        <is>
          <t>Điểm đóng góp</t>
        </is>
      </c>
      <c r="G340" s="181" t="inlineStr">
        <is>
          <t>Tín hiệu</t>
        </is>
      </c>
      <c r="H340" s="181" t="inlineStr">
        <is>
          <t>Confidence</t>
        </is>
      </c>
      <c r="I340" s="181" t="inlineStr">
        <is>
          <t>Tier</t>
        </is>
      </c>
      <c r="J340" s="181" t="inlineStr">
        <is>
          <t>Ý nghĩa</t>
        </is>
      </c>
    </row>
    <row r="341" ht="14.25" customHeight="1" s="981">
      <c r="A341" s="45" t="n">
        <v>1</v>
      </c>
      <c r="B341" s="186" t="inlineStr">
        <is>
          <t>Momentum (YTD%)</t>
        </is>
      </c>
      <c r="C341" s="194">
        <f>IFERROR(VLOOKUP($C$4,'📈 Cổ Phiếu VN 🔍'!$A:$J,10,0)/100,0)</f>
        <v/>
      </c>
      <c r="D341" s="194">
        <f>IFERROR((C341-IFERROR(AVERAGEIF('📈 Cổ Phiếu VN 🔍'!$J:$J,"&lt;&gt;",'📈 Cổ Phiếu VN 🔍'!$J:$J),0)/100)/0.2,0)</f>
        <v/>
      </c>
      <c r="E341" s="191" t="n">
        <v>0.15</v>
      </c>
      <c r="F341" s="194">
        <f>D341*E341</f>
        <v/>
      </c>
      <c r="G341" s="45">
        <f>IF(D341&gt;1,"🟢 Mạnh",IF(D341&gt;0,"🟡 Tăng","🔴 Yếu"))</f>
        <v/>
      </c>
      <c r="H341" s="194">
        <f>ABS(D341)*0.6</f>
        <v/>
      </c>
      <c r="I341" s="45">
        <f>IF(F341&gt;0.3,"A",IF(F341&gt;0.1,"B",IF(F341&gt;0,"C","D")))</f>
        <v/>
      </c>
      <c r="J341" s="43" t="inlineStr">
        <is>
          <t>Momentum factor</t>
        </is>
      </c>
    </row>
    <row r="342" ht="14.25" customHeight="1" s="981">
      <c r="A342" s="45" t="n">
        <v>2</v>
      </c>
      <c r="B342" s="186" t="inlineStr">
        <is>
          <t>Value (1/P/E)</t>
        </is>
      </c>
      <c r="C342" s="194">
        <f>IFERROR(1/MAX(VLOOKUP($C$4,'📈 Cổ Phiếu VN 🔍'!$A:$E,5,0),1),0)</f>
        <v/>
      </c>
      <c r="D342" s="194">
        <f>IFERROR((C342-0.067)/0.05,0)</f>
        <v/>
      </c>
      <c r="E342" s="191" t="n">
        <v>0.2</v>
      </c>
      <c r="F342" s="194">
        <f>D342*E342</f>
        <v/>
      </c>
      <c r="G342" s="45">
        <f>IF(D342&gt;0.5,"🟢 Rẻ","🔴 Đắt")</f>
        <v/>
      </c>
      <c r="H342" s="194">
        <f>ABS(D341)*0.7</f>
        <v/>
      </c>
      <c r="I342" s="45">
        <f>IF(F341&gt;0.3,"A",IF(F341&gt;0.1,"B","C"))</f>
        <v/>
      </c>
      <c r="J342" s="43" t="inlineStr">
        <is>
          <t>Earnings yield</t>
        </is>
      </c>
    </row>
    <row r="343" ht="14.25" customHeight="1" s="981">
      <c r="A343" s="45" t="n">
        <v>3</v>
      </c>
      <c r="B343" s="186" t="inlineStr">
        <is>
          <t>Quality (ROE)</t>
        </is>
      </c>
      <c r="C343" s="194">
        <f>IFERROR(VLOOKUP($C$4,'📈 Cổ Phiếu VN 🔍'!$A:$G,7,0)/100,0)</f>
        <v/>
      </c>
      <c r="D343" s="194">
        <f>IFERROR((C343-0.15)/0.1,0)</f>
        <v/>
      </c>
      <c r="E343" s="191" t="n">
        <v>0.2</v>
      </c>
      <c r="F343" s="194">
        <f>D343*E343</f>
        <v/>
      </c>
      <c r="G343" s="45">
        <f>IF(D343&gt;0,"🟢 Tốt","🔴 Yếu")</f>
        <v/>
      </c>
      <c r="H343" s="194">
        <f>ABS(D341)*0.65</f>
        <v/>
      </c>
      <c r="I343" s="45">
        <f>IF(F341&gt;0.2,"A",IF(F341&gt;0,"B","C"))</f>
        <v/>
      </c>
      <c r="J343" s="43" t="inlineStr">
        <is>
          <t>Profitability</t>
        </is>
      </c>
    </row>
    <row r="344" ht="14.25" customHeight="1" s="981">
      <c r="A344" s="45" t="n">
        <v>4</v>
      </c>
      <c r="B344" s="186" t="inlineStr">
        <is>
          <t>Low Vol</t>
        </is>
      </c>
      <c r="C344" s="194">
        <f>IFERROR(1/MAX(IF(IFERROR(VLOOKUP($C$4,'📈 Cổ Phiếu VN 🔍'!$A:$C,3,0),"")="Ngân hàng",1.2,IF(IFERROR(VLOOKUP($C$4,'📈 Cổ Phiếu VN 🔍'!$A:$C,3,0),"")="Tiêu dùng",0.85,1)),0.1),1)</f>
        <v/>
      </c>
      <c r="D344" s="194">
        <f>IFERROR((C344-0.85)/0.2,0)</f>
        <v/>
      </c>
      <c r="E344" s="191" t="n">
        <v>0.1</v>
      </c>
      <c r="F344" s="194">
        <f>D344*E344</f>
        <v/>
      </c>
      <c r="G344" s="45">
        <f>IF(D344&gt;0,"🟢 Phòng vệ","🔴 Volatile")</f>
        <v/>
      </c>
      <c r="H344" s="194">
        <f>ABS(D341)*0.5</f>
        <v/>
      </c>
      <c r="I344" s="45">
        <f>IF(F341&gt;0.1,"A",IF(F341&gt;0,"B","C"))</f>
        <v/>
      </c>
      <c r="J344" s="43" t="inlineStr">
        <is>
          <t>Defensive factor</t>
        </is>
      </c>
    </row>
    <row r="345" ht="14.25" customHeight="1" s="981">
      <c r="A345" s="45" t="n">
        <v>5</v>
      </c>
      <c r="B345" s="186" t="inlineStr">
        <is>
          <t>Size (1/MarketCap)</t>
        </is>
      </c>
      <c r="C345" s="194">
        <f>IFERROR(1/SQRT(MAX(VLOOKUP($C$4,'📈 Cổ Phiếu VN 🔍'!$A:$H,8,0),1)),0)</f>
        <v/>
      </c>
      <c r="D345" s="194">
        <f>IFERROR((C345-0.004)/0.01,0)</f>
        <v/>
      </c>
      <c r="E345" s="191" t="n">
        <v>0.1</v>
      </c>
      <c r="F345" s="194">
        <f>D345*E345</f>
        <v/>
      </c>
      <c r="G345" s="45">
        <f>IF(D345&gt;0,"🟢 Small-cap","🟡 Large-cap")</f>
        <v/>
      </c>
      <c r="H345" s="194">
        <f>ABS(D341)*0.5</f>
        <v/>
      </c>
      <c r="I345" s="45">
        <f>IF(F341&gt;0.1,"A","B")</f>
        <v/>
      </c>
      <c r="J345" s="43" t="inlineStr">
        <is>
          <t>SMB factor</t>
        </is>
      </c>
    </row>
    <row r="346" ht="14.25" customHeight="1" s="981">
      <c r="A346" s="45" t="n">
        <v>6</v>
      </c>
      <c r="B346" s="186" t="inlineStr">
        <is>
          <t>ROIC vs WACC</t>
        </is>
      </c>
      <c r="C346" s="194">
        <f>IFERROR(VLOOKUP($C$4,'📈 Cổ Phiếu VN 🔍'!$A:$S,19,0)/100-0.1,0)</f>
        <v/>
      </c>
      <c r="D346" s="194">
        <f>IFERROR(C346/0.05,0)</f>
        <v/>
      </c>
      <c r="E346" s="191" t="n">
        <v>0.15</v>
      </c>
      <c r="F346" s="194">
        <f>D346*E346</f>
        <v/>
      </c>
      <c r="G346" s="45">
        <f>IF(C346&gt;0,"🟢 Tạo GT","🔴 Phá GT")</f>
        <v/>
      </c>
      <c r="H346" s="194">
        <f>ABS(D341)*0.6</f>
        <v/>
      </c>
      <c r="I346" s="45">
        <f>IF(F341&gt;0.2,"A",IF(F341&gt;0,"B","C"))</f>
        <v/>
      </c>
      <c r="J346" s="43" t="inlineStr">
        <is>
          <t>Economic value</t>
        </is>
      </c>
    </row>
    <row r="347" ht="14.25" customHeight="1" s="981">
      <c r="A347" s="45" t="n">
        <v>7</v>
      </c>
      <c r="B347" s="186" t="inlineStr">
        <is>
          <t>ESG score</t>
        </is>
      </c>
      <c r="C347" s="194">
        <f>IFERROR(VLOOKUP($C$4,'📈 Cổ Phiếu VN 🔍'!$A:$Z,26,0)/100,0.5)</f>
        <v/>
      </c>
      <c r="D347" s="194">
        <f>IFERROR((C347-0.5)/0.2,0)</f>
        <v/>
      </c>
      <c r="E347" s="191" t="n">
        <v>0.05</v>
      </c>
      <c r="F347" s="194">
        <f>D347*E347</f>
        <v/>
      </c>
      <c r="G347" s="45">
        <f>IF(D347&gt;0,"🟢 ESG tốt","🟡 ESG yếu")</f>
        <v/>
      </c>
      <c r="H347" s="194">
        <f>ABS(D341)*0.5</f>
        <v/>
      </c>
      <c r="I347" s="45">
        <f>IF(F341&gt;0.05,"A","B")</f>
        <v/>
      </c>
      <c r="J347" s="43" t="inlineStr">
        <is>
          <t>Sustainability</t>
        </is>
      </c>
    </row>
    <row r="348" ht="14.25" customHeight="1" s="981">
      <c r="A348" s="45" t="n">
        <v>8</v>
      </c>
      <c r="B348" s="186" t="inlineStr">
        <is>
          <t>Beneish clean</t>
        </is>
      </c>
      <c r="C348" s="194">
        <f>IFERROR(IF(VLOOKUP($C$4,'🔍 FORENSIC 198 MÃ'!$B$6:$N$203,9,0)&lt;-2.22,1,0),0)</f>
        <v/>
      </c>
      <c r="D348" s="194">
        <f>IFERROR((C348-0.5)/0.5,0)</f>
        <v/>
      </c>
      <c r="E348" s="191" t="n">
        <v>0.05</v>
      </c>
      <c r="F348" s="194">
        <f>D348*E348</f>
        <v/>
      </c>
      <c r="G348" s="45">
        <f>IF(D348&gt;0,"🟢 Sạch","🔴 Cờ đỏ")</f>
        <v/>
      </c>
      <c r="H348" s="194">
        <f>ABS(D341)</f>
        <v/>
      </c>
      <c r="I348" s="45">
        <f>IF(F341&gt;0.5,"A","D")</f>
        <v/>
      </c>
      <c r="J348" s="43" t="inlineStr">
        <is>
          <t>Forensic clean</t>
        </is>
      </c>
    </row>
    <row r="349" ht="14.25" customHeight="1" s="981">
      <c r="A349" s="183" t="inlineStr">
        <is>
          <t>🤖</t>
        </is>
      </c>
      <c r="B349" s="187" t="inlineStr">
        <is>
          <t>ML QUANT SCORE TỔNG</t>
        </is>
      </c>
      <c r="E349" s="197">
        <f>SUM(E341:E348)</f>
        <v/>
      </c>
      <c r="F349" s="198">
        <f>SUM(F341:F348)</f>
        <v/>
      </c>
      <c r="G349" s="185">
        <f>IF(F349&gt;1.5,"🟢 MUA AI",IF(F349&gt;0.5,"🟡 GIỮ",IF(F349&gt;-0.5,"⚪ TRUNG TÍNH","🔴 BÁN AI")))</f>
        <v/>
      </c>
      <c r="I349" s="185">
        <f>IF(F349&gt;1.5,"A+ MUA",IF(F349&gt;0.5,"B GIỮ","C ĐỢI"))</f>
        <v/>
      </c>
    </row>
    <row r="351" ht="15" customHeight="1" s="981">
      <c r="A351" s="980" t="inlineStr">
        <is>
          <t>⚫⚪ PHẦN DD: BLACK-LITTERMAN ALLOCATION — Goldman Sachs Asset Management chuẩn</t>
        </is>
      </c>
    </row>
    <row r="352" ht="14.25" customHeight="1" s="981">
      <c r="A352" s="181" t="inlineStr">
        <is>
          <t>STT</t>
        </is>
      </c>
      <c r="B352" s="181" t="inlineStr">
        <is>
          <t>View</t>
        </is>
      </c>
      <c r="C352" s="181" t="inlineStr">
        <is>
          <t>Equilibrium Return</t>
        </is>
      </c>
      <c r="D352" s="181" t="inlineStr">
        <is>
          <t>Investor View (P)</t>
        </is>
      </c>
      <c r="E352" s="181" t="inlineStr">
        <is>
          <t>Confidence (τ)</t>
        </is>
      </c>
      <c r="F352" s="181" t="inlineStr">
        <is>
          <t>Adjusted Return</t>
        </is>
      </c>
      <c r="G352" s="181" t="inlineStr">
        <is>
          <t>Variance</t>
        </is>
      </c>
      <c r="H352" s="181" t="inlineStr">
        <is>
          <t>Allocation %</t>
        </is>
      </c>
      <c r="I352" s="181" t="inlineStr">
        <is>
          <t>Tier</t>
        </is>
      </c>
      <c r="J352" s="181" t="inlineStr">
        <is>
          <t>Ghi chú</t>
        </is>
      </c>
    </row>
    <row r="353" ht="14.25" customHeight="1" s="981">
      <c r="A353" s="45" t="n">
        <v>1</v>
      </c>
      <c r="B353" s="43" t="inlineStr">
        <is>
          <t>Cổ phiếu này tốt hơn TT VN</t>
        </is>
      </c>
      <c r="C353" s="189" t="n">
        <v>0.1</v>
      </c>
      <c r="D353" s="189">
        <f>IFERROR(VLOOKUP($C$4,'📈 Cổ Phiếu VN 🔍'!$A:$J,10,0)/100,0.08)</f>
        <v/>
      </c>
      <c r="E353" s="189">
        <f>IFERROR(C254/250,0.5)</f>
        <v/>
      </c>
      <c r="F353" s="189">
        <f>IFERROR(C353*(1-E353)+D353*E353,C353)</f>
        <v/>
      </c>
      <c r="G353" s="189" t="n">
        <v>0.04</v>
      </c>
      <c r="H353" s="189">
        <f>IFERROR(MAX(MIN(F353/G353*0.2,0.4),0),0.2)</f>
        <v/>
      </c>
      <c r="I353" s="45">
        <f>IF(H353&gt;0.3,"OVERWEIGHT",IF(H353&gt;0.15,"NEUTRAL","UNDERWEIGHT"))</f>
        <v/>
      </c>
      <c r="J353" s="43" t="inlineStr">
        <is>
          <t>View bullish</t>
        </is>
      </c>
    </row>
    <row r="354" ht="14.25" customHeight="1" s="981">
      <c r="A354" s="45" t="n">
        <v>2</v>
      </c>
      <c r="B354" s="43" t="inlineStr">
        <is>
          <t>Ngành này outperform</t>
        </is>
      </c>
      <c r="C354" s="189" t="n">
        <v>0.09</v>
      </c>
      <c r="D354" s="189">
        <f>IFERROR(AVERAGEIF('📈 Cổ Phiếu VN 🔍'!$C:$C,IFERROR(VLOOKUP($C$4,'📈 Cổ Phiếu VN 🔍'!$A:$C,3,0),"Khác"),'📈 Cổ Phiếu VN 🔍'!$J:$J)/100,0.08)</f>
        <v/>
      </c>
      <c r="E354" s="189" t="n">
        <v>0.7</v>
      </c>
      <c r="F354" s="189">
        <f>IFERROR(C353*(1-E353)+D353*E353,C353)</f>
        <v/>
      </c>
      <c r="G354" s="189" t="n">
        <v>0.035</v>
      </c>
      <c r="H354" s="189">
        <f>IFERROR(MAX(MIN(F353/G353*0.2,0.4),0),0.15)</f>
        <v/>
      </c>
      <c r="I354" s="45">
        <f>IF(H353&gt;0.3,"OVERWEIGHT",IF(H353&gt;0.15,"NEUTRAL","UNDERWEIGHT"))</f>
        <v/>
      </c>
      <c r="J354" s="43" t="inlineStr">
        <is>
          <t>Sector view</t>
        </is>
      </c>
    </row>
    <row r="355" ht="14.25" customHeight="1" s="981">
      <c r="A355" s="45" t="n">
        <v>3</v>
      </c>
      <c r="B355" s="43" t="inlineStr">
        <is>
          <t>Vĩ mô VN tích cực</t>
        </is>
      </c>
      <c r="C355" s="189" t="n">
        <v>0.08500000000000001</v>
      </c>
      <c r="D355" s="189">
        <f>IFERROR(0.085+IFERROR(VLOOKUP($C$4,'📈 Cổ Phiếu VN 🔍'!$A:$J,10,0)/200,0),0.085)</f>
        <v/>
      </c>
      <c r="E355" s="189" t="n">
        <v>0.5</v>
      </c>
      <c r="F355" s="189">
        <f>IFERROR(C353*(1-E353)+D353*E353,C353)</f>
        <v/>
      </c>
      <c r="G355" s="189" t="n">
        <v>0.05</v>
      </c>
      <c r="H355" s="189">
        <f>IFERROR(MAX(MIN(F353/G353*0.2,0.4),0),0.1)</f>
        <v/>
      </c>
      <c r="I355" s="45">
        <f>IF(H353&gt;0.3,"OVERWEIGHT",IF(H353&gt;0.15,"NEUTRAL","UNDERWEIGHT"))</f>
        <v/>
      </c>
      <c r="J355" s="43" t="inlineStr">
        <is>
          <t>Macro view</t>
        </is>
      </c>
    </row>
    <row r="356" ht="14.25" customHeight="1" s="981">
      <c r="A356" s="183" t="inlineStr">
        <is>
          <t>⚫⚪</t>
        </is>
      </c>
      <c r="B356" s="188" t="inlineStr">
        <is>
          <t>BLACK-LITTERMAN ALLOC</t>
        </is>
      </c>
      <c r="H356" s="199">
        <f>AVERAGE(H353:H355)</f>
        <v/>
      </c>
      <c r="I356" s="185">
        <f>IF(H356&gt;0.25,"🟢 OVERWEIGHT — Giải ngân &gt;25%",IF(H356&gt;0.15,"🟡 NEUTRAL — Giữ 15%","🔴 UNDERWEIGHT &lt;10%"))</f>
        <v/>
      </c>
    </row>
    <row r="358" ht="15" customHeight="1" s="981">
      <c r="A358" s="980" t="inlineStr">
        <is>
          <t>🕐 PHẦN EE: SECTOR ROTATION CLOCK — Stovall (chu kỳ kinh tế 4 pha)</t>
        </is>
      </c>
    </row>
    <row r="359" ht="14.25" customHeight="1" s="981">
      <c r="A359" s="181" t="inlineStr">
        <is>
          <t>STT</t>
        </is>
      </c>
      <c r="B359" s="181" t="inlineStr">
        <is>
          <t>Pha kinh tế</t>
        </is>
      </c>
      <c r="C359" s="181" t="inlineStr">
        <is>
          <t>Ngành nên giữ</t>
        </is>
      </c>
      <c r="D359" s="181" t="inlineStr">
        <is>
          <t>Mã này thuộc</t>
        </is>
      </c>
      <c r="E359" s="181" t="inlineStr">
        <is>
          <t>Hệ số tương quan</t>
        </is>
      </c>
      <c r="F359" s="181" t="inlineStr">
        <is>
          <t>Tín hiệu</t>
        </is>
      </c>
      <c r="G359" s="181" t="inlineStr">
        <is>
          <t>% phù hợp</t>
        </is>
      </c>
      <c r="H359" s="181" t="inlineStr">
        <is>
          <t>Trọng số đề xuất</t>
        </is>
      </c>
      <c r="I359" s="181" t="inlineStr">
        <is>
          <t>Hành động</t>
        </is>
      </c>
      <c r="J359" s="181" t="inlineStr">
        <is>
          <t>Ghi chú</t>
        </is>
      </c>
    </row>
    <row r="360" ht="23.25" customHeight="1" s="981">
      <c r="A360" s="45" t="n">
        <v>1</v>
      </c>
      <c r="B360" s="43" t="inlineStr">
        <is>
          <t>Early Recovery</t>
        </is>
      </c>
      <c r="C360" s="43" t="inlineStr">
        <is>
          <t>Bất động sản, Tài chính, Công nghệ</t>
        </is>
      </c>
      <c r="D360" s="43">
        <f>IFERROR(VLOOKUP($C$4,'📈 Cổ Phiếu VN 🔍'!$A:$C,3,0),"")</f>
        <v/>
      </c>
      <c r="E360" s="45">
        <f>IF(OR(D360="Bất động sản",D360="Ngân hàng",D360="Chứng khoán",D360="Công nghệ"),1,0.3)</f>
        <v/>
      </c>
      <c r="F360" s="45">
        <f>IF(E360&gt;0.5,"🟢 Phù hợp","🔴 Không")</f>
        <v/>
      </c>
      <c r="G360" s="200">
        <f>E360</f>
        <v/>
      </c>
      <c r="H360" s="200">
        <f>E360*0.3</f>
        <v/>
      </c>
      <c r="I360" s="45">
        <f>IF(E360&gt;0.5,"MUA","Đợi")</f>
        <v/>
      </c>
      <c r="J360" s="43" t="inlineStr">
        <is>
          <t>Đáy chu kỳ</t>
        </is>
      </c>
    </row>
    <row r="361" ht="23.25" customHeight="1" s="981">
      <c r="A361" s="45" t="n">
        <v>2</v>
      </c>
      <c r="B361" s="43" t="inlineStr">
        <is>
          <t>Mid Cycle</t>
        </is>
      </c>
      <c r="C361" s="43" t="inlineStr">
        <is>
          <t>Công nghệ, Công nghiệp</t>
        </is>
      </c>
      <c r="D361" s="43">
        <f>$D$359</f>
        <v/>
      </c>
      <c r="E361" s="45">
        <f>IF(OR(D360="Công nghệ",D360="Công nghiệp",D360="Xây dựng"),1,0.3)</f>
        <v/>
      </c>
      <c r="F361" s="45">
        <f>IF(E360&gt;0.5,"🟢 Phù hợp","🔴 Không")</f>
        <v/>
      </c>
      <c r="G361" s="200">
        <f>E360</f>
        <v/>
      </c>
      <c r="H361" s="200">
        <f>E360*0.3</f>
        <v/>
      </c>
      <c r="I361" s="45">
        <f>IF(E360&gt;0.5,"GIỮ","Đợi")</f>
        <v/>
      </c>
      <c r="J361" s="43" t="inlineStr">
        <is>
          <t>Đỉnh trung</t>
        </is>
      </c>
    </row>
    <row r="362" ht="23.25" customHeight="1" s="981">
      <c r="A362" s="45" t="n">
        <v>3</v>
      </c>
      <c r="B362" s="43" t="inlineStr">
        <is>
          <t>Late Cycle</t>
        </is>
      </c>
      <c r="C362" s="43" t="inlineStr">
        <is>
          <t>Năng lượng, Nguyên liệu, Tiêu dùng cơ bản</t>
        </is>
      </c>
      <c r="D362" s="43">
        <f>$D$358</f>
        <v/>
      </c>
      <c r="E362" s="45">
        <f>IF(OR(D360="Dầu khí",D360="Thép",D360="Tiêu dùng",D360="Phân bón"),1,0.3)</f>
        <v/>
      </c>
      <c r="F362" s="45">
        <f>IF(E360&gt;0.5,"🟢 Phù hợp","🔴 Không")</f>
        <v/>
      </c>
      <c r="G362" s="200">
        <f>E360</f>
        <v/>
      </c>
      <c r="H362" s="200">
        <f>E360*0.25</f>
        <v/>
      </c>
      <c r="I362" s="45">
        <f>IF(E360&gt;0.5,"GIẢM dần","Đợi")</f>
        <v/>
      </c>
      <c r="J362" s="43" t="inlineStr">
        <is>
          <t>Đỉnh chu kỳ</t>
        </is>
      </c>
    </row>
    <row r="363" ht="23.25" customHeight="1" s="981">
      <c r="A363" s="45" t="n">
        <v>4</v>
      </c>
      <c r="B363" s="43" t="inlineStr">
        <is>
          <t>Recession</t>
        </is>
      </c>
      <c r="C363" s="43" t="inlineStr">
        <is>
          <t>Y tế, Tiện ích, Tiêu dùng thiết yếu, Vàng</t>
        </is>
      </c>
      <c r="D363" s="43">
        <f>$D$357</f>
        <v/>
      </c>
      <c r="E363" s="45">
        <f>IF(OR(D360="Y tế",D360="Dược phẩm",D360="Điện",D360="Nước"),1,0.3)</f>
        <v/>
      </c>
      <c r="F363" s="45">
        <f>IF(E360&gt;0.5,"🟢 Phù hợp","🔴 Không")</f>
        <v/>
      </c>
      <c r="G363" s="200">
        <f>E360</f>
        <v/>
      </c>
      <c r="H363" s="200">
        <f>E360*0.15</f>
        <v/>
      </c>
      <c r="I363" s="45">
        <f>IF(E360&gt;0.5,"GIỮ phòng vệ","Tránh")</f>
        <v/>
      </c>
      <c r="J363" s="43" t="inlineStr">
        <is>
          <t>Đáy chu kỳ</t>
        </is>
      </c>
    </row>
    <row r="364" ht="14.25" customHeight="1" s="981">
      <c r="A364" s="183" t="inlineStr">
        <is>
          <t>🕐</t>
        </is>
      </c>
      <c r="B364" s="184" t="inlineStr">
        <is>
          <t>PHA CHU KỲ HIỆN TẠI (VN 2026)</t>
        </is>
      </c>
      <c r="C364" t="inlineStr">
        <is>
          <t>Mid → Late Cycle</t>
        </is>
      </c>
      <c r="F364">
        <f>INDEX(F360:F363,2)</f>
        <v/>
      </c>
      <c r="I364" s="185">
        <f>IF(F364="🟢 Phù hợp","🟢 ĐÚNG PHA — Giải ngân","🔴 SAI PHA — Cẩn trọng")</f>
        <v/>
      </c>
    </row>
    <row r="366" ht="15" customHeight="1" s="981">
      <c r="A366" s="980" t="inlineStr">
        <is>
          <t>🛡 PHẦN FF: ECONOMIC MOAT — Lợi thế cạnh tranh (Charlie Munger / Morningstar)</t>
        </is>
      </c>
    </row>
    <row r="367" ht="14.25" customHeight="1" s="981">
      <c r="A367" s="181" t="inlineStr">
        <is>
          <t>STT</t>
        </is>
      </c>
      <c r="B367" s="181" t="inlineStr">
        <is>
          <t>Loại Moat</t>
        </is>
      </c>
      <c r="C367" s="181" t="inlineStr">
        <is>
          <t>Mô tả</t>
        </is>
      </c>
      <c r="D367" s="181" t="inlineStr">
        <is>
          <t>Có/Không (1/0)</t>
        </is>
      </c>
      <c r="E367" s="181" t="inlineStr">
        <is>
          <t>Trọng số</t>
        </is>
      </c>
      <c r="F367" s="181" t="inlineStr">
        <is>
          <t>Điểm</t>
        </is>
      </c>
      <c r="G367" s="181" t="inlineStr">
        <is>
          <t>Tier (Wide/Narrow)</t>
        </is>
      </c>
      <c r="H367" s="181" t="inlineStr">
        <is>
          <t>Năm bền vững</t>
        </is>
      </c>
      <c r="I367" s="181" t="inlineStr">
        <is>
          <t>Đối thủ chính</t>
        </is>
      </c>
      <c r="J367" s="181" t="inlineStr">
        <is>
          <t>Ghi chú</t>
        </is>
      </c>
    </row>
    <row r="368" ht="23.25" customHeight="1" s="981">
      <c r="A368" s="45" t="n">
        <v>1</v>
      </c>
      <c r="B368" s="43" t="inlineStr">
        <is>
          <t>Switching Cost</t>
        </is>
      </c>
      <c r="C368" s="43" t="inlineStr">
        <is>
          <t>KH khó chuyển sang đối thủ</t>
        </is>
      </c>
      <c r="D368" s="45">
        <f>IF(OR(IFERROR(VLOOKUP($C$4,'📈 Cổ Phiếu VN 🔍'!$A:$C,3,0),"")="Ngân hàng",IFERROR(VLOOKUP($C$4,'📈 Cổ Phiếu VN 🔍'!$A:$C,3,0),"")="Công nghệ"),1,0)</f>
        <v/>
      </c>
      <c r="E368" s="200" t="n">
        <v>0.2</v>
      </c>
      <c r="F368" s="194">
        <f>D368*E368</f>
        <v/>
      </c>
      <c r="G368" s="45">
        <f>IF(D368=1,"Wide","Narrow")</f>
        <v/>
      </c>
      <c r="H368" s="45" t="n">
        <v>15</v>
      </c>
      <c r="I368" s="43" t="inlineStr">
        <is>
          <t>VPB, TCB, ACB</t>
        </is>
      </c>
      <c r="J368" s="43" t="inlineStr">
        <is>
          <t>Banking sticky</t>
        </is>
      </c>
    </row>
    <row r="369" ht="23.25" customHeight="1" s="981">
      <c r="A369" s="45" t="n">
        <v>2</v>
      </c>
      <c r="B369" s="43" t="inlineStr">
        <is>
          <t>Network Effect</t>
        </is>
      </c>
      <c r="C369" s="43" t="inlineStr">
        <is>
          <t>Càng nhiều người dùng càng có giá trị</t>
        </is>
      </c>
      <c r="D369" s="45">
        <f>IF(OR(IFERROR(VLOOKUP($C$4,'📈 Cổ Phiếu VN 🔍'!$A:$C,3,0),"")="Công nghệ",IFERROR(VLOOKUP($C$4,'📈 Cổ Phiếu VN 🔍'!$A:$C,3,0),"")="Viễn thông"),1,0)</f>
        <v/>
      </c>
      <c r="E369" s="200" t="n">
        <v>0.2</v>
      </c>
      <c r="F369" s="194">
        <f>D369*E369</f>
        <v/>
      </c>
      <c r="G369" s="45">
        <f>IF(D369=1,"Wide","None")</f>
        <v/>
      </c>
      <c r="H369" s="45" t="n">
        <v>20</v>
      </c>
      <c r="I369" s="43" t="inlineStr">
        <is>
          <t>VNG, FPT, VGI</t>
        </is>
      </c>
      <c r="J369" s="43" t="inlineStr">
        <is>
          <t>Platform effect</t>
        </is>
      </c>
    </row>
    <row r="370" ht="14.25" customHeight="1" s="981">
      <c r="A370" s="45" t="n">
        <v>3</v>
      </c>
      <c r="B370" s="43" t="inlineStr">
        <is>
          <t>Intangible (Brand)</t>
        </is>
      </c>
      <c r="C370" s="43" t="inlineStr">
        <is>
          <t>Thương hiệu mạnh</t>
        </is>
      </c>
      <c r="D370" s="45">
        <f>IFERROR(IF(VLOOKUP($C$4,'📈 Cổ Phiếu VN 🔍'!$A:$H,8,0)&gt;50000,1,0),0)</f>
        <v/>
      </c>
      <c r="E370" s="200" t="n">
        <v>0.15</v>
      </c>
      <c r="F370" s="194">
        <f>D370*E370</f>
        <v/>
      </c>
      <c r="G370" s="45">
        <f>IF(D370=1,"Wide","Narrow")</f>
        <v/>
      </c>
      <c r="H370" s="45" t="n">
        <v>25</v>
      </c>
      <c r="I370" s="43" t="inlineStr">
        <is>
          <t>VNM, SAB, MWG</t>
        </is>
      </c>
      <c r="J370" s="43" t="inlineStr">
        <is>
          <t>Top brand</t>
        </is>
      </c>
    </row>
    <row r="371" ht="14.25" customHeight="1" s="981">
      <c r="A371" s="45" t="n">
        <v>4</v>
      </c>
      <c r="B371" s="43" t="inlineStr">
        <is>
          <t>Cost Advantage</t>
        </is>
      </c>
      <c r="C371" s="43" t="inlineStr">
        <is>
          <t>Sản xuất rẻ hơn đối thủ</t>
        </is>
      </c>
      <c r="D371" s="45">
        <f>IFERROR(IF(VLOOKUP($C$4,'📈 Cổ Phiếu VN 🔍'!$A:$R,18,0)&gt;15,1,0),0)</f>
        <v/>
      </c>
      <c r="E371" s="200" t="n">
        <v>0.2</v>
      </c>
      <c r="F371" s="194">
        <f>D371*E371</f>
        <v/>
      </c>
      <c r="G371" s="45">
        <f>IF(D371=1,"Wide","Narrow")</f>
        <v/>
      </c>
      <c r="H371" s="45" t="n">
        <v>10</v>
      </c>
      <c r="I371" s="43" t="inlineStr">
        <is>
          <t>HPG, NKG, HSG</t>
        </is>
      </c>
      <c r="J371" s="43" t="inlineStr">
        <is>
          <t>Scale economies</t>
        </is>
      </c>
    </row>
    <row r="372" ht="23.25" customHeight="1" s="981">
      <c r="A372" s="45" t="n">
        <v>5</v>
      </c>
      <c r="B372" s="43" t="inlineStr">
        <is>
          <t>Regulatory</t>
        </is>
      </c>
      <c r="C372" s="43" t="inlineStr">
        <is>
          <t>Quyền độc quyền/giấy phép</t>
        </is>
      </c>
      <c r="D372" s="45">
        <f>IF(OR(IFERROR(VLOOKUP($C$4,'📈 Cổ Phiếu VN 🔍'!$A:$C,3,0),"")="Điện",IFERROR(VLOOKUP($C$4,'📈 Cổ Phiếu VN 🔍'!$A:$C,3,0),"")="Hàng không",IFERROR(VLOOKUP($C$4,'📈 Cổ Phiếu VN 🔍'!$A:$C,3,0),"")="Dầu khí"),1,0)</f>
        <v/>
      </c>
      <c r="E372" s="200" t="n">
        <v>0.15</v>
      </c>
      <c r="F372" s="194">
        <f>D372*E372</f>
        <v/>
      </c>
      <c r="G372" s="45">
        <f>IF(D372=1,"Wide","None")</f>
        <v/>
      </c>
      <c r="H372" s="45" t="n">
        <v>30</v>
      </c>
      <c r="I372" s="43" t="inlineStr">
        <is>
          <t>EVN, GAS, PVN</t>
        </is>
      </c>
      <c r="J372" s="43" t="inlineStr">
        <is>
          <t>Government license</t>
        </is>
      </c>
    </row>
    <row r="373" ht="23.25" customHeight="1" s="981">
      <c r="A373" s="45" t="n">
        <v>6</v>
      </c>
      <c r="B373" s="43" t="inlineStr">
        <is>
          <t>Efficient Scale</t>
        </is>
      </c>
      <c r="C373" s="43" t="inlineStr">
        <is>
          <t>Thị trường nhỏ hợp 1-2 người chơi</t>
        </is>
      </c>
      <c r="D373" s="45">
        <f>IFERROR(IF(VLOOKUP($C$4,'📈 Cổ Phiếu VN 🔍'!$A:$S,19,0)&gt;20,1,0),0)</f>
        <v/>
      </c>
      <c r="E373" s="200" t="n">
        <v>0.1</v>
      </c>
      <c r="F373" s="194">
        <f>D373*E373</f>
        <v/>
      </c>
      <c r="G373" s="45">
        <f>IF(D373=1,"Narrow","None")</f>
        <v/>
      </c>
      <c r="H373" s="45" t="n">
        <v>10</v>
      </c>
      <c r="I373" s="43" t="inlineStr">
        <is>
          <t>GAS, ACV, BWE</t>
        </is>
      </c>
      <c r="J373" s="43" t="inlineStr">
        <is>
          <t>Limited competition</t>
        </is>
      </c>
    </row>
    <row r="374" ht="14.25" customHeight="1" s="981">
      <c r="A374" s="183" t="inlineStr">
        <is>
          <t>🛡</t>
        </is>
      </c>
      <c r="B374" s="184" t="inlineStr">
        <is>
          <t>TỔNG MOAT SCORE</t>
        </is>
      </c>
      <c r="F374" s="199">
        <f>SUM(F368:F373)</f>
        <v/>
      </c>
      <c r="G374" s="185">
        <f>IF(F374&gt;=0.6,"⚔ Wide Moat (Berkshire-quality)",IF(F374&gt;=0.3,"🛡 Narrow Moat",IF(F374&gt;0,"🔴 Weak Moat","⚪ No Moat")))</f>
        <v/>
      </c>
    </row>
    <row r="376" ht="15" customHeight="1" s="981">
      <c r="A376" s="980" t="inlineStr">
        <is>
          <t>🚨 PHẦN GG: 15 RED FLAGS — Dấu hiệu cảnh báo từ BCTC (SEC enforcement style)</t>
        </is>
      </c>
    </row>
    <row r="377" ht="14.25" customHeight="1" s="981">
      <c r="A377" s="181" t="inlineStr">
        <is>
          <t>STT</t>
        </is>
      </c>
      <c r="B377" s="181" t="inlineStr">
        <is>
          <t>Red Flag</t>
        </is>
      </c>
      <c r="C377" s="181" t="inlineStr">
        <is>
          <t>Chỉ số đo</t>
        </is>
      </c>
      <c r="D377" s="181" t="inlineStr">
        <is>
          <t>Giá trị</t>
        </is>
      </c>
      <c r="E377" s="181" t="inlineStr">
        <is>
          <t>Ngưỡng cảnh báo</t>
        </is>
      </c>
      <c r="F377" s="181" t="inlineStr">
        <is>
          <t>Có (1) / Không (0)</t>
        </is>
      </c>
      <c r="G377" s="181" t="inlineStr">
        <is>
          <t>Mức nghiêm trọng</t>
        </is>
      </c>
      <c r="H377" s="181" t="inlineStr">
        <is>
          <t>Điểm trừ</t>
        </is>
      </c>
      <c r="I377" s="181" t="inlineStr">
        <is>
          <t>Cờ</t>
        </is>
      </c>
      <c r="J377" s="181" t="inlineStr">
        <is>
          <t>Hành động</t>
        </is>
      </c>
    </row>
    <row r="378" ht="14.25" customHeight="1" s="981">
      <c r="A378" s="45" t="n">
        <v>1</v>
      </c>
      <c r="B378" s="43" t="inlineStr">
        <is>
          <t>Earnings &gt; Cash Flow</t>
        </is>
      </c>
      <c r="C378" s="45" t="inlineStr">
        <is>
          <t>LNST &gt; OCF kéo dài</t>
        </is>
      </c>
      <c r="D378" s="45">
        <f>IFERROR(VLOOKUP($C$4,'📈 Cổ Phiếu VN 🔍'!$A:$R,18,0)/100,0)</f>
        <v/>
      </c>
      <c r="E378" s="45" t="inlineStr">
        <is>
          <t>&gt; 25%</t>
        </is>
      </c>
      <c r="F378" s="45">
        <f>IF(D378&gt;0.25,1,0)</f>
        <v/>
      </c>
      <c r="G378" s="45" t="inlineStr">
        <is>
          <t>Cao</t>
        </is>
      </c>
      <c r="H378" s="45">
        <f>F378*5</f>
        <v/>
      </c>
      <c r="I378" s="45">
        <f>IF(F378=1,"🔴","🟢")</f>
        <v/>
      </c>
      <c r="J378" s="43" t="inlineStr">
        <is>
          <t>Kiểm tra OCF</t>
        </is>
      </c>
    </row>
    <row r="379" ht="14.25" customHeight="1" s="981">
      <c r="A379" s="45" t="n">
        <v>2</v>
      </c>
      <c r="B379" s="43" t="inlineStr">
        <is>
          <t>Revenue stagnant 3Y</t>
        </is>
      </c>
      <c r="C379" s="45" t="inlineStr">
        <is>
          <t>Doanh thu trì trệ</t>
        </is>
      </c>
      <c r="D379" s="45">
        <f>IFERROR(VLOOKUP($C$4,'📈 Cổ Phiếu VN 🔍'!$A:$J,10,0)/100,0)</f>
        <v/>
      </c>
      <c r="E379" s="45" t="inlineStr">
        <is>
          <t>&lt; 5%</t>
        </is>
      </c>
      <c r="F379" s="45">
        <f>IF(D379&lt;0.05,1,0)</f>
        <v/>
      </c>
      <c r="G379" s="45" t="inlineStr">
        <is>
          <t>TB</t>
        </is>
      </c>
      <c r="H379" s="45">
        <f>F379*3</f>
        <v/>
      </c>
      <c r="I379" s="45">
        <f>IF(F379=1,"🟡","🟢")</f>
        <v/>
      </c>
      <c r="J379" s="43" t="inlineStr">
        <is>
          <t>Loại</t>
        </is>
      </c>
    </row>
    <row r="380" ht="14.25" customHeight="1" s="981">
      <c r="A380" s="45" t="n">
        <v>3</v>
      </c>
      <c r="B380" s="43" t="inlineStr">
        <is>
          <t>D/E quá cao</t>
        </is>
      </c>
      <c r="C380" s="45" t="inlineStr">
        <is>
          <t>Đòn bẩy</t>
        </is>
      </c>
      <c r="D380" s="45">
        <f>IFERROR(VLOOKUP($C$4,'📈 Cổ Phiếu VN 🔍'!$A:$T,20,0),0)</f>
        <v/>
      </c>
      <c r="E380" s="45" t="inlineStr">
        <is>
          <t>&gt; 3</t>
        </is>
      </c>
      <c r="F380" s="45">
        <f>IF(AND(D380&gt;3,IFERROR(VLOOKUP($C$4,'📈 Cổ Phiếu VN 🔍'!$A:$C,3,0),"")&lt;&gt;"Ngân hàng"),1,0)</f>
        <v/>
      </c>
      <c r="G380" s="45" t="inlineStr">
        <is>
          <t>Cao</t>
        </is>
      </c>
      <c r="H380" s="45">
        <f>F380*5</f>
        <v/>
      </c>
      <c r="I380" s="45">
        <f>IF(F380=1,"🔴","🟢")</f>
        <v/>
      </c>
      <c r="J380" s="43" t="inlineStr">
        <is>
          <t>Tránh</t>
        </is>
      </c>
    </row>
    <row r="381" ht="14.25" customHeight="1" s="981">
      <c r="A381" s="45" t="n">
        <v>4</v>
      </c>
      <c r="B381" s="43" t="inlineStr">
        <is>
          <t>Insider bán mạnh</t>
        </is>
      </c>
      <c r="C381" s="45" t="inlineStr">
        <is>
          <t>% Insider thấp</t>
        </is>
      </c>
      <c r="D381" s="45">
        <f>IFERROR(VLOOKUP($C$4,'📈 Cổ Phiếu VN 🔍'!$A:$X,24,0)/100,0)</f>
        <v/>
      </c>
      <c r="E381" s="45" t="inlineStr">
        <is>
          <t>&lt; 2%</t>
        </is>
      </c>
      <c r="F381" s="45">
        <f>IF(D381&lt;0.02,1,0)</f>
        <v/>
      </c>
      <c r="G381" s="45" t="inlineStr">
        <is>
          <t>Cao</t>
        </is>
      </c>
      <c r="H381" s="45">
        <f>F381*4</f>
        <v/>
      </c>
      <c r="I381" s="45">
        <f>IF(F381=1,"🔴","🟢")</f>
        <v/>
      </c>
      <c r="J381" s="43" t="inlineStr">
        <is>
          <t>Cẩn trọng</t>
        </is>
      </c>
    </row>
    <row r="382" ht="14.25" customHeight="1" s="981">
      <c r="A382" s="45" t="n">
        <v>5</v>
      </c>
      <c r="B382" s="43" t="inlineStr">
        <is>
          <t>Beneish &gt; -1.78</t>
        </is>
      </c>
      <c r="C382" s="45" t="inlineStr">
        <is>
          <t>M-Score</t>
        </is>
      </c>
      <c r="D382" s="45">
        <f>IFERROR(VLOOKUP($C$4,'🔍 FORENSIC 198 MÃ'!$B$6:$N$203,9,0),-2.5)</f>
        <v/>
      </c>
      <c r="E382" s="45" t="inlineStr">
        <is>
          <t>&gt; -1.78</t>
        </is>
      </c>
      <c r="F382" s="45">
        <f>IF(D382&gt;-1.78,1,0)</f>
        <v/>
      </c>
      <c r="G382" s="45" t="inlineStr">
        <is>
          <t>RẤT CAO</t>
        </is>
      </c>
      <c r="H382" s="45">
        <f>F382*10</f>
        <v/>
      </c>
      <c r="I382" s="45">
        <f>IF(F382=1,"🔴🔴","🟢")</f>
        <v/>
      </c>
      <c r="J382" s="43" t="inlineStr">
        <is>
          <t>LOẠI</t>
        </is>
      </c>
    </row>
    <row r="383" ht="14.25" customHeight="1" s="981">
      <c r="A383" s="45" t="n">
        <v>6</v>
      </c>
      <c r="B383" s="43" t="inlineStr">
        <is>
          <t>Altman Z &lt; 1.8</t>
        </is>
      </c>
      <c r="C383" s="45" t="inlineStr">
        <is>
          <t>Distress zone</t>
        </is>
      </c>
      <c r="D383" s="45">
        <f>IFERROR(1.2*0.1+1.4*VLOOKUP($C$4,'📈 Cổ Phiếu VN 🔍'!$A:$S,19,0)/100+3.3*VLOOKUP($C$4,'📈 Cổ Phiếu VN 🔍'!$A:$R,18,0)/100,2.5)</f>
        <v/>
      </c>
      <c r="E383" s="45" t="inlineStr">
        <is>
          <t>&lt; 1.8</t>
        </is>
      </c>
      <c r="F383" s="45">
        <f>IF(D383&lt;1.8,1,0)</f>
        <v/>
      </c>
      <c r="G383" s="45" t="inlineStr">
        <is>
          <t>RẤT CAO</t>
        </is>
      </c>
      <c r="H383" s="45">
        <f>F383*10</f>
        <v/>
      </c>
      <c r="I383" s="45">
        <f>IF(F383=1,"🔴🔴","🟢")</f>
        <v/>
      </c>
      <c r="J383" s="43" t="inlineStr">
        <is>
          <t>LOẠI</t>
        </is>
      </c>
    </row>
    <row r="384" ht="14.25" customHeight="1" s="981">
      <c r="A384" s="45" t="n">
        <v>7</v>
      </c>
      <c r="B384" s="43" t="inlineStr">
        <is>
          <t>ROE giảm 3 năm</t>
        </is>
      </c>
      <c r="C384" s="45" t="inlineStr">
        <is>
          <t>ROE thấp</t>
        </is>
      </c>
      <c r="D384" s="45">
        <f>IFERROR(VLOOKUP($C$4,'📈 Cổ Phiếu VN 🔍'!$A:$G,7,0)/100,0)</f>
        <v/>
      </c>
      <c r="E384" s="45" t="inlineStr">
        <is>
          <t>&lt; 10%</t>
        </is>
      </c>
      <c r="F384" s="45">
        <f>IF(D384&lt;0.1,1,0)</f>
        <v/>
      </c>
      <c r="G384" s="45" t="inlineStr">
        <is>
          <t>TB</t>
        </is>
      </c>
      <c r="H384" s="45">
        <f>F384*3</f>
        <v/>
      </c>
      <c r="I384" s="45">
        <f>IF(F384=1,"🟡","🟢")</f>
        <v/>
      </c>
      <c r="J384" s="43" t="inlineStr">
        <is>
          <t>Theo dõi</t>
        </is>
      </c>
    </row>
    <row r="385" ht="14.25" customHeight="1" s="981">
      <c r="A385" s="45" t="n">
        <v>8</v>
      </c>
      <c r="B385" s="43" t="inlineStr">
        <is>
          <t>Cổ tức cắt</t>
        </is>
      </c>
      <c r="C385" s="45" t="inlineStr">
        <is>
          <t>Yield 0%</t>
        </is>
      </c>
      <c r="D385" s="45">
        <f>IFERROR(VLOOKUP($C$4,'📈 Cổ Phiếu VN 🔍'!$A:$U,21,0)/100,0)</f>
        <v/>
      </c>
      <c r="E385" s="45">
        <f>0</f>
        <v/>
      </c>
      <c r="F385" s="45">
        <f>IF(D385=0,1,0)</f>
        <v/>
      </c>
      <c r="G385" s="45" t="inlineStr">
        <is>
          <t>TB</t>
        </is>
      </c>
      <c r="H385" s="45">
        <f>F385*2</f>
        <v/>
      </c>
      <c r="I385" s="45">
        <f>IF(F385=1,"🟡","🟢")</f>
        <v/>
      </c>
      <c r="J385" s="43" t="inlineStr">
        <is>
          <t>Hỏi BLD</t>
        </is>
      </c>
    </row>
    <row r="386" ht="14.25" customHeight="1" s="981">
      <c r="A386" s="45" t="n">
        <v>9</v>
      </c>
      <c r="B386" s="43" t="inlineStr">
        <is>
          <t>Cảnh báo BCTC</t>
        </is>
      </c>
      <c r="C386" s="45" t="inlineStr">
        <is>
          <t>Cờ đỏ thị trường</t>
        </is>
      </c>
      <c r="D386" s="45">
        <f>IFERROR(VLOOKUP($C$4,'📈 Cổ Phiếu VN 🔍'!$A:$AB,28,0),"")</f>
        <v/>
      </c>
      <c r="E386" s="45" t="inlineStr">
        <is>
          <t>&lt;&gt; rỗng</t>
        </is>
      </c>
      <c r="F386" s="45">
        <f>IF(AND(D386&lt;&gt;"",D386&lt;&gt;0),1,0)</f>
        <v/>
      </c>
      <c r="G386" s="45" t="inlineStr">
        <is>
          <t>RẤT CAO</t>
        </is>
      </c>
      <c r="H386" s="45">
        <f>F386*10</f>
        <v/>
      </c>
      <c r="I386" s="45">
        <f>IF(F386=1,"🔴🔴","🟢")</f>
        <v/>
      </c>
      <c r="J386" s="43" t="inlineStr">
        <is>
          <t>LOẠI</t>
        </is>
      </c>
    </row>
    <row r="387" ht="14.25" customHeight="1" s="981">
      <c r="A387" s="45" t="n">
        <v>10</v>
      </c>
      <c r="B387" s="43" t="inlineStr">
        <is>
          <t>P/E &lt; 0</t>
        </is>
      </c>
      <c r="C387" s="45" t="inlineStr">
        <is>
          <t>EPS âm</t>
        </is>
      </c>
      <c r="D387" s="45">
        <f>IFERROR(VLOOKUP($C$4,'📈 Cổ Phiếu VN 🔍'!$A:$E,5,0),0)</f>
        <v/>
      </c>
      <c r="E387" s="45" t="inlineStr">
        <is>
          <t>&lt; 0</t>
        </is>
      </c>
      <c r="F387" s="45">
        <f>IF(D387&lt;0,1,0)</f>
        <v/>
      </c>
      <c r="G387" s="45" t="inlineStr">
        <is>
          <t>Cao</t>
        </is>
      </c>
      <c r="H387" s="45">
        <f>F387*5</f>
        <v/>
      </c>
      <c r="I387" s="45">
        <f>IF(F387=1,"🔴","🟢")</f>
        <v/>
      </c>
      <c r="J387" s="43" t="inlineStr">
        <is>
          <t>Tránh</t>
        </is>
      </c>
    </row>
    <row r="388" ht="14.25" customHeight="1" s="981">
      <c r="A388" s="45" t="n">
        <v>11</v>
      </c>
      <c r="B388" s="43" t="inlineStr">
        <is>
          <t>ROIC &lt; WACC</t>
        </is>
      </c>
      <c r="C388" s="45" t="inlineStr">
        <is>
          <t>Phá hủy GT</t>
        </is>
      </c>
      <c r="D388" s="45">
        <f>IFERROR(VLOOKUP($C$4,'📈 Cổ Phiếu VN 🔍'!$A:$S,19,0)/100,0)</f>
        <v/>
      </c>
      <c r="E388" s="45" t="inlineStr">
        <is>
          <t>&lt; 10%</t>
        </is>
      </c>
      <c r="F388" s="45">
        <f>IF(D388&lt;0.1,1,0)</f>
        <v/>
      </c>
      <c r="G388" s="45" t="inlineStr">
        <is>
          <t>Cao</t>
        </is>
      </c>
      <c r="H388" s="45">
        <f>F388*4</f>
        <v/>
      </c>
      <c r="I388" s="45">
        <f>IF(F388=1,"🔴","🟢")</f>
        <v/>
      </c>
      <c r="J388" s="43" t="inlineStr">
        <is>
          <t>Tránh</t>
        </is>
      </c>
    </row>
    <row r="389" ht="14.25" customHeight="1" s="981">
      <c r="A389" s="45" t="n">
        <v>12</v>
      </c>
      <c r="B389" s="43" t="inlineStr">
        <is>
          <t>Vốn hóa &lt; 1000 tỷ</t>
        </is>
      </c>
      <c r="C389" s="45" t="inlineStr">
        <is>
          <t>Small-cap rủi ro</t>
        </is>
      </c>
      <c r="D389" s="45">
        <f>IFERROR(VLOOKUP($C$4,'📈 Cổ Phiếu VN 🔍'!$A:$H,8,0),0)</f>
        <v/>
      </c>
      <c r="E389" s="45" t="inlineStr">
        <is>
          <t>&lt; 1000</t>
        </is>
      </c>
      <c r="F389" s="45">
        <f>IF(D389&lt;1000,1,0)</f>
        <v/>
      </c>
      <c r="G389" s="45" t="inlineStr">
        <is>
          <t>TB</t>
        </is>
      </c>
      <c r="H389" s="45">
        <f>F389*2</f>
        <v/>
      </c>
      <c r="I389" s="45">
        <f>IF(F389=1,"🟡","🟢")</f>
        <v/>
      </c>
      <c r="J389" s="43" t="inlineStr">
        <is>
          <t>Mua ít</t>
        </is>
      </c>
    </row>
    <row r="390" ht="14.25" customHeight="1" s="981">
      <c r="A390" s="45" t="n">
        <v>13</v>
      </c>
      <c r="B390" s="43" t="inlineStr">
        <is>
          <t>Margin thu hẹp</t>
        </is>
      </c>
      <c r="C390" s="45" t="inlineStr">
        <is>
          <t>Margin thấp</t>
        </is>
      </c>
      <c r="D390" s="45">
        <f>IFERROR(VLOOKUP($C$4,'📈 Cổ Phiếu VN 🔍'!$A:$R,18,0)/100,0)</f>
        <v/>
      </c>
      <c r="E390" s="45" t="inlineStr">
        <is>
          <t>&lt; 5%</t>
        </is>
      </c>
      <c r="F390" s="45">
        <f>IF(D390&lt;0.05,1,0)</f>
        <v/>
      </c>
      <c r="G390" s="45" t="inlineStr">
        <is>
          <t>Cao</t>
        </is>
      </c>
      <c r="H390" s="45">
        <f>F390*4</f>
        <v/>
      </c>
      <c r="I390" s="45">
        <f>IF(F390=1,"🔴","🟢")</f>
        <v/>
      </c>
      <c r="J390" s="43" t="inlineStr">
        <is>
          <t>Cẩn trọng</t>
        </is>
      </c>
    </row>
    <row r="391" ht="14.25" customHeight="1" s="981">
      <c r="A391" s="45" t="n">
        <v>14</v>
      </c>
      <c r="B391" s="43" t="inlineStr">
        <is>
          <t>NN bán ròng</t>
        </is>
      </c>
      <c r="C391" s="45" t="inlineStr">
        <is>
          <t>%NĐT NN giảm</t>
        </is>
      </c>
      <c r="D391" s="45">
        <f>IFERROR(VLOOKUP($C$4,'📈 Cổ Phiếu VN 🔍'!$A:$W,23,0)/100,0)</f>
        <v/>
      </c>
      <c r="E391" s="45" t="inlineStr">
        <is>
          <t>&lt; 5%</t>
        </is>
      </c>
      <c r="F391" s="45">
        <f>IF(D391&lt;0.05,1,0)</f>
        <v/>
      </c>
      <c r="G391" s="45" t="inlineStr">
        <is>
          <t>TB</t>
        </is>
      </c>
      <c r="H391" s="45">
        <f>F391*3</f>
        <v/>
      </c>
      <c r="I391" s="45">
        <f>IF(F391=1,"🟡","🟢")</f>
        <v/>
      </c>
      <c r="J391" s="43" t="inlineStr">
        <is>
          <t>Theo dõi</t>
        </is>
      </c>
    </row>
    <row r="392" ht="14.25" customHeight="1" s="981">
      <c r="A392" s="45" t="n">
        <v>15</v>
      </c>
      <c r="B392" s="43" t="inlineStr">
        <is>
          <t>ESG yếu</t>
        </is>
      </c>
      <c r="C392" s="45" t="inlineStr">
        <is>
          <t>ESG &lt; 50</t>
        </is>
      </c>
      <c r="D392" s="45">
        <f>IFERROR(VLOOKUP($C$4,'📈 Cổ Phiếu VN 🔍'!$A:$Z,26,0),50)</f>
        <v/>
      </c>
      <c r="E392" s="45" t="inlineStr">
        <is>
          <t>&lt; 50</t>
        </is>
      </c>
      <c r="F392" s="45">
        <f>IF(D392&lt;50,1,0)</f>
        <v/>
      </c>
      <c r="G392" s="45" t="inlineStr">
        <is>
          <t>TB</t>
        </is>
      </c>
      <c r="H392" s="45">
        <f>F392*2</f>
        <v/>
      </c>
      <c r="I392" s="45">
        <f>IF(F392=1,"🟡","🟢")</f>
        <v/>
      </c>
      <c r="J392" s="43" t="inlineStr">
        <is>
          <t>Loại quỹ ESG</t>
        </is>
      </c>
    </row>
    <row r="393" ht="14.25" customHeight="1" s="981">
      <c r="A393" s="183" t="inlineStr">
        <is>
          <t>🚨</t>
        </is>
      </c>
      <c r="B393" s="188" t="inlineStr">
        <is>
          <t>TỔNG ĐIỂM CỜ ĐỎ</t>
        </is>
      </c>
      <c r="F393" s="185">
        <f>SUMPRODUCT(F378:F392)</f>
        <v/>
      </c>
      <c r="H393" s="185">
        <f>SUM(H378:H392)</f>
        <v/>
      </c>
      <c r="J393" s="185">
        <f>IF(H393&gt;=20,"🔴🔴 LOẠI NGAY",IF(H393&gt;=10,"🔴 CẨN TRỌNG",IF(H393&gt;=5,"🟡 THEO DÕI","🟢 SẠCH")))</f>
        <v/>
      </c>
    </row>
    <row r="395" ht="14.25" customHeight="1" s="981">
      <c r="A395" s="1018" t="inlineStr">
        <is>
          <t>🏆 PHẦN HH: SUPER FINAL VERDICT 500 ĐIỂM — Tổng kết 31 module (Bridgewater + Renaissance + Berkshire)</t>
        </is>
      </c>
    </row>
    <row r="396" ht="14.25" customHeight="1" s="981">
      <c r="A396" s="181" t="inlineStr">
        <is>
          <t>STT</t>
        </is>
      </c>
      <c r="B396" s="181" t="inlineStr">
        <is>
          <t>Cấu phần</t>
        </is>
      </c>
      <c r="C396" s="181" t="inlineStr">
        <is>
          <t>Điểm đạt</t>
        </is>
      </c>
      <c r="D396" s="181" t="inlineStr">
        <is>
          <t>Tối đa</t>
        </is>
      </c>
      <c r="E396" s="181" t="inlineStr">
        <is>
          <t>%</t>
        </is>
      </c>
      <c r="F396" s="181" t="inlineStr">
        <is>
          <t>Tham chiếu</t>
        </is>
      </c>
      <c r="G396" s="181" t="inlineStr">
        <is>
          <t>Cấp quỹ chuẩn</t>
        </is>
      </c>
      <c r="H396" s="181" t="inlineStr">
        <is>
          <t>Trạng thái</t>
        </is>
      </c>
      <c r="I396" s="181" t="inlineStr">
        <is>
          <t>Trọng số</t>
        </is>
      </c>
      <c r="J396" s="181" t="inlineStr">
        <is>
          <t>Ghi chú</t>
        </is>
      </c>
    </row>
    <row r="397" ht="14.25" customHeight="1" s="981">
      <c r="A397" s="45" t="n">
        <v>1</v>
      </c>
      <c r="B397" s="43" t="inlineStr">
        <is>
          <t>Valuation (B)</t>
        </is>
      </c>
      <c r="C397" s="201">
        <f>C236</f>
        <v/>
      </c>
      <c r="D397" s="45" t="n">
        <v>20</v>
      </c>
      <c r="E397" s="200">
        <f>C397/D397</f>
        <v/>
      </c>
      <c r="F397" s="43" t="inlineStr">
        <is>
          <t>P/E, PEG, DCF, Graham</t>
        </is>
      </c>
      <c r="G397" s="43" t="inlineStr">
        <is>
          <t>Buffett</t>
        </is>
      </c>
      <c r="H397" s="45">
        <f>IF(E397&gt;=0.75,"🟢 Tốt",IF(E397&gt;=0.5,"🟡 TB","🔴 Yếu"))</f>
        <v/>
      </c>
      <c r="I397" s="189">
        <f>D397/500</f>
        <v/>
      </c>
      <c r="J397" s="43" t="n"/>
    </row>
    <row r="398" ht="14.25" customHeight="1" s="981">
      <c r="A398" s="45" t="n">
        <v>2</v>
      </c>
      <c r="B398" s="43" t="inlineStr">
        <is>
          <t>Quality (C)</t>
        </is>
      </c>
      <c r="C398" s="201">
        <f>C237</f>
        <v/>
      </c>
      <c r="D398" s="45" t="n">
        <v>20</v>
      </c>
      <c r="E398" s="200">
        <f>C398/D398</f>
        <v/>
      </c>
      <c r="F398" s="43" t="inlineStr">
        <is>
          <t>ROE, ROIC, Margin</t>
        </is>
      </c>
      <c r="G398" s="43" t="inlineStr">
        <is>
          <t>Greenblatt</t>
        </is>
      </c>
      <c r="H398" s="45">
        <f>IF(E398&gt;=0.75,"🟢 Tốt",IF(E398&gt;=0.5,"🟡 TB","🔴 Yếu"))</f>
        <v/>
      </c>
      <c r="I398" s="189">
        <f>D398/500</f>
        <v/>
      </c>
      <c r="J398" s="43" t="n"/>
    </row>
    <row r="399" ht="14.25" customHeight="1" s="981">
      <c r="A399" s="45" t="n">
        <v>3</v>
      </c>
      <c r="B399" s="43" t="inlineStr">
        <is>
          <t>Health (D)</t>
        </is>
      </c>
      <c r="C399" s="201">
        <f>C238</f>
        <v/>
      </c>
      <c r="D399" s="45" t="n">
        <v>15</v>
      </c>
      <c r="E399" s="200">
        <f>C399/D399</f>
        <v/>
      </c>
      <c r="F399" s="43" t="inlineStr">
        <is>
          <t>Altman Z, Piotroski</t>
        </is>
      </c>
      <c r="G399" s="43" t="inlineStr">
        <is>
          <t>Altman</t>
        </is>
      </c>
      <c r="H399" s="45">
        <f>IF(E399&gt;=0.75,"🟢 Tốt",IF(E399&gt;=0.5,"🟡 TB","🔴 Yếu"))</f>
        <v/>
      </c>
      <c r="I399" s="189">
        <f>D399/500</f>
        <v/>
      </c>
      <c r="J399" s="43" t="n"/>
    </row>
    <row r="400" ht="14.25" customHeight="1" s="981">
      <c r="A400" s="45" t="n">
        <v>4</v>
      </c>
      <c r="B400" s="43" t="inlineStr">
        <is>
          <t>Growth (E)</t>
        </is>
      </c>
      <c r="C400" s="201">
        <f>C239</f>
        <v/>
      </c>
      <c r="D400" s="45" t="n">
        <v>15</v>
      </c>
      <c r="E400" s="200">
        <f>C400/D400</f>
        <v/>
      </c>
      <c r="F400" s="43" t="inlineStr">
        <is>
          <t>CAGR, Future EPS</t>
        </is>
      </c>
      <c r="G400" s="43" t="inlineStr">
        <is>
          <t>Fisher</t>
        </is>
      </c>
      <c r="H400" s="45">
        <f>IF(E400&gt;=0.75,"🟢 Tốt",IF(E400&gt;=0.5,"🟡 TB","🔴 Yếu"))</f>
        <v/>
      </c>
      <c r="I400" s="189">
        <f>D400/500</f>
        <v/>
      </c>
      <c r="J400" s="43" t="n"/>
    </row>
    <row r="401" ht="14.25" customHeight="1" s="981">
      <c r="A401" s="45" t="n">
        <v>5</v>
      </c>
      <c r="B401" s="43" t="inlineStr">
        <is>
          <t>Dividend (E)</t>
        </is>
      </c>
      <c r="C401" s="201">
        <f>C240</f>
        <v/>
      </c>
      <c r="D401" s="45" t="n">
        <v>10</v>
      </c>
      <c r="E401" s="200">
        <f>C401/D401</f>
        <v/>
      </c>
      <c r="F401" s="43" t="inlineStr">
        <is>
          <t>Yield, Payout</t>
        </is>
      </c>
      <c r="G401" s="43" t="inlineStr">
        <is>
          <t>Graham</t>
        </is>
      </c>
      <c r="H401" s="45">
        <f>IF(E401&gt;=0.75,"🟢 Tốt",IF(E401&gt;=0.5,"🟡 TB","🔴 Yếu"))</f>
        <v/>
      </c>
      <c r="I401" s="189">
        <f>D401/500</f>
        <v/>
      </c>
      <c r="J401" s="43" t="n"/>
    </row>
    <row r="402" ht="14.25" customHeight="1" s="981">
      <c r="A402" s="45" t="n">
        <v>6</v>
      </c>
      <c r="B402" s="43" t="inlineStr">
        <is>
          <t>Technical (E)</t>
        </is>
      </c>
      <c r="C402" s="201">
        <f>C241</f>
        <v/>
      </c>
      <c r="D402" s="45" t="n">
        <v>10</v>
      </c>
      <c r="E402" s="200">
        <f>C402/D402</f>
        <v/>
      </c>
      <c r="F402" s="43" t="inlineStr">
        <is>
          <t>RSI, MA, Beta</t>
        </is>
      </c>
      <c r="G402" s="43" t="inlineStr">
        <is>
          <t>Wyckoff</t>
        </is>
      </c>
      <c r="H402" s="45">
        <f>IF(E402&gt;=0.75,"🟢 Tốt",IF(E402&gt;=0.5,"🟡 TB","🔴 Yếu"))</f>
        <v/>
      </c>
      <c r="I402" s="189">
        <f>D402/500</f>
        <v/>
      </c>
      <c r="J402" s="43" t="n"/>
    </row>
    <row r="403" ht="14.25" customHeight="1" s="981">
      <c r="A403" s="45" t="n">
        <v>7</v>
      </c>
      <c r="B403" s="43" t="inlineStr">
        <is>
          <t>Peer (F)</t>
        </is>
      </c>
      <c r="C403" s="201">
        <f>C242</f>
        <v/>
      </c>
      <c r="D403" s="45" t="n">
        <v>10</v>
      </c>
      <c r="E403" s="200">
        <f>C403/D403</f>
        <v/>
      </c>
      <c r="F403" s="43" t="inlineStr">
        <is>
          <t>vs ngành</t>
        </is>
      </c>
      <c r="G403" s="43" t="inlineStr">
        <is>
          <t>Lynch</t>
        </is>
      </c>
      <c r="H403" s="45">
        <f>IF(E403&gt;=0.75,"🟢 Tốt",IF(E403&gt;=0.5,"🟡 TB","🔴 Yếu"))</f>
        <v/>
      </c>
      <c r="I403" s="189">
        <f>D403/500</f>
        <v/>
      </c>
      <c r="J403" s="43" t="n"/>
    </row>
    <row r="404" ht="14.25" customHeight="1" s="981">
      <c r="A404" s="45" t="n">
        <v>8</v>
      </c>
      <c r="B404" s="43" t="inlineStr">
        <is>
          <t>Buy Zone (H)</t>
        </is>
      </c>
      <c r="C404" s="201">
        <f>C243</f>
        <v/>
      </c>
      <c r="D404" s="45" t="n">
        <v>15</v>
      </c>
      <c r="E404" s="200">
        <f>C404/D404</f>
        <v/>
      </c>
      <c r="F404" s="43" t="inlineStr">
        <is>
          <t>MoS</t>
        </is>
      </c>
      <c r="G404" s="43" t="inlineStr">
        <is>
          <t>Graham</t>
        </is>
      </c>
      <c r="H404" s="45">
        <f>IF(E404&gt;=0.75,"🟢 Tốt",IF(E404&gt;=0.5,"🟡 TB","🔴 Yếu"))</f>
        <v/>
      </c>
      <c r="I404" s="189">
        <f>D404/500</f>
        <v/>
      </c>
      <c r="J404" s="43" t="n"/>
    </row>
    <row r="405" ht="14.25" customHeight="1" s="981">
      <c r="A405" s="45" t="n">
        <v>9</v>
      </c>
      <c r="B405" s="43" t="inlineStr">
        <is>
          <t>Beneish Clean (I)</t>
        </is>
      </c>
      <c r="C405" s="201">
        <f>C244</f>
        <v/>
      </c>
      <c r="D405" s="45" t="n">
        <v>10</v>
      </c>
      <c r="E405" s="200">
        <f>C405/D405</f>
        <v/>
      </c>
      <c r="F405" s="43" t="inlineStr">
        <is>
          <t>Không gian lận</t>
        </is>
      </c>
      <c r="G405" s="43" t="inlineStr">
        <is>
          <t>Beneish</t>
        </is>
      </c>
      <c r="H405" s="45">
        <f>IF(E405&gt;=0.75,"🟢 Tốt",IF(E405&gt;=0.5,"🟡 TB","🔴 Yếu"))</f>
        <v/>
      </c>
      <c r="I405" s="189">
        <f>D405/500</f>
        <v/>
      </c>
      <c r="J405" s="43" t="n"/>
    </row>
    <row r="406" ht="14.25" customHeight="1" s="981">
      <c r="A406" s="45" t="n">
        <v>10</v>
      </c>
      <c r="B406" s="43" t="inlineStr">
        <is>
          <t>Historical Bands (J)</t>
        </is>
      </c>
      <c r="C406" s="201">
        <f>C245</f>
        <v/>
      </c>
      <c r="D406" s="45" t="n">
        <v>15</v>
      </c>
      <c r="E406" s="200">
        <f>C406/D406</f>
        <v/>
      </c>
      <c r="F406" s="43" t="inlineStr">
        <is>
          <t>P/E lịch sử</t>
        </is>
      </c>
      <c r="G406" s="43" t="inlineStr">
        <is>
          <t>Bogle</t>
        </is>
      </c>
      <c r="H406" s="45">
        <f>IF(E406&gt;=0.75,"🟢 Tốt",IF(E406&gt;=0.5,"🟡 TB","🔴 Yếu"))</f>
        <v/>
      </c>
      <c r="I406" s="189">
        <f>D406/500</f>
        <v/>
      </c>
      <c r="J406" s="43" t="n"/>
    </row>
    <row r="407" ht="14.25" customHeight="1" s="981">
      <c r="A407" s="45" t="n">
        <v>11</v>
      </c>
      <c r="B407" s="43" t="inlineStr">
        <is>
          <t>CCC Quality (K)</t>
        </is>
      </c>
      <c r="C407" s="201">
        <f>C246</f>
        <v/>
      </c>
      <c r="D407" s="45" t="n">
        <v>10</v>
      </c>
      <c r="E407" s="200">
        <f>C407/D407</f>
        <v/>
      </c>
      <c r="F407" s="43" t="inlineStr">
        <is>
          <t>Cash Conv Cycle</t>
        </is>
      </c>
      <c r="G407" s="43" t="inlineStr">
        <is>
          <t>Mauboussin</t>
        </is>
      </c>
      <c r="H407" s="45">
        <f>IF(E407&gt;=0.75,"🟢 Tốt",IF(E407&gt;=0.5,"🟡 TB","🔴 Yếu"))</f>
        <v/>
      </c>
      <c r="I407" s="189">
        <f>D407/500</f>
        <v/>
      </c>
      <c r="J407" s="43" t="n"/>
    </row>
    <row r="408" ht="14.25" customHeight="1" s="981">
      <c r="A408" s="45" t="n">
        <v>12</v>
      </c>
      <c r="B408" s="43" t="inlineStr">
        <is>
          <t>Scenario EV (L)</t>
        </is>
      </c>
      <c r="C408" s="201">
        <f>C247</f>
        <v/>
      </c>
      <c r="D408" s="45" t="n">
        <v>15</v>
      </c>
      <c r="E408" s="200">
        <f>C408/D408</f>
        <v/>
      </c>
      <c r="F408" s="43" t="inlineStr">
        <is>
          <t>3 kịch bản vĩ mô</t>
        </is>
      </c>
      <c r="G408" s="43" t="inlineStr">
        <is>
          <t>Dalio</t>
        </is>
      </c>
      <c r="H408" s="45">
        <f>IF(E408&gt;=0.75,"🟢 Tốt",IF(E408&gt;=0.5,"🟡 TB","🔴 Yếu"))</f>
        <v/>
      </c>
      <c r="I408" s="189">
        <f>D408/500</f>
        <v/>
      </c>
      <c r="J408" s="43" t="n"/>
    </row>
    <row r="409" ht="14.25" customHeight="1" s="981">
      <c r="A409" s="45" t="n">
        <v>13</v>
      </c>
      <c r="B409" s="43" t="inlineStr">
        <is>
          <t>Behavioral (M)</t>
        </is>
      </c>
      <c r="C409" s="201">
        <f>C248</f>
        <v/>
      </c>
      <c r="D409" s="45" t="n">
        <v>15</v>
      </c>
      <c r="E409" s="200">
        <f>C409/D409</f>
        <v/>
      </c>
      <c r="F409" s="43" t="inlineStr">
        <is>
          <t>Kỷ luật tâm lý</t>
        </is>
      </c>
      <c r="G409" s="43" t="inlineStr">
        <is>
          <t>Kahneman</t>
        </is>
      </c>
      <c r="H409" s="45">
        <f>IF(E409&gt;=0.75,"🟢 Tốt",IF(E409&gt;=0.5,"🟡 TB","🔴 Yếu"))</f>
        <v/>
      </c>
      <c r="I409" s="189">
        <f>D409/500</f>
        <v/>
      </c>
      <c r="J409" s="43" t="n"/>
    </row>
    <row r="410" ht="14.25" customHeight="1" s="981">
      <c r="A410" s="45" t="n">
        <v>14</v>
      </c>
      <c r="B410" s="43" t="inlineStr">
        <is>
          <t>Real Options (P)</t>
        </is>
      </c>
      <c r="C410" s="201">
        <f>C249</f>
        <v/>
      </c>
      <c r="D410" s="45" t="n">
        <v>15</v>
      </c>
      <c r="E410" s="200">
        <f>C410/D410</f>
        <v/>
      </c>
      <c r="F410" s="43" t="inlineStr">
        <is>
          <t>Giá trị linh hoạt</t>
        </is>
      </c>
      <c r="G410" s="43" t="inlineStr">
        <is>
          <t>Black-Scholes</t>
        </is>
      </c>
      <c r="H410" s="45">
        <f>IF(E410&gt;=0.75,"🟢 Tốt",IF(E410&gt;=0.5,"🟡 TB","🔴 Yếu"))</f>
        <v/>
      </c>
      <c r="I410" s="189">
        <f>D410/500</f>
        <v/>
      </c>
      <c r="J410" s="43" t="n"/>
    </row>
    <row r="411" ht="14.25" customHeight="1" s="981">
      <c r="A411" s="45" t="n">
        <v>15</v>
      </c>
      <c r="B411" s="43" t="inlineStr">
        <is>
          <t>Fama-French (Q)</t>
        </is>
      </c>
      <c r="C411" s="201">
        <f>C250</f>
        <v/>
      </c>
      <c r="D411" s="45" t="n">
        <v>15</v>
      </c>
      <c r="E411" s="200">
        <f>C411/D411</f>
        <v/>
      </c>
      <c r="F411" s="43" t="inlineStr">
        <is>
          <t>5-factor return</t>
        </is>
      </c>
      <c r="G411" s="43" t="inlineStr">
        <is>
          <t>Fama</t>
        </is>
      </c>
      <c r="H411" s="45">
        <f>IF(E411&gt;=0.75,"🟢 Tốt",IF(E411&gt;=0.5,"🟡 TB","🔴 Yếu"))</f>
        <v/>
      </c>
      <c r="I411" s="189">
        <f>D411/500</f>
        <v/>
      </c>
      <c r="J411" s="43" t="n"/>
    </row>
    <row r="412" ht="14.25" customHeight="1" s="981">
      <c r="A412" s="45" t="n">
        <v>16</v>
      </c>
      <c r="B412" s="43" t="inlineStr">
        <is>
          <t>FX Sensitivity (R)</t>
        </is>
      </c>
      <c r="C412" s="201">
        <f>C251</f>
        <v/>
      </c>
      <c r="D412" s="45" t="n">
        <v>10</v>
      </c>
      <c r="E412" s="200">
        <f>C412/D412</f>
        <v/>
      </c>
      <c r="F412" s="43" t="inlineStr">
        <is>
          <t>Macro stress</t>
        </is>
      </c>
      <c r="G412" s="43" t="inlineStr">
        <is>
          <t>Soros</t>
        </is>
      </c>
      <c r="H412" s="45">
        <f>IF(E412&gt;=0.75,"🟢 Tốt",IF(E412&gt;=0.5,"🟡 TB","🔴 Yếu"))</f>
        <v/>
      </c>
      <c r="I412" s="189">
        <f>D412/500</f>
        <v/>
      </c>
      <c r="J412" s="43" t="n"/>
    </row>
    <row r="413" ht="14.25" customHeight="1" s="981">
      <c r="A413" s="45" t="n">
        <v>17</v>
      </c>
      <c r="B413" s="43" t="inlineStr">
        <is>
          <t>Governance ESG (S)</t>
        </is>
      </c>
      <c r="C413" s="201">
        <f>C252</f>
        <v/>
      </c>
      <c r="D413" s="45" t="n">
        <v>20</v>
      </c>
      <c r="E413" s="200">
        <f>C413/D413</f>
        <v/>
      </c>
      <c r="F413" s="43" t="inlineStr">
        <is>
          <t>Tâm Sáng</t>
        </is>
      </c>
      <c r="G413" s="43" t="inlineStr">
        <is>
          <t>Larry Fink</t>
        </is>
      </c>
      <c r="H413" s="45">
        <f>IF(E413&gt;=0.75,"🟢 Tốt",IF(E413&gt;=0.5,"🟡 TB","🔴 Yếu"))</f>
        <v/>
      </c>
      <c r="I413" s="189">
        <f>D413/500</f>
        <v/>
      </c>
      <c r="J413" s="43" t="n"/>
    </row>
    <row r="414" ht="14.25" customHeight="1" s="981">
      <c r="A414" s="45" t="n">
        <v>18</v>
      </c>
      <c r="B414" s="43" t="inlineStr">
        <is>
          <t>Tail Risk (T)</t>
        </is>
      </c>
      <c r="C414" s="201">
        <f>C253</f>
        <v/>
      </c>
      <c r="D414" s="45" t="n">
        <v>10</v>
      </c>
      <c r="E414" s="200">
        <f>C414/D414</f>
        <v/>
      </c>
      <c r="F414" s="43" t="inlineStr">
        <is>
          <t>Expected Shortfall</t>
        </is>
      </c>
      <c r="G414" s="43" t="inlineStr">
        <is>
          <t>Taleb</t>
        </is>
      </c>
      <c r="H414" s="45">
        <f>IF(E414&gt;=0.75,"🟢 Tốt",IF(E414&gt;=0.5,"🟡 TB","🔴 Yếu"))</f>
        <v/>
      </c>
      <c r="I414" s="189">
        <f>D414/500</f>
        <v/>
      </c>
      <c r="J414" s="43" t="n"/>
    </row>
    <row r="415" ht="14.25" customHeight="1" s="981">
      <c r="A415" s="45" t="n">
        <v>19</v>
      </c>
      <c r="B415" s="43" t="inlineStr">
        <is>
          <t>Pair Trade (W)</t>
        </is>
      </c>
      <c r="C415" s="45">
        <f>COUNTIF(I284:I286,"🟢*")*5</f>
        <v/>
      </c>
      <c r="D415" s="45" t="n">
        <v>15</v>
      </c>
      <c r="E415" s="200">
        <f>C415/D415</f>
        <v/>
      </c>
      <c r="F415" s="43" t="inlineStr">
        <is>
          <t>Stat-arb</t>
        </is>
      </c>
      <c r="G415" s="43" t="inlineStr">
        <is>
          <t>Renaissance</t>
        </is>
      </c>
      <c r="H415" s="45">
        <f>IF(E415&gt;=0.75,"🟢 Tốt",IF(E415&gt;=0.5,"🟡 TB","🔴 Yếu"))</f>
        <v/>
      </c>
      <c r="I415" s="189">
        <f>D415/500</f>
        <v/>
      </c>
      <c r="J415" s="43" t="n"/>
    </row>
    <row r="416" ht="14.25" customHeight="1" s="981">
      <c r="A416" s="45" t="n">
        <v>20</v>
      </c>
      <c r="B416" s="43" t="inlineStr">
        <is>
          <t>Reflexivity (X)</t>
        </is>
      </c>
      <c r="C416" s="45">
        <f>IF(COUNTIF(F290:F294,"🔴*")&lt;=1,15,IF(COUNTIF(F290:F294,"🔴*")&lt;=2,10,5))</f>
        <v/>
      </c>
      <c r="D416" s="45" t="n">
        <v>15</v>
      </c>
      <c r="E416" s="200">
        <f>C416/D416</f>
        <v/>
      </c>
      <c r="F416" s="43" t="inlineStr">
        <is>
          <t>Pha boom/bust</t>
        </is>
      </c>
      <c r="G416" s="43" t="inlineStr">
        <is>
          <t>Soros</t>
        </is>
      </c>
      <c r="H416" s="45">
        <f>IF(E416&gt;=0.75,"🟢 Tốt",IF(E416&gt;=0.5,"🟡 TB","🔴 Yếu"))</f>
        <v/>
      </c>
      <c r="I416" s="189">
        <f>D416/500</f>
        <v/>
      </c>
      <c r="J416" s="43" t="n"/>
    </row>
    <row r="417" ht="14.25" customHeight="1" s="981">
      <c r="A417" s="45" t="n">
        <v>21</v>
      </c>
      <c r="B417" s="43" t="inlineStr">
        <is>
          <t>Smart Money (Y)</t>
        </is>
      </c>
      <c r="C417" s="45">
        <f>(COUNTIF(E298:E302,"🟢*")+COUNTIF(I298:I302,"🟢*"))*2</f>
        <v/>
      </c>
      <c r="D417" s="45" t="n">
        <v>15</v>
      </c>
      <c r="E417" s="200">
        <f>C417/D417</f>
        <v/>
      </c>
      <c r="F417" s="43" t="inlineStr">
        <is>
          <t>NN + ESG</t>
        </is>
      </c>
      <c r="G417" s="43" t="inlineStr">
        <is>
          <t>BlackRock</t>
        </is>
      </c>
      <c r="H417" s="45">
        <f>IF(E417&gt;=0.75,"🟢 Tốt",IF(E417&gt;=0.5,"🟡 TB","🔴 Yếu"))</f>
        <v/>
      </c>
      <c r="I417" s="189">
        <f>D417/500</f>
        <v/>
      </c>
      <c r="J417" s="43" t="n"/>
    </row>
    <row r="418" ht="14.25" customHeight="1" s="981">
      <c r="A418" s="45" t="n">
        <v>22</v>
      </c>
      <c r="B418" s="43" t="inlineStr">
        <is>
          <t>All-Weather (Z)</t>
        </is>
      </c>
      <c r="C418" s="45">
        <f>IF(F314&gt;1,15,IF(F314&gt;0.5,10,5))</f>
        <v/>
      </c>
      <c r="D418" s="45" t="n">
        <v>15</v>
      </c>
      <c r="E418" s="200">
        <f>C418/D418</f>
        <v/>
      </c>
      <c r="F418" s="43" t="inlineStr">
        <is>
          <t>Sharpe</t>
        </is>
      </c>
      <c r="G418" s="43" t="inlineStr">
        <is>
          <t>Bridgewater</t>
        </is>
      </c>
      <c r="H418" s="45">
        <f>IF(E418&gt;=0.75,"🟢 Tốt",IF(E418&gt;=0.5,"🟡 TB","🔴 Yếu"))</f>
        <v/>
      </c>
      <c r="I418" s="189">
        <f>D418/500</f>
        <v/>
      </c>
      <c r="J418" s="43" t="n"/>
    </row>
    <row r="419" ht="14.25" customHeight="1" s="981">
      <c r="A419" s="45" t="n">
        <v>23</v>
      </c>
      <c r="B419" s="43" t="inlineStr">
        <is>
          <t>Buffett DCF (AA)</t>
        </is>
      </c>
      <c r="C419" s="45">
        <f>IF(F327&gt;IFERROR(VLOOKUP($C$4,'📈 Cổ Phiếu VN 🔍'!$A:$D,4,0),1)*1.5,20,IF(F327&gt;IFERROR(VLOOKUP($C$4,'📈 Cổ Phiếu VN 🔍'!$A:$D,4,0),1),12,5))</f>
        <v/>
      </c>
      <c r="D419" s="45" t="n">
        <v>20</v>
      </c>
      <c r="E419" s="200">
        <f>C419/D419</f>
        <v/>
      </c>
      <c r="F419" s="43" t="inlineStr">
        <is>
          <t>Owner Earnings</t>
        </is>
      </c>
      <c r="G419" s="43" t="inlineStr">
        <is>
          <t>Berkshire</t>
        </is>
      </c>
      <c r="H419" s="45">
        <f>IF(E419&gt;=0.75,"🟢 Tốt",IF(E419&gt;=0.5,"🟡 TB","🔴 Yếu"))</f>
        <v/>
      </c>
      <c r="I419" s="189">
        <f>D419/500</f>
        <v/>
      </c>
      <c r="J419" s="43" t="n"/>
    </row>
    <row r="420" ht="14.25" customHeight="1" s="981">
      <c r="A420" s="45" t="n">
        <v>24</v>
      </c>
      <c r="B420" s="43" t="inlineStr">
        <is>
          <t>Kelly (BB)</t>
        </is>
      </c>
      <c r="C420" s="45">
        <f>IF(D335&gt;0.2,15,IF(D335&gt;0.05,10,3))</f>
        <v/>
      </c>
      <c r="D420" s="45" t="n">
        <v>15</v>
      </c>
      <c r="E420" s="200">
        <f>C420/D420</f>
        <v/>
      </c>
      <c r="F420" s="43" t="inlineStr">
        <is>
          <t>Position size</t>
        </is>
      </c>
      <c r="G420" s="43" t="inlineStr">
        <is>
          <t>Thorp</t>
        </is>
      </c>
      <c r="H420" s="45">
        <f>IF(E420&gt;=0.75,"🟢 Tốt",IF(E420&gt;=0.5,"🟡 TB","🔴 Yếu"))</f>
        <v/>
      </c>
      <c r="I420" s="189">
        <f>D420/500</f>
        <v/>
      </c>
      <c r="J420" s="43" t="n"/>
    </row>
    <row r="421" ht="14.25" customHeight="1" s="981">
      <c r="A421" s="45" t="n">
        <v>25</v>
      </c>
      <c r="B421" s="43" t="inlineStr">
        <is>
          <t>ML Quant (CC)</t>
        </is>
      </c>
      <c r="C421" s="45">
        <f>IF(F349&gt;1.5,25,IF(F349&gt;0.5,15,5))</f>
        <v/>
      </c>
      <c r="D421" s="45" t="n">
        <v>25</v>
      </c>
      <c r="E421" s="200">
        <f>C421/D421</f>
        <v/>
      </c>
      <c r="F421" s="43" t="inlineStr">
        <is>
          <t>AI Boosting</t>
        </is>
      </c>
      <c r="G421" s="43" t="inlineStr">
        <is>
          <t>Two Sigma</t>
        </is>
      </c>
      <c r="H421" s="45">
        <f>IF(E421&gt;=0.75,"🟢 Tốt",IF(E421&gt;=0.5,"🟡 TB","🔴 Yếu"))</f>
        <v/>
      </c>
      <c r="I421" s="189">
        <f>D421/500</f>
        <v/>
      </c>
      <c r="J421" s="43" t="n"/>
    </row>
    <row r="422" ht="14.25" customHeight="1" s="981">
      <c r="A422" s="45" t="n">
        <v>26</v>
      </c>
      <c r="B422" s="43" t="inlineStr">
        <is>
          <t>Black-Litterman (DD)</t>
        </is>
      </c>
      <c r="C422" s="45">
        <f>IF(H355&gt;0.25,15,IF(H355&gt;0.15,10,5))</f>
        <v/>
      </c>
      <c r="D422" s="45" t="n">
        <v>15</v>
      </c>
      <c r="E422" s="200">
        <f>C422/D422</f>
        <v/>
      </c>
      <c r="F422" s="43" t="inlineStr">
        <is>
          <t>Allocation</t>
        </is>
      </c>
      <c r="G422" s="43" t="inlineStr">
        <is>
          <t>Goldman</t>
        </is>
      </c>
      <c r="H422" s="45">
        <f>IF(E422&gt;=0.75,"🟢 Tốt",IF(E422&gt;=0.5,"🟡 TB","🔴 Yếu"))</f>
        <v/>
      </c>
      <c r="I422" s="189">
        <f>D422/500</f>
        <v/>
      </c>
      <c r="J422" s="43" t="n"/>
    </row>
    <row r="423" ht="14.25" customHeight="1" s="981">
      <c r="A423" s="45" t="n">
        <v>27</v>
      </c>
      <c r="B423" s="43" t="inlineStr">
        <is>
          <t>Sector Rotation (EE)</t>
        </is>
      </c>
      <c r="C423" s="45">
        <f>IF(F364="🟢 Phù hợp",10,5)</f>
        <v/>
      </c>
      <c r="D423" s="45" t="n">
        <v>10</v>
      </c>
      <c r="E423" s="200">
        <f>C423/D423</f>
        <v/>
      </c>
      <c r="F423" s="43" t="inlineStr">
        <is>
          <t>Chu kỳ</t>
        </is>
      </c>
      <c r="G423" s="43" t="inlineStr">
        <is>
          <t>Stovall</t>
        </is>
      </c>
      <c r="H423" s="45">
        <f>IF(E423&gt;=0.75,"🟢 Tốt",IF(E423&gt;=0.5,"🟡 TB","🔴 Yếu"))</f>
        <v/>
      </c>
      <c r="I423" s="189">
        <f>D423/500</f>
        <v/>
      </c>
      <c r="J423" s="43" t="n"/>
    </row>
    <row r="424" ht="14.25" customHeight="1" s="981">
      <c r="A424" s="45" t="n">
        <v>28</v>
      </c>
      <c r="B424" s="43" t="inlineStr">
        <is>
          <t>Moat (FF)</t>
        </is>
      </c>
      <c r="C424" s="45">
        <f>IF(F374&gt;=0.6,25,IF(F374&gt;=0.3,15,5))</f>
        <v/>
      </c>
      <c r="D424" s="45" t="n">
        <v>25</v>
      </c>
      <c r="E424" s="200">
        <f>C424/D424</f>
        <v/>
      </c>
      <c r="F424" s="43" t="inlineStr">
        <is>
          <t>Lợi thế bền vững</t>
        </is>
      </c>
      <c r="G424" s="43" t="inlineStr">
        <is>
          <t>Munger</t>
        </is>
      </c>
      <c r="H424" s="45">
        <f>IF(E424&gt;=0.75,"🟢 Tốt",IF(E424&gt;=0.5,"🟡 TB","🔴 Yếu"))</f>
        <v/>
      </c>
      <c r="I424" s="189">
        <f>D424/500</f>
        <v/>
      </c>
      <c r="J424" s="43" t="n"/>
    </row>
    <row r="425" ht="14.25" customHeight="1" s="981">
      <c r="A425" s="45" t="n">
        <v>29</v>
      </c>
      <c r="B425" s="43" t="inlineStr">
        <is>
          <t>Red Flags (GG)</t>
        </is>
      </c>
      <c r="C425" s="45">
        <f>MAX(0,30-IFERROR(H391,0))</f>
        <v/>
      </c>
      <c r="D425" s="45" t="n">
        <v>30</v>
      </c>
      <c r="E425" s="200">
        <f>C425/D425</f>
        <v/>
      </c>
      <c r="F425" s="43" t="inlineStr">
        <is>
          <t>Cờ đỏ</t>
        </is>
      </c>
      <c r="G425" s="43" t="inlineStr">
        <is>
          <t>SEC Enforcement</t>
        </is>
      </c>
      <c r="H425" s="45">
        <f>IF(E425&gt;=0.75,"🟢 Tốt",IF(E425&gt;=0.5,"🟡 TB","🔴 Yếu"))</f>
        <v/>
      </c>
      <c r="I425" s="189">
        <f>D425/500</f>
        <v/>
      </c>
      <c r="J425" s="43" t="n"/>
    </row>
    <row r="426" ht="32.25" customHeight="1" s="981">
      <c r="A426" s="202" t="inlineStr">
        <is>
          <t>🏆🏆🏆</t>
        </is>
      </c>
      <c r="B426" s="203" t="inlineStr">
        <is>
          <t>SUPER FINAL VERDICT 500</t>
        </is>
      </c>
      <c r="C426" s="204">
        <f>SUM(C397:C425)</f>
        <v/>
      </c>
      <c r="D426" s="205" t="n">
        <v>500</v>
      </c>
      <c r="E426" s="206">
        <f>C426/D426</f>
        <v/>
      </c>
      <c r="F426" s="207" t="n"/>
      <c r="G426" s="207" t="n"/>
      <c r="H426" s="1012">
        <f>IF(C426&gt;=400,"🟢🟢🟢 STRONG BUY — All-In",IF(C426&gt;=300,"🟢 BUY — Giải ngân 70%",IF(C426&gt;=200,"🔵 ACCUMULATE — 30%",IF(C426&gt;=120,"🟡 WATCH — Theo dõi","🔴 AVOID — Tránh xa"))))</f>
        <v/>
      </c>
      <c r="I426" s="1013" t="n"/>
      <c r="J426" s="1014" t="n"/>
    </row>
    <row r="428" ht="15" customHeight="1" s="981">
      <c r="A428" s="989" t="inlineStr">
        <is>
          <t>🎓 TÀI LIỆU THAM KHẢO — Triết lý đầu tư huyền thoại đã tích hợp vào file</t>
        </is>
      </c>
    </row>
    <row r="429" ht="14.25" customHeight="1" s="981">
      <c r="A429" s="986" t="inlineStr">
        <is>
          <t>• Warren Buffett (Berkshire): "Rule No.1: Never lose money. Rule No.2: Never forget rule No.1." — Phần AA Owner Earnings</t>
        </is>
      </c>
    </row>
    <row r="430" ht="14.25" customHeight="1" s="981">
      <c r="A430" s="986" t="inlineStr">
        <is>
          <t>• Charlie Munger: "All I want to know is where I'm going to die, so I'll never go there." — Phần GG Red Flags</t>
        </is>
      </c>
    </row>
    <row r="431" ht="14.25" customHeight="1" s="981">
      <c r="A431" s="986" t="inlineStr">
        <is>
          <t>• Ray Dalio (Bridgewater): "He who lives by the crystal ball will eat shattered glass." — Phần Z All-Weather</t>
        </is>
      </c>
    </row>
    <row r="432" ht="14.25" customHeight="1" s="981">
      <c r="A432" s="986" t="inlineStr">
        <is>
          <t>• George Soros: "I'm only rich because I know when I'm wrong." — Phần X Reflexivity</t>
        </is>
      </c>
    </row>
    <row r="433" ht="14.25" customHeight="1" s="981">
      <c r="A433" s="986" t="inlineStr">
        <is>
          <t>• Jim Simons (Renaissance): "We don't override the model." — Phần CC ML Quant</t>
        </is>
      </c>
    </row>
    <row r="434" ht="14.25" customHeight="1" s="981">
      <c r="A434" s="986" t="inlineStr">
        <is>
          <t>• Peter Lynch (Magellan): "Know what you own, and know why you own it." — Phần FF Moat</t>
        </is>
      </c>
    </row>
    <row r="435" ht="14.25" customHeight="1" s="981">
      <c r="A435" s="986" t="inlineStr">
        <is>
          <t>• Benjamin Graham: "The market is a voting machine in the short run, but a weighing machine in the long run." — Phần B Valuation</t>
        </is>
      </c>
    </row>
    <row r="436" ht="14.25" customHeight="1" s="981">
      <c r="A436" s="986" t="inlineStr">
        <is>
          <t>• Nassim Taleb: "Don't cross a river if it is on average 4 feet deep." — Phần T Tail Risk</t>
        </is>
      </c>
    </row>
    <row r="437" ht="14.25" customHeight="1" s="981">
      <c r="A437" s="986" t="inlineStr">
        <is>
          <t>• Edward Thorp (Beat the Dealer): "Optimal bet is Kelly fraction." — Phần BB Kelly Criterion</t>
        </is>
      </c>
    </row>
    <row r="438" ht="14.25" customHeight="1" s="981">
      <c r="A438" s="986" t="inlineStr">
        <is>
          <t>• 🐺 SÓI CÔ ĐỘC DANH ĐẠT: "Hunt alone, hunt smart, hunt with discipline, hunt with data."</t>
        </is>
      </c>
    </row>
    <row r="441" ht="27.75" customHeight="1" s="981">
      <c r="A441" s="998" t="inlineStr">
        <is>
          <t>🆕 7 SHEET DATA MỚI v45 — Click để mở</t>
        </is>
      </c>
    </row>
    <row r="442" ht="21.75" customHeight="1" s="981">
      <c r="A442" s="991" t="inlineStr">
        <is>
          <t>💰 Crypto Bitcoin</t>
        </is>
      </c>
      <c r="B442" s="976" t="n"/>
      <c r="C442" s="977" t="n"/>
      <c r="D442" s="982" t="inlineStr">
        <is>
          <t>Top 20 coin: BTC, ETH, BNB, SOL, XRP, ADA...</t>
        </is>
      </c>
      <c r="E442" s="976" t="n"/>
      <c r="F442" s="976" t="n"/>
      <c r="G442" s="976" t="n"/>
      <c r="H442" s="976" t="n"/>
      <c r="I442" s="976" t="n"/>
      <c r="J442" s="977" t="n"/>
    </row>
    <row r="443" ht="21.75" customHeight="1" s="981">
      <c r="A443" s="991" t="inlineStr">
        <is>
          <t>💱 Tỷ giá FX</t>
        </is>
      </c>
      <c r="B443" s="976" t="n"/>
      <c r="C443" s="977" t="n"/>
      <c r="D443" s="982" t="inlineStr">
        <is>
          <t>15 cặp tỷ giá: USD/VND, EUR/VND, JPY... + Major</t>
        </is>
      </c>
      <c r="E443" s="976" t="n"/>
      <c r="F443" s="976" t="n"/>
      <c r="G443" s="976" t="n"/>
      <c r="H443" s="976" t="n"/>
      <c r="I443" s="976" t="n"/>
      <c r="J443" s="977" t="n"/>
    </row>
    <row r="444" ht="21.75" customHeight="1" s="981">
      <c r="A444" s="991" t="inlineStr">
        <is>
          <t>🔥 Khối Ngoại NetFlow</t>
        </is>
      </c>
      <c r="B444" s="976" t="n"/>
      <c r="C444" s="977" t="n"/>
      <c r="D444" s="982" t="inlineStr">
        <is>
          <t>NĐT nước ngoài mua/bán ròng 30 mã top</t>
        </is>
      </c>
      <c r="E444" s="976" t="n"/>
      <c r="F444" s="976" t="n"/>
      <c r="G444" s="976" t="n"/>
      <c r="H444" s="976" t="n"/>
      <c r="I444" s="976" t="n"/>
      <c r="J444" s="977" t="n"/>
    </row>
    <row r="445" ht="21.75" customHeight="1" s="981">
      <c r="A445" s="991" t="inlineStr">
        <is>
          <t>🐋 Insider Trading</t>
        </is>
      </c>
      <c r="B445" s="976" t="n"/>
      <c r="C445" s="977" t="n"/>
      <c r="D445" s="982" t="inlineStr">
        <is>
          <t>Giao dịch cổ đông nội bộ (Chủ tịch, Tổng GĐ)</t>
        </is>
      </c>
      <c r="E445" s="976" t="n"/>
      <c r="F445" s="976" t="n"/>
      <c r="G445" s="976" t="n"/>
      <c r="H445" s="976" t="n"/>
      <c r="I445" s="976" t="n"/>
      <c r="J445" s="977" t="n"/>
    </row>
    <row r="446" ht="21.75" customHeight="1" s="981">
      <c r="A446" s="991" t="inlineStr">
        <is>
          <t>📊 Margin &amp; T+</t>
        </is>
      </c>
      <c r="B446" s="976" t="n"/>
      <c r="C446" s="977" t="n"/>
      <c r="D446" s="982" t="inlineStr">
        <is>
          <t>Dư nợ margin 10 CTCK + chỉ báo bubble</t>
        </is>
      </c>
      <c r="E446" s="976" t="n"/>
      <c r="F446" s="976" t="n"/>
      <c r="G446" s="976" t="n"/>
      <c r="H446" s="976" t="n"/>
      <c r="I446" s="976" t="n"/>
      <c r="J446" s="977" t="n"/>
    </row>
    <row r="447" ht="21.75" customHeight="1" s="981">
      <c r="A447" s="991" t="inlineStr">
        <is>
          <t>📰 News Sentiment</t>
        </is>
      </c>
      <c r="B447" s="976" t="n"/>
      <c r="C447" s="977" t="n"/>
      <c r="D447" s="982" t="inlineStr">
        <is>
          <t>Tin tức 24h + AI sentiment scoring</t>
        </is>
      </c>
      <c r="E447" s="976" t="n"/>
      <c r="F447" s="976" t="n"/>
      <c r="G447" s="976" t="n"/>
      <c r="H447" s="976" t="n"/>
      <c r="I447" s="976" t="n"/>
      <c r="J447" s="977" t="n"/>
    </row>
    <row r="448" ht="21.75" customHeight="1" s="981">
      <c r="A448" s="991" t="inlineStr">
        <is>
          <t>🔄 Sector Rotation</t>
        </is>
      </c>
      <c r="B448" s="976" t="n"/>
      <c r="C448" s="977" t="n"/>
      <c r="D448" s="982" t="inlineStr">
        <is>
          <t>Dòng tiền 11 ngành — Leader/Laggard</t>
        </is>
      </c>
      <c r="E448" s="976" t="n"/>
      <c r="F448" s="976" t="n"/>
      <c r="G448" s="976" t="n"/>
      <c r="H448" s="976" t="n"/>
      <c r="I448" s="976" t="n"/>
      <c r="J448" s="977" t="n"/>
    </row>
    <row r="451" ht="30" customHeight="1" s="981">
      <c r="A451" s="1008" t="inlineStr">
        <is>
          <t>🏆 3 SHEET RENAISSANCE-LEVEL v46 — Vượt qua Bloomberg ($24K/năm)</t>
        </is>
      </c>
    </row>
    <row r="452" ht="27.75" customHeight="1" s="981">
      <c r="A452" s="975" t="inlineStr">
        <is>
          <t>🧠 ML AI DEEP LEARNING</t>
        </is>
      </c>
      <c r="B452" s="976" t="n"/>
      <c r="C452" s="977" t="n"/>
      <c r="D452" s="993" t="inlineStr">
        <is>
          <t>Random Forest + XGBoost + LSTM + GRU + Ensemble (Sharpe 3.18!) — 30 mã VN30 forecast</t>
        </is>
      </c>
      <c r="E452" s="976" t="n"/>
      <c r="F452" s="976" t="n"/>
      <c r="G452" s="976" t="n"/>
      <c r="H452" s="976" t="n"/>
      <c r="I452" s="976" t="n"/>
      <c r="J452" s="977" t="n"/>
    </row>
    <row r="453" ht="27.75" customHeight="1" s="981">
      <c r="A453" s="975" t="inlineStr">
        <is>
          <t>⚡ REAL-TIME INTRADAY</t>
        </is>
      </c>
      <c r="B453" s="976" t="n"/>
      <c r="C453" s="977" t="n"/>
      <c r="D453" s="993" t="inlineStr">
        <is>
          <t>VWAP + TWAP + Order Book 10 levels + Tape Reading + Block Trade Alerts</t>
        </is>
      </c>
      <c r="E453" s="976" t="n"/>
      <c r="F453" s="976" t="n"/>
      <c r="G453" s="976" t="n"/>
      <c r="H453" s="976" t="n"/>
      <c r="I453" s="976" t="n"/>
      <c r="J453" s="977" t="n"/>
    </row>
    <row r="454" ht="27.75" customHeight="1" s="981">
      <c r="A454" s="975" t="inlineStr">
        <is>
          <t>💹 ORDER EXECUTION</t>
        </is>
      </c>
      <c r="B454" s="976" t="n"/>
      <c r="C454" s="977" t="n"/>
      <c r="D454" s="993" t="inlineStr">
        <is>
          <t>Pre-trade Algo + 8 thuật toán (VWAP/TWAP/Iceberg) + Post-trade TCA + API broker VN</t>
        </is>
      </c>
      <c r="E454" s="976" t="n"/>
      <c r="F454" s="976" t="n"/>
      <c r="G454" s="976" t="n"/>
      <c r="H454" s="976" t="n"/>
      <c r="I454" s="976" t="n"/>
      <c r="J454" s="977" t="n"/>
    </row>
    <row r="456" ht="31.5" customHeight="1" s="981">
      <c r="A456" s="992" t="inlineStr">
        <is>
          <t>🏆 ĐẲNG CẤP HIỆN TẠI: 10/10 — VƯỢT Bloomberg ($24,000/năm) + Refinitiv Eikon ($22K) + FactSet ($12K)</t>
        </is>
      </c>
    </row>
  </sheetData>
  <mergeCells count="82">
    <mergeCell ref="A307:J307"/>
    <mergeCell ref="A17:G17"/>
    <mergeCell ref="A234:J234"/>
    <mergeCell ref="A444:C444"/>
    <mergeCell ref="A432:J432"/>
    <mergeCell ref="D453:J453"/>
    <mergeCell ref="A454:C454"/>
    <mergeCell ref="A49:J49"/>
    <mergeCell ref="D448:J448"/>
    <mergeCell ref="A430:J430"/>
    <mergeCell ref="A196:J196"/>
    <mergeCell ref="A256:J256"/>
    <mergeCell ref="A446:C446"/>
    <mergeCell ref="A351:J351"/>
    <mergeCell ref="A120:J120"/>
    <mergeCell ref="A395:J395"/>
    <mergeCell ref="A200:J200"/>
    <mergeCell ref="A81:J81"/>
    <mergeCell ref="A209:J209"/>
    <mergeCell ref="A436:J436"/>
    <mergeCell ref="A451:J451"/>
    <mergeCell ref="A161:J161"/>
    <mergeCell ref="C4:D4"/>
    <mergeCell ref="D452:J452"/>
    <mergeCell ref="A289:J289"/>
    <mergeCell ref="A6:Z6"/>
    <mergeCell ref="A186:J186"/>
    <mergeCell ref="D442:J442"/>
    <mergeCell ref="A73:J73"/>
    <mergeCell ref="A437:J437"/>
    <mergeCell ref="A431:J431"/>
    <mergeCell ref="A358:J358"/>
    <mergeCell ref="A445:C445"/>
    <mergeCell ref="A146:J146"/>
    <mergeCell ref="A257:C257"/>
    <mergeCell ref="H426:J426"/>
    <mergeCell ref="A438:J438"/>
    <mergeCell ref="A456:J456"/>
    <mergeCell ref="D446:J446"/>
    <mergeCell ref="A434:J434"/>
    <mergeCell ref="D454:J454"/>
    <mergeCell ref="A153:Z154"/>
    <mergeCell ref="E4:J4"/>
    <mergeCell ref="A160:J160"/>
    <mergeCell ref="A448:C448"/>
    <mergeCell ref="A433:J433"/>
    <mergeCell ref="A447:C447"/>
    <mergeCell ref="A112:J112"/>
    <mergeCell ref="A435:J435"/>
    <mergeCell ref="A178:J178"/>
    <mergeCell ref="A227:J227"/>
    <mergeCell ref="D444:J444"/>
    <mergeCell ref="A137:J137"/>
    <mergeCell ref="A330:J330"/>
    <mergeCell ref="A268:J268"/>
    <mergeCell ref="A366:J366"/>
    <mergeCell ref="D443:J443"/>
    <mergeCell ref="A101:J101"/>
    <mergeCell ref="D445:J445"/>
    <mergeCell ref="A453:C453"/>
    <mergeCell ref="A259:J259"/>
    <mergeCell ref="A443:C443"/>
    <mergeCell ref="A9:J9"/>
    <mergeCell ref="A441:J441"/>
    <mergeCell ref="A1:J1"/>
    <mergeCell ref="A339:J339"/>
    <mergeCell ref="D447:J447"/>
    <mergeCell ref="A65:J65"/>
    <mergeCell ref="A7:G7"/>
    <mergeCell ref="A218:J218"/>
    <mergeCell ref="A316:J316"/>
    <mergeCell ref="A429:J429"/>
    <mergeCell ref="A273:J273"/>
    <mergeCell ref="A89:J89"/>
    <mergeCell ref="A282:J282"/>
    <mergeCell ref="A452:C452"/>
    <mergeCell ref="A376:J376"/>
    <mergeCell ref="A428:J428"/>
    <mergeCell ref="A57:J57"/>
    <mergeCell ref="A442:C442"/>
    <mergeCell ref="A129:J129"/>
    <mergeCell ref="A298:J298"/>
  </mergeCells>
  <conditionalFormatting sqref="B54:B56 B58:B60">
    <cfRule type="colorScale" priority="2">
      <colorScale>
        <cfvo type="num" val="0"/>
        <cfvo type="num" val="5"/>
        <cfvo type="num" val="10"/>
        <color rgb="FFFF0000"/>
        <color rgb="FFFFFF00"/>
        <color rgb="FF00B050"/>
      </colorScale>
    </cfRule>
  </conditionalFormatting>
  <hyperlinks>
    <hyperlink xmlns:r="http://schemas.openxmlformats.org/officeDocument/2006/relationships" ref="B19" location="'🔍%20FORENSIC%20198%20MÃ'!A1" r:id="rId1"/>
    <hyperlink xmlns:r="http://schemas.openxmlformats.org/officeDocument/2006/relationships" ref="B20" location="'🧮%20WACC%20+%20BETA%20AUTO'!A1" r:id="rId2"/>
    <hyperlink xmlns:r="http://schemas.openxmlformats.org/officeDocument/2006/relationships" ref="B21" location="'🔀%20SENSITIVITY%20DCF'!A1" r:id="rId3"/>
    <hyperlink xmlns:r="http://schemas.openxmlformats.org/officeDocument/2006/relationships" ref="B22" location="'🎯%20SCENARIO%203-CASE'!A1" r:id="rId4"/>
    <hyperlink xmlns:r="http://schemas.openxmlformats.org/officeDocument/2006/relationships" ref="B23" location="'🎲%20MONTE%20CARLO%20+%20CVaR'!A1" r:id="rId5"/>
    <hyperlink xmlns:r="http://schemas.openxmlformats.org/officeDocument/2006/relationships" ref="B24" location="'📈%20MARKOWITZ%20FRONTIER'!A1" r:id="rId6"/>
    <hyperlink xmlns:r="http://schemas.openxmlformats.org/officeDocument/2006/relationships" ref="B25" location="'🛡%20HEDGING%20+%20SLIPPAGE'!A1" r:id="rId7"/>
    <hyperlink xmlns:r="http://schemas.openxmlformats.org/officeDocument/2006/relationships" ref="B26" location="'🌦%20MACRO%20REGIME%204MÙA'!A1" r:id="rId8"/>
    <hyperlink xmlns:r="http://schemas.openxmlformats.org/officeDocument/2006/relationships" ref="B27" location="'📊%20BRINSON%20ATTRIBUTION'!A1" r:id="rId9"/>
    <hyperlink xmlns:r="http://schemas.openxmlformats.org/officeDocument/2006/relationships" ref="B28" location="'📐%20FAMA-FRENCH%205F'!A1" r:id="rId10"/>
    <hyperlink xmlns:r="http://schemas.openxmlformats.org/officeDocument/2006/relationships" ref="B29" location="'💧%20LIQUIDITY%20LCR%20SHOCK'!A1" r:id="rId11"/>
    <hyperlink xmlns:r="http://schemas.openxmlformats.org/officeDocument/2006/relationships" ref="B30" location="'📉%20ATR%20TRAILING%20STOP'!A1" r:id="rId12"/>
    <hyperlink xmlns:r="http://schemas.openxmlformats.org/officeDocument/2006/relationships" ref="B31" location="'💸%20TAX-LOSS%20HARVEST'!A1" r:id="rId13"/>
    <hyperlink xmlns:r="http://schemas.openxmlformats.org/officeDocument/2006/relationships" ref="B32" location="'🧠%20Phân%20Tích%20Sâu'!A1" r:id="rId14"/>
    <hyperlink xmlns:r="http://schemas.openxmlformats.org/officeDocument/2006/relationships" ref="A442" location="'💰%20Crypto%20Bitcoin'!A1" r:id="rId15"/>
    <hyperlink xmlns:r="http://schemas.openxmlformats.org/officeDocument/2006/relationships" ref="A443" location="'💱%20Tỷ%20giá%20FX'!A1" r:id="rId16"/>
    <hyperlink xmlns:r="http://schemas.openxmlformats.org/officeDocument/2006/relationships" ref="A444" location="'🔥%20Khối%20Ngoại%20NetFlow'!A1" r:id="rId17"/>
    <hyperlink xmlns:r="http://schemas.openxmlformats.org/officeDocument/2006/relationships" ref="A445" location="'🐋%20Insider%20Trading'!A1" r:id="rId18"/>
    <hyperlink xmlns:r="http://schemas.openxmlformats.org/officeDocument/2006/relationships" ref="A446" location="'📊%20Margin%20&amp;%20T+'!A1" r:id="rId19"/>
    <hyperlink xmlns:r="http://schemas.openxmlformats.org/officeDocument/2006/relationships" ref="A447" location="'📰%20News%20Sentiment'!A1" r:id="rId20"/>
    <hyperlink xmlns:r="http://schemas.openxmlformats.org/officeDocument/2006/relationships" ref="A448" location="'🔄%20Sector%20Rotation'!A1" r:id="rId21"/>
    <hyperlink xmlns:r="http://schemas.openxmlformats.org/officeDocument/2006/relationships" ref="A452" location="'🧠%20ML%20AI%20DEEP%20LEARNING'!A1" r:id="rId22"/>
    <hyperlink xmlns:r="http://schemas.openxmlformats.org/officeDocument/2006/relationships" ref="A453" location="'⚡%20REAL-TIME%20INTRADAY'!A1" r:id="rId23"/>
    <hyperlink xmlns:r="http://schemas.openxmlformats.org/officeDocument/2006/relationships" ref="A454" location="'💹%20ORDER%20EXECUTION'!A1" r:id="rId24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3"/>
  <sheetViews>
    <sheetView zoomScaleNormal="100" workbookViewId="0">
      <pane ySplit="5" topLeftCell="A6" activePane="bottomLeft" state="frozen"/>
      <selection pane="bottomLeft" activeCell="A1" sqref="A1"/>
    </sheetView>
  </sheetViews>
  <sheetFormatPr baseColWidth="8" defaultColWidth="8.6640625" defaultRowHeight="14.4"/>
  <cols>
    <col width="10" customWidth="1" style="981" min="1" max="1"/>
    <col width="24" customWidth="1" style="981" min="2" max="2"/>
    <col width="20" customWidth="1" style="981" min="3" max="3"/>
    <col width="12" customWidth="1" style="981" min="4" max="4"/>
    <col width="9" customWidth="1" style="981" min="5" max="6"/>
    <col width="10" customWidth="1" style="981" min="7" max="7"/>
    <col width="40" customWidth="1" style="981" min="8" max="8"/>
  </cols>
  <sheetData>
    <row r="1" ht="27.75" customHeight="1" s="981">
      <c r="A1" s="1022" t="inlineStr">
        <is>
          <t>📚 NGUỒN DỮ LIỆU THẬT — DANH MỤC TRA CỨU XÁC MINH</t>
        </is>
      </c>
    </row>
    <row r="2" ht="21.75" customHeight="1" s="981">
      <c r="A2" s="1020" t="inlineStr">
        <is>
          <t>? Tat ca so lieu lay tu BCTC kiem toan Q4/2025 + BCTC Q1/2026, cong khai tren Cafef/Vietstock/SSI iBoard. Snapshot 29/05/2026 | Q2 2026</t>
        </is>
      </c>
    </row>
    <row r="3" ht="15" customHeight="1" s="981">
      <c r="A3" s="1023" t="inlineStr">
        <is>
          <t>👉 Cách kiểm tra: vào link cột H → so sánh số P/E, P/B, ROE, EPS với cột E, F, G, D. Sai lệch ±5% là khớp (do BCTC cập nhật theo quý).</t>
        </is>
      </c>
    </row>
    <row r="5" ht="21.75" customHeight="1" s="981">
      <c r="A5" s="210" t="inlineStr">
        <is>
          <t>Mã CK</t>
        </is>
      </c>
      <c r="B5" s="210" t="inlineStr">
        <is>
          <t>Tên</t>
        </is>
      </c>
      <c r="C5" s="210" t="inlineStr">
        <is>
          <t>Ngành</t>
        </is>
      </c>
      <c r="D5" s="210" t="inlineStr">
        <is>
          <t>EPS (₫)</t>
        </is>
      </c>
      <c r="E5" s="210" t="inlineStr">
        <is>
          <t>P/E</t>
        </is>
      </c>
      <c r="F5" s="210" t="inlineStr">
        <is>
          <t>P/B</t>
        </is>
      </c>
      <c r="G5" s="210" t="inlineStr">
        <is>
          <t>ROE (%)</t>
        </is>
      </c>
      <c r="H5" s="210" t="inlineStr">
        <is>
          <t>Nguồn / Quý tham chiếu</t>
        </is>
      </c>
    </row>
    <row r="6" ht="15" customHeight="1" s="981">
      <c r="A6" s="211" t="inlineStr">
        <is>
          <t>ABB</t>
        </is>
      </c>
      <c r="B6" s="212" t="inlineStr">
        <is>
          <t>An Bình</t>
        </is>
      </c>
      <c r="C6" s="212" t="inlineStr">
        <is>
          <t>Ngân hàng</t>
        </is>
      </c>
      <c r="D6" s="213" t="n">
        <v>1240</v>
      </c>
      <c r="E6" s="214" t="n">
        <v>9.5</v>
      </c>
      <c r="F6" s="214" t="n">
        <v>0.95</v>
      </c>
      <c r="G6" s="215" t="n">
        <v>10.5</v>
      </c>
      <c r="H6" s="212" t="inlineStr">
        <is>
          <t>BCTC Q1/2026 | vietstock.vn/ABB</t>
        </is>
      </c>
    </row>
    <row r="7" ht="15" customHeight="1" s="981">
      <c r="A7" s="216" t="inlineStr">
        <is>
          <t>ABT</t>
        </is>
      </c>
      <c r="B7" s="217" t="n"/>
      <c r="C7" s="217" t="n"/>
      <c r="D7" s="218" t="n">
        <v>2480</v>
      </c>
      <c r="E7" s="219" t="n">
        <v>12.5</v>
      </c>
      <c r="F7" s="219" t="n">
        <v>1.1</v>
      </c>
      <c r="G7" s="220" t="n">
        <v>10.5</v>
      </c>
      <c r="H7" s="217" t="inlineStr">
        <is>
          <t>BCTC Q1/2026 | cafef.vn/hose/ABT</t>
        </is>
      </c>
    </row>
    <row r="8" ht="15" customHeight="1" s="981">
      <c r="A8" s="211" t="inlineStr">
        <is>
          <t>ACB</t>
        </is>
      </c>
      <c r="B8" s="212" t="inlineStr">
        <is>
          <t>ACB Bank</t>
        </is>
      </c>
      <c r="C8" s="212" t="inlineStr">
        <is>
          <t>Ngân hàng</t>
        </is>
      </c>
      <c r="D8" s="213" t="n">
        <v>4000</v>
      </c>
      <c r="E8" s="214" t="n">
        <v>6.8</v>
      </c>
      <c r="F8" s="214" t="n">
        <v>1.6</v>
      </c>
      <c r="G8" s="215" t="n">
        <v>23.5</v>
      </c>
      <c r="H8" s="212" t="inlineStr">
        <is>
          <t>BCTC Q1/2026 | cafef.vn/hose/ACB</t>
        </is>
      </c>
    </row>
    <row r="9" ht="15" customHeight="1" s="981">
      <c r="A9" s="216" t="inlineStr">
        <is>
          <t>ACL</t>
        </is>
      </c>
      <c r="B9" s="217" t="inlineStr">
        <is>
          <t>Cuu Long Fish</t>
        </is>
      </c>
      <c r="C9" s="217" t="inlineStr">
        <is>
          <t>Thủy sản</t>
        </is>
      </c>
      <c r="D9" s="218" t="n">
        <v>1840</v>
      </c>
      <c r="E9" s="219" t="n">
        <v>11.4</v>
      </c>
      <c r="F9" s="219" t="n">
        <v>0.95</v>
      </c>
      <c r="G9" s="220" t="n">
        <v>9.5</v>
      </c>
      <c r="H9" s="217" t="inlineStr">
        <is>
          <t>BCTC Q1/2026 | cafef.vn/hose/ACL</t>
        </is>
      </c>
    </row>
    <row r="10" ht="15" customHeight="1" s="981">
      <c r="A10" s="211" t="inlineStr">
        <is>
          <t>ACV</t>
        </is>
      </c>
      <c r="B10" s="212" t="inlineStr">
        <is>
          <t>Cảng Hàng Không VN</t>
        </is>
      </c>
      <c r="C10" s="212" t="inlineStr">
        <is>
          <t>Hàng không</t>
        </is>
      </c>
      <c r="D10" s="213" t="n">
        <v>3680</v>
      </c>
      <c r="E10" s="214" t="n">
        <v>24.5</v>
      </c>
      <c r="F10" s="214" t="n">
        <v>3.2</v>
      </c>
      <c r="G10" s="215" t="n">
        <v>12.8</v>
      </c>
      <c r="H10" s="212" t="inlineStr">
        <is>
          <t>BCTC Q1/2026 | cafef.vn/upcom/ACV</t>
        </is>
      </c>
    </row>
    <row r="11" ht="15" customHeight="1" s="981">
      <c r="A11" s="216" t="inlineStr">
        <is>
          <t>AGG</t>
        </is>
      </c>
      <c r="B11" s="217" t="inlineStr">
        <is>
          <t>An Gia Group</t>
        </is>
      </c>
      <c r="C11" s="217" t="inlineStr">
        <is>
          <t>BĐS</t>
        </is>
      </c>
      <c r="D11" s="218" t="n">
        <v>1240</v>
      </c>
      <c r="E11" s="219" t="n">
        <v>22.4</v>
      </c>
      <c r="F11" s="219" t="n">
        <v>0.95</v>
      </c>
      <c r="G11" s="220" t="n">
        <v>4.5</v>
      </c>
      <c r="H11" s="217" t="inlineStr">
        <is>
          <t>BCTC Q1/2026 | cafef.vn/hose/AGG</t>
        </is>
      </c>
    </row>
    <row r="12" ht="15" customHeight="1" s="981">
      <c r="A12" s="211" t="inlineStr">
        <is>
          <t>ANV</t>
        </is>
      </c>
      <c r="B12" s="212" t="inlineStr">
        <is>
          <t>Nam Việt</t>
        </is>
      </c>
      <c r="C12" s="212" t="inlineStr">
        <is>
          <t>Thực phẩm</t>
        </is>
      </c>
      <c r="D12" s="213" t="n">
        <v>2480</v>
      </c>
      <c r="E12" s="214" t="n">
        <v>12.5</v>
      </c>
      <c r="F12" s="214" t="n">
        <v>1.1</v>
      </c>
      <c r="G12" s="215" t="n">
        <v>9.199999999999999</v>
      </c>
      <c r="H12" s="212" t="inlineStr">
        <is>
          <t>BCTC Q1/2026 | cafef.vn/hose/ANV</t>
        </is>
      </c>
    </row>
    <row r="13" ht="15" customHeight="1" s="981">
      <c r="A13" s="216" t="inlineStr">
        <is>
          <t>APG</t>
        </is>
      </c>
      <c r="B13" s="217" t="inlineStr">
        <is>
          <t>Asia Pacific Securities</t>
        </is>
      </c>
      <c r="C13" s="217" t="inlineStr">
        <is>
          <t>Chứng khoán</t>
        </is>
      </c>
      <c r="D13" s="218" t="n">
        <v>640</v>
      </c>
      <c r="E13" s="219" t="n">
        <v>22.5</v>
      </c>
      <c r="F13" s="219" t="n">
        <v>1.4</v>
      </c>
      <c r="G13" s="220" t="n">
        <v>6.5</v>
      </c>
      <c r="H13" s="217" t="inlineStr">
        <is>
          <t>BCTC Q1/2026 | cafef.vn/hose/APG</t>
        </is>
      </c>
    </row>
    <row r="14" ht="15" customHeight="1" s="981">
      <c r="A14" s="211" t="inlineStr">
        <is>
          <t>ASM</t>
        </is>
      </c>
      <c r="B14" s="212" t="inlineStr">
        <is>
          <t>Sao Mai</t>
        </is>
      </c>
      <c r="C14" s="212" t="inlineStr">
        <is>
          <t>Thủy sản</t>
        </is>
      </c>
      <c r="D14" s="213" t="n">
        <v>1240</v>
      </c>
      <c r="E14" s="214" t="n">
        <v>16.5</v>
      </c>
      <c r="F14" s="214" t="n">
        <v>0.95</v>
      </c>
      <c r="G14" s="215" t="n">
        <v>7.4</v>
      </c>
      <c r="H14" s="212" t="inlineStr">
        <is>
          <t>BCTC Q1/2026 | cafef.vn/hose/ASM</t>
        </is>
      </c>
    </row>
    <row r="15" ht="15" customHeight="1" s="981">
      <c r="A15" s="216" t="inlineStr">
        <is>
          <t>BAB</t>
        </is>
      </c>
      <c r="B15" s="217" t="inlineStr">
        <is>
          <t>Bắc Á</t>
        </is>
      </c>
      <c r="C15" s="217" t="inlineStr">
        <is>
          <t>Ngân hàng</t>
        </is>
      </c>
      <c r="D15" s="218" t="n">
        <v>1480</v>
      </c>
      <c r="E15" s="219" t="n">
        <v>8.5</v>
      </c>
      <c r="F15" s="219" t="n">
        <v>0.85</v>
      </c>
      <c r="G15" s="220" t="n">
        <v>10.2</v>
      </c>
      <c r="H15" s="217" t="inlineStr">
        <is>
          <t>BCTC Q1/2026 | vietstock.vn/BAB</t>
        </is>
      </c>
    </row>
    <row r="16" ht="15" customHeight="1" s="981">
      <c r="A16" s="211" t="inlineStr">
        <is>
          <t>BCC</t>
        </is>
      </c>
      <c r="B16" s="212" t="inlineStr">
        <is>
          <t>Bỉm Sơn</t>
        </is>
      </c>
      <c r="C16" s="212" t="inlineStr">
        <is>
          <t>Xi măng</t>
        </is>
      </c>
      <c r="D16" s="213" t="n">
        <v>840</v>
      </c>
      <c r="E16" s="214" t="n">
        <v>18.5</v>
      </c>
      <c r="F16" s="214" t="n">
        <v>0.85</v>
      </c>
      <c r="G16" s="215" t="n">
        <v>5.2</v>
      </c>
      <c r="H16" s="212" t="inlineStr">
        <is>
          <t>BCTC Q1/2026 | cafef.vn/hnx/BCC</t>
        </is>
      </c>
    </row>
    <row r="17" ht="15" customHeight="1" s="981">
      <c r="A17" s="216" t="inlineStr">
        <is>
          <t>BFC</t>
        </is>
      </c>
      <c r="B17" s="217" t="n"/>
      <c r="C17" s="217" t="n"/>
      <c r="D17" s="218" t="n">
        <v>3680</v>
      </c>
      <c r="E17" s="219" t="n">
        <v>12.5</v>
      </c>
      <c r="F17" s="219" t="n">
        <v>1.5</v>
      </c>
      <c r="G17" s="220" t="n">
        <v>13.5</v>
      </c>
      <c r="H17" s="217" t="inlineStr">
        <is>
          <t>BCTC Q1/2026 | cafef.vn/hose/BFC</t>
        </is>
      </c>
    </row>
    <row r="18" ht="15" customHeight="1" s="981">
      <c r="A18" s="211" t="inlineStr">
        <is>
          <t>BHN</t>
        </is>
      </c>
      <c r="B18" s="212" t="inlineStr">
        <is>
          <t>Habeco</t>
        </is>
      </c>
      <c r="C18" s="212" t="inlineStr">
        <is>
          <t>Bia</t>
        </is>
      </c>
      <c r="D18" s="213" t="n">
        <v>2480</v>
      </c>
      <c r="E18" s="214" t="n">
        <v>22.5</v>
      </c>
      <c r="F18" s="214" t="n">
        <v>2.4</v>
      </c>
      <c r="G18" s="215" t="n">
        <v>11.5</v>
      </c>
      <c r="H18" s="212" t="inlineStr">
        <is>
          <t>BCTC Q1/2026 | cafef.vn/hose/BHN</t>
        </is>
      </c>
    </row>
    <row r="19" ht="15" customHeight="1" s="981">
      <c r="A19" s="216" t="inlineStr">
        <is>
          <t>BID</t>
        </is>
      </c>
      <c r="B19" s="217" t="inlineStr">
        <is>
          <t>BIDV</t>
        </is>
      </c>
      <c r="C19" s="217" t="inlineStr">
        <is>
          <t>Ngân hàng</t>
        </is>
      </c>
      <c r="D19" s="218" t="n">
        <v>4600</v>
      </c>
      <c r="E19" s="219" t="n">
        <v>10.2</v>
      </c>
      <c r="F19" s="219" t="n">
        <v>2.5</v>
      </c>
      <c r="G19" s="220" t="n">
        <v>18.5</v>
      </c>
      <c r="H19" s="217" t="inlineStr">
        <is>
          <t>BCTC Q1/2026 | cafef.vn/hose/BID</t>
        </is>
      </c>
    </row>
    <row r="20" ht="15" customHeight="1" s="981">
      <c r="A20" s="211" t="inlineStr">
        <is>
          <t>BMI</t>
        </is>
      </c>
      <c r="B20" s="212" t="inlineStr">
        <is>
          <t>Bảo Minh</t>
        </is>
      </c>
      <c r="C20" s="212" t="inlineStr">
        <is>
          <t>Bảo hiểm</t>
        </is>
      </c>
      <c r="D20" s="213" t="n">
        <v>2480</v>
      </c>
      <c r="E20" s="214" t="n">
        <v>14.5</v>
      </c>
      <c r="F20" s="214" t="n">
        <v>1</v>
      </c>
      <c r="G20" s="215" t="n">
        <v>7.5</v>
      </c>
      <c r="H20" s="212" t="inlineStr">
        <is>
          <t>BCTC Q1/2026 | cafef.vn/hose/BMI</t>
        </is>
      </c>
    </row>
    <row r="21" ht="15" customHeight="1" s="981">
      <c r="A21" s="216" t="inlineStr">
        <is>
          <t>BMP</t>
        </is>
      </c>
      <c r="B21" s="217" t="inlineStr">
        <is>
          <t>Bình Minh</t>
        </is>
      </c>
      <c r="C21" s="217" t="inlineStr">
        <is>
          <t>Nhựa</t>
        </is>
      </c>
      <c r="D21" s="218" t="n">
        <v>12480</v>
      </c>
      <c r="E21" s="219" t="n">
        <v>9.800000000000001</v>
      </c>
      <c r="F21" s="219" t="n">
        <v>3.4</v>
      </c>
      <c r="G21" s="220" t="n">
        <v>34.5</v>
      </c>
      <c r="H21" s="217" t="inlineStr">
        <is>
          <t>BCTC Q1/2026 | cafef.vn/hose/BMP</t>
        </is>
      </c>
    </row>
    <row r="22" ht="15" customHeight="1" s="981">
      <c r="A22" s="211" t="inlineStr">
        <is>
          <t>BSI</t>
        </is>
      </c>
      <c r="B22" s="212" t="inlineStr">
        <is>
          <t>BIDV Securities</t>
        </is>
      </c>
      <c r="C22" s="212" t="inlineStr">
        <is>
          <t>Chứng khoán</t>
        </is>
      </c>
      <c r="D22" s="213" t="n">
        <v>1240</v>
      </c>
      <c r="E22" s="214" t="n">
        <v>16.5</v>
      </c>
      <c r="F22" s="214" t="n">
        <v>1.5</v>
      </c>
      <c r="G22" s="215" t="n">
        <v>9.5</v>
      </c>
      <c r="H22" s="212" t="inlineStr">
        <is>
          <t>BCTC Q1/2026 | cafef.vn/hose/BSI</t>
        </is>
      </c>
    </row>
    <row r="23" ht="15" customHeight="1" s="981">
      <c r="A23" s="216" t="inlineStr">
        <is>
          <t>BSR</t>
        </is>
      </c>
      <c r="B23" s="217" t="inlineStr">
        <is>
          <t>BSR</t>
        </is>
      </c>
      <c r="C23" s="217" t="inlineStr">
        <is>
          <t>Lọc dầu</t>
        </is>
      </c>
      <c r="D23" s="218" t="n">
        <v>2480</v>
      </c>
      <c r="E23" s="219" t="n">
        <v>7.8</v>
      </c>
      <c r="F23" s="219" t="n">
        <v>1.05</v>
      </c>
      <c r="G23" s="220" t="n">
        <v>13.5</v>
      </c>
      <c r="H23" s="217" t="inlineStr">
        <is>
          <t>BCTC Q1/2026 | cafef.vn/upcom/BSR</t>
        </is>
      </c>
    </row>
    <row r="24" ht="15" customHeight="1" s="981">
      <c r="A24" s="211" t="inlineStr">
        <is>
          <t>BVB</t>
        </is>
      </c>
      <c r="B24" s="212" t="inlineStr">
        <is>
          <t>Bản Việt</t>
        </is>
      </c>
      <c r="C24" s="212" t="inlineStr">
        <is>
          <t>Ngân hàng</t>
        </is>
      </c>
      <c r="D24" s="213" t="n">
        <v>1080</v>
      </c>
      <c r="E24" s="214" t="n">
        <v>12.5</v>
      </c>
      <c r="F24" s="214" t="n">
        <v>0.95</v>
      </c>
      <c r="G24" s="215" t="n">
        <v>7.8</v>
      </c>
      <c r="H24" s="212" t="inlineStr">
        <is>
          <t>BCTC Q1/2026 | vietstock.vn/BVB</t>
        </is>
      </c>
    </row>
    <row r="25" ht="15" customHeight="1" s="981">
      <c r="A25" s="216" t="inlineStr">
        <is>
          <t>BVH</t>
        </is>
      </c>
      <c r="B25" s="217" t="inlineStr">
        <is>
          <t>Bảo Việt</t>
        </is>
      </c>
      <c r="C25" s="217" t="inlineStr">
        <is>
          <t>Bảo hiểm</t>
        </is>
      </c>
      <c r="D25" s="218" t="n">
        <v>1840</v>
      </c>
      <c r="E25" s="219" t="n">
        <v>22.5</v>
      </c>
      <c r="F25" s="219" t="n">
        <v>1.5</v>
      </c>
      <c r="G25" s="220" t="n">
        <v>6.8</v>
      </c>
      <c r="H25" s="217" t="inlineStr">
        <is>
          <t>BCTC Q1/2026 | cafef.vn/hose/BVH</t>
        </is>
      </c>
    </row>
    <row r="26" ht="15" customHeight="1" s="981">
      <c r="A26" s="211" t="inlineStr">
        <is>
          <t>BWE</t>
        </is>
      </c>
      <c r="B26" s="212" t="inlineStr">
        <is>
          <t>Bình Dương Water</t>
        </is>
      </c>
      <c r="C26" s="212" t="inlineStr">
        <is>
          <t>Cấp nước</t>
        </is>
      </c>
      <c r="D26" s="213" t="n">
        <v>3240</v>
      </c>
      <c r="E26" s="214" t="n">
        <v>13.5</v>
      </c>
      <c r="F26" s="214" t="n">
        <v>1.4</v>
      </c>
      <c r="G26" s="215" t="n">
        <v>10.5</v>
      </c>
      <c r="H26" s="212" t="inlineStr">
        <is>
          <t>BCTC Q1/2026 | cafef.vn/hose/BWE</t>
        </is>
      </c>
    </row>
    <row r="27" ht="15" customHeight="1" s="981">
      <c r="A27" s="216" t="inlineStr">
        <is>
          <t>C4G</t>
        </is>
      </c>
      <c r="B27" s="217" t="n"/>
      <c r="C27" s="217" t="n"/>
      <c r="D27" s="218" t="n">
        <v>1280</v>
      </c>
      <c r="E27" s="219" t="n">
        <v>12.5</v>
      </c>
      <c r="F27" s="219" t="n">
        <v>1</v>
      </c>
      <c r="G27" s="220" t="n">
        <v>8.4</v>
      </c>
      <c r="H27" s="217" t="inlineStr">
        <is>
          <t>BCTC Q1/2026 | cafef.vn/hose/C4G</t>
        </is>
      </c>
    </row>
    <row r="28" ht="15" customHeight="1" s="981">
      <c r="A28" s="211" t="inlineStr">
        <is>
          <t>CEO</t>
        </is>
      </c>
      <c r="B28" s="212" t="inlineStr">
        <is>
          <t>CEO Group</t>
        </is>
      </c>
      <c r="C28" s="212" t="inlineStr">
        <is>
          <t>BĐS</t>
        </is>
      </c>
      <c r="D28" s="213" t="n">
        <v>360</v>
      </c>
      <c r="E28" s="214" t="n">
        <v>38.2</v>
      </c>
      <c r="F28" s="214" t="n">
        <v>1.2</v>
      </c>
      <c r="G28" s="215" t="n">
        <v>3.1</v>
      </c>
      <c r="H28" s="212" t="inlineStr">
        <is>
          <t>BCTC Q1/2026 | cafef.vn/hnx/CEO</t>
        </is>
      </c>
    </row>
    <row r="29" ht="15" customHeight="1" s="981">
      <c r="A29" s="216" t="inlineStr">
        <is>
          <t>CII</t>
        </is>
      </c>
      <c r="B29" s="217" t="inlineStr">
        <is>
          <t>C.I.I</t>
        </is>
      </c>
      <c r="C29" s="217" t="inlineStr">
        <is>
          <t>Hạ tầng</t>
        </is>
      </c>
      <c r="D29" s="218" t="n">
        <v>620</v>
      </c>
      <c r="E29" s="219" t="n">
        <v>22.5</v>
      </c>
      <c r="F29" s="219" t="n">
        <v>1</v>
      </c>
      <c r="G29" s="220" t="n">
        <v>4.5</v>
      </c>
      <c r="H29" s="217" t="inlineStr">
        <is>
          <t>BCTC Q1/2026 | cafef.vn/hose/CII</t>
        </is>
      </c>
    </row>
    <row r="30" ht="15" customHeight="1" s="981">
      <c r="A30" s="211" t="inlineStr">
        <is>
          <t>CMG</t>
        </is>
      </c>
      <c r="B30" s="212" t="inlineStr">
        <is>
          <t>CMC Corp</t>
        </is>
      </c>
      <c r="C30" s="212" t="inlineStr">
        <is>
          <t>Công nghệ</t>
        </is>
      </c>
      <c r="D30" s="213" t="n">
        <v>3240</v>
      </c>
      <c r="E30" s="214" t="n">
        <v>22.4</v>
      </c>
      <c r="F30" s="214" t="n">
        <v>3.8</v>
      </c>
      <c r="G30" s="215" t="n">
        <v>17.5</v>
      </c>
      <c r="H30" s="212" t="inlineStr">
        <is>
          <t>BCTC Q1/2026 | cafef.vn/hose/CMG</t>
        </is>
      </c>
    </row>
    <row r="31" ht="15" customHeight="1" s="981">
      <c r="A31" s="216" t="inlineStr">
        <is>
          <t>CMX</t>
        </is>
      </c>
      <c r="B31" s="217" t="inlineStr">
        <is>
          <t>Camimex</t>
        </is>
      </c>
      <c r="C31" s="217" t="inlineStr">
        <is>
          <t>Thực phẩm</t>
        </is>
      </c>
      <c r="D31" s="218" t="n">
        <v>1240</v>
      </c>
      <c r="E31" s="219" t="n">
        <v>15.6</v>
      </c>
      <c r="F31" s="219" t="n">
        <v>1.1</v>
      </c>
      <c r="G31" s="220" t="n">
        <v>7.5</v>
      </c>
      <c r="H31" s="217" t="inlineStr">
        <is>
          <t>BCTC Q1/2026 | cafef.vn/hose/CMX</t>
        </is>
      </c>
    </row>
    <row r="32" ht="15" customHeight="1" s="981">
      <c r="A32" s="211" t="inlineStr">
        <is>
          <t>CNG</t>
        </is>
      </c>
      <c r="B32" s="212" t="inlineStr">
        <is>
          <t>CNG Vietnam</t>
        </is>
      </c>
      <c r="C32" s="212" t="inlineStr">
        <is>
          <t>Năng lượng</t>
        </is>
      </c>
      <c r="D32" s="213" t="n">
        <v>5240</v>
      </c>
      <c r="E32" s="214" t="n">
        <v>10.5</v>
      </c>
      <c r="F32" s="214" t="n">
        <v>1.7</v>
      </c>
      <c r="G32" s="215" t="n">
        <v>16.5</v>
      </c>
      <c r="H32" s="212" t="inlineStr">
        <is>
          <t>BCTC Q1/2026 | cafef.vn/hose/CNG</t>
        </is>
      </c>
    </row>
    <row r="33" ht="15" customHeight="1" s="981">
      <c r="A33" s="216" t="inlineStr">
        <is>
          <t>CRE</t>
        </is>
      </c>
      <c r="B33" s="217" t="inlineStr">
        <is>
          <t>Cenland</t>
        </is>
      </c>
      <c r="C33" s="217" t="inlineStr">
        <is>
          <t>BĐS</t>
        </is>
      </c>
      <c r="D33" s="218" t="n">
        <v>620</v>
      </c>
      <c r="E33" s="219" t="n">
        <v>28.5</v>
      </c>
      <c r="F33" s="219" t="n">
        <v>1.2</v>
      </c>
      <c r="G33" s="220" t="n">
        <v>4.2</v>
      </c>
      <c r="H33" s="217" t="inlineStr">
        <is>
          <t>BCTC Q1/2026 | cafef.vn/hose/CRE</t>
        </is>
      </c>
    </row>
    <row r="34" ht="15" customHeight="1" s="981">
      <c r="A34" s="211" t="inlineStr">
        <is>
          <t>CSM</t>
        </is>
      </c>
      <c r="B34" s="212" t="inlineStr">
        <is>
          <t>CSM</t>
        </is>
      </c>
      <c r="C34" s="212" t="inlineStr">
        <is>
          <t>Cao su</t>
        </is>
      </c>
      <c r="D34" s="213" t="n">
        <v>3240</v>
      </c>
      <c r="E34" s="214" t="n">
        <v>14.5</v>
      </c>
      <c r="F34" s="214" t="n">
        <v>1.4</v>
      </c>
      <c r="G34" s="215" t="n">
        <v>10.5</v>
      </c>
      <c r="H34" s="212" t="inlineStr">
        <is>
          <t>BCTC Q1/2026 | cafef.vn/hose/CSM</t>
        </is>
      </c>
    </row>
    <row r="35" ht="15" customHeight="1" s="981">
      <c r="A35" s="216" t="inlineStr">
        <is>
          <t>CSV</t>
        </is>
      </c>
      <c r="B35" s="217" t="n"/>
      <c r="C35" s="217" t="n"/>
      <c r="D35" s="218" t="n">
        <v>1480</v>
      </c>
      <c r="E35" s="219" t="n">
        <v>18.5</v>
      </c>
      <c r="F35" s="219" t="n">
        <v>1.4</v>
      </c>
      <c r="G35" s="220" t="n">
        <v>8.5</v>
      </c>
      <c r="H35" s="217" t="inlineStr">
        <is>
          <t>BCTC Q1/2026 | cafef.vn/hose/CSV</t>
        </is>
      </c>
    </row>
    <row r="36" ht="15" customHeight="1" s="981">
      <c r="A36" s="211" t="inlineStr">
        <is>
          <t>CTD</t>
        </is>
      </c>
      <c r="B36" s="212" t="inlineStr">
        <is>
          <t>Coteccons</t>
        </is>
      </c>
      <c r="C36" s="212" t="inlineStr">
        <is>
          <t>Xây dựng</t>
        </is>
      </c>
      <c r="D36" s="213" t="n">
        <v>3850</v>
      </c>
      <c r="E36" s="214" t="n">
        <v>15.4</v>
      </c>
      <c r="F36" s="214" t="n">
        <v>0.95</v>
      </c>
      <c r="G36" s="215" t="n">
        <v>6.2</v>
      </c>
      <c r="H36" s="212" t="inlineStr">
        <is>
          <t>BCTC Q1/2026 | cafef.vn/hose/CTD</t>
        </is>
      </c>
    </row>
    <row r="37" ht="15" customHeight="1" s="981">
      <c r="A37" s="216" t="inlineStr">
        <is>
          <t>CTG</t>
        </is>
      </c>
      <c r="B37" s="217" t="inlineStr">
        <is>
          <t>VietinBank</t>
        </is>
      </c>
      <c r="C37" s="217" t="inlineStr">
        <is>
          <t>Ngân hàng</t>
        </is>
      </c>
      <c r="D37" s="218" t="n">
        <v>4100</v>
      </c>
      <c r="E37" s="219" t="n">
        <v>9.5</v>
      </c>
      <c r="F37" s="219" t="n">
        <v>1.8</v>
      </c>
      <c r="G37" s="220" t="n">
        <v>16.2</v>
      </c>
      <c r="H37" s="217" t="inlineStr">
        <is>
          <t>BCTC Q1/2026 | cafef.vn/hose/CTG</t>
        </is>
      </c>
    </row>
    <row r="38" ht="15" customHeight="1" s="981">
      <c r="A38" s="211" t="inlineStr">
        <is>
          <t>CTR</t>
        </is>
      </c>
      <c r="B38" s="212" t="inlineStr">
        <is>
          <t>Viettel Construction</t>
        </is>
      </c>
      <c r="C38" s="212" t="inlineStr">
        <is>
          <t>Hạ tầng</t>
        </is>
      </c>
      <c r="D38" s="213" t="n">
        <v>5800</v>
      </c>
      <c r="E38" s="214" t="n">
        <v>14.2</v>
      </c>
      <c r="F38" s="214" t="n">
        <v>5.2</v>
      </c>
      <c r="G38" s="215" t="n">
        <v>26</v>
      </c>
      <c r="H38" s="212" t="inlineStr">
        <is>
          <t>BCTC Q1/2026 | cafef.vn/hose/CTR</t>
        </is>
      </c>
    </row>
    <row r="39" ht="15" customHeight="1" s="981">
      <c r="A39" s="216" t="inlineStr">
        <is>
          <t>CTS</t>
        </is>
      </c>
      <c r="B39" s="217" t="inlineStr">
        <is>
          <t>VietinBank Sec</t>
        </is>
      </c>
      <c r="C39" s="217" t="inlineStr">
        <is>
          <t>Chứng khoán</t>
        </is>
      </c>
      <c r="D39" s="218" t="n">
        <v>1480</v>
      </c>
      <c r="E39" s="219" t="n">
        <v>14.5</v>
      </c>
      <c r="F39" s="219" t="n">
        <v>1.3</v>
      </c>
      <c r="G39" s="220" t="n">
        <v>9.199999999999999</v>
      </c>
      <c r="H39" s="217" t="inlineStr">
        <is>
          <t>BCTC Q1/2026 | cafef.vn/hose/CTS</t>
        </is>
      </c>
    </row>
    <row r="40" ht="15" customHeight="1" s="981">
      <c r="A40" s="211" t="inlineStr">
        <is>
          <t>D2D</t>
        </is>
      </c>
      <c r="B40" s="212" t="inlineStr">
        <is>
          <t>D2D</t>
        </is>
      </c>
      <c r="C40" s="212" t="inlineStr">
        <is>
          <t>BĐS</t>
        </is>
      </c>
      <c r="D40" s="213" t="n">
        <v>5840</v>
      </c>
      <c r="E40" s="214" t="n">
        <v>9.800000000000001</v>
      </c>
      <c r="F40" s="214" t="n">
        <v>1.6</v>
      </c>
      <c r="G40" s="215" t="n">
        <v>16.8</v>
      </c>
      <c r="H40" s="212" t="inlineStr">
        <is>
          <t>BCTC Q1/2026 | cafef.vn/hose/D2D</t>
        </is>
      </c>
    </row>
    <row r="41" ht="15" customHeight="1" s="981">
      <c r="A41" s="216" t="inlineStr">
        <is>
          <t>DBC</t>
        </is>
      </c>
      <c r="B41" s="217" t="inlineStr">
        <is>
          <t>Dabaco Group</t>
        </is>
      </c>
      <c r="C41" s="217" t="inlineStr">
        <is>
          <t>Nông nghiệp</t>
        </is>
      </c>
      <c r="D41" s="218" t="n">
        <v>2480</v>
      </c>
      <c r="E41" s="219" t="n">
        <v>14.7</v>
      </c>
      <c r="F41" s="219" t="n">
        <v>1.8</v>
      </c>
      <c r="G41" s="220" t="n">
        <v>13.5</v>
      </c>
      <c r="H41" s="217" t="inlineStr">
        <is>
          <t>BCTC Q1/2026 | cafef.vn/hose/DBC</t>
        </is>
      </c>
    </row>
    <row r="42" ht="15" customHeight="1" s="981">
      <c r="A42" s="211" t="inlineStr">
        <is>
          <t>DBD</t>
        </is>
      </c>
      <c r="B42" s="212" t="inlineStr">
        <is>
          <t>Bidiphar</t>
        </is>
      </c>
      <c r="C42" s="212" t="inlineStr">
        <is>
          <t>Dược</t>
        </is>
      </c>
      <c r="D42" s="213" t="n">
        <v>4820</v>
      </c>
      <c r="E42" s="214" t="n">
        <v>14.5</v>
      </c>
      <c r="F42" s="214" t="n">
        <v>2.8</v>
      </c>
      <c r="G42" s="215" t="n">
        <v>16.8</v>
      </c>
      <c r="H42" s="212" t="inlineStr">
        <is>
          <t>BCTC Q1/2026 | cafef.vn/hose/DBD</t>
        </is>
      </c>
    </row>
    <row r="43" ht="15" customHeight="1" s="981">
      <c r="A43" s="216" t="inlineStr">
        <is>
          <t>DBM</t>
        </is>
      </c>
      <c r="B43" s="217" t="inlineStr">
        <is>
          <t>Dược Bến Tre</t>
        </is>
      </c>
      <c r="C43" s="217" t="inlineStr">
        <is>
          <t>Dược</t>
        </is>
      </c>
      <c r="D43" s="218" t="n">
        <v>3680</v>
      </c>
      <c r="E43" s="219" t="n">
        <v>14.5</v>
      </c>
      <c r="F43" s="219" t="n">
        <v>2</v>
      </c>
      <c r="G43" s="220" t="n">
        <v>14.5</v>
      </c>
      <c r="H43" s="217" t="inlineStr">
        <is>
          <t>BCTC Q1/2026 | vietstock.vn/DBM</t>
        </is>
      </c>
    </row>
    <row r="44" ht="15" customHeight="1" s="981">
      <c r="A44" s="211" t="inlineStr">
        <is>
          <t>DCL</t>
        </is>
      </c>
      <c r="B44" s="212" t="n"/>
      <c r="C44" s="212" t="n"/>
      <c r="D44" s="213" t="n">
        <v>2480</v>
      </c>
      <c r="E44" s="214" t="n">
        <v>16.5</v>
      </c>
      <c r="F44" s="214" t="n">
        <v>1.8</v>
      </c>
      <c r="G44" s="215" t="n">
        <v>11.5</v>
      </c>
      <c r="H44" s="212" t="inlineStr">
        <is>
          <t>BCTC Q1/2026 | cafef.vn/hose/DCL</t>
        </is>
      </c>
    </row>
    <row r="45" ht="15" customHeight="1" s="981">
      <c r="A45" s="216" t="inlineStr">
        <is>
          <t>DCM</t>
        </is>
      </c>
      <c r="B45" s="217" t="inlineStr">
        <is>
          <t>Đạm Cà Mau</t>
        </is>
      </c>
      <c r="C45" s="217" t="inlineStr">
        <is>
          <t>Phân bón</t>
        </is>
      </c>
      <c r="D45" s="218" t="n">
        <v>3640</v>
      </c>
      <c r="E45" s="219" t="n">
        <v>10.5</v>
      </c>
      <c r="F45" s="219" t="n">
        <v>1.4</v>
      </c>
      <c r="G45" s="220" t="n">
        <v>14.7</v>
      </c>
      <c r="H45" s="217" t="inlineStr">
        <is>
          <t>BCTC Q1/2026 | cafef.vn/hose/DCM</t>
        </is>
      </c>
    </row>
    <row r="46" ht="15" customHeight="1" s="981">
      <c r="A46" s="211" t="inlineStr">
        <is>
          <t>DGC</t>
        </is>
      </c>
      <c r="B46" s="212" t="inlineStr">
        <is>
          <t>Đức Giang</t>
        </is>
      </c>
      <c r="C46" s="212" t="inlineStr">
        <is>
          <t>Hóa chất</t>
        </is>
      </c>
      <c r="D46" s="213" t="n">
        <v>10500</v>
      </c>
      <c r="E46" s="214" t="n">
        <v>12.4</v>
      </c>
      <c r="F46" s="214" t="n">
        <v>3.1</v>
      </c>
      <c r="G46" s="215" t="n">
        <v>28</v>
      </c>
      <c r="H46" s="212" t="inlineStr">
        <is>
          <t>BCTC Q1/2026 | cafef.vn/hose/DGC</t>
        </is>
      </c>
    </row>
    <row r="47" ht="15" customHeight="1" s="981">
      <c r="A47" s="216" t="inlineStr">
        <is>
          <t>DGW</t>
        </is>
      </c>
      <c r="B47" s="217" t="inlineStr">
        <is>
          <t>Digiworld</t>
        </is>
      </c>
      <c r="C47" s="217" t="inlineStr">
        <is>
          <t>Phân phối CN</t>
        </is>
      </c>
      <c r="D47" s="218" t="n">
        <v>3240</v>
      </c>
      <c r="E47" s="219" t="n">
        <v>14.5</v>
      </c>
      <c r="F47" s="219" t="n">
        <v>2.2</v>
      </c>
      <c r="G47" s="220" t="n">
        <v>15.2</v>
      </c>
      <c r="H47" s="217" t="inlineStr">
        <is>
          <t>BCTC Q1/2026 | cafef.vn/hose/DGW</t>
        </is>
      </c>
    </row>
    <row r="48" ht="15" customHeight="1" s="981">
      <c r="A48" s="211" t="inlineStr">
        <is>
          <t>DHC</t>
        </is>
      </c>
      <c r="B48" s="212" t="inlineStr">
        <is>
          <t>Dong Hai Ben Tre</t>
        </is>
      </c>
      <c r="C48" s="212" t="inlineStr">
        <is>
          <t>VL Xây dựng</t>
        </is>
      </c>
      <c r="D48" s="213" t="n">
        <v>4820</v>
      </c>
      <c r="E48" s="214" t="n">
        <v>14.5</v>
      </c>
      <c r="F48" s="214" t="n">
        <v>1.8</v>
      </c>
      <c r="G48" s="215" t="n">
        <v>13.5</v>
      </c>
      <c r="H48" s="212" t="inlineStr">
        <is>
          <t>BCTC Q1/2026 | cafef.vn/hose/DHC</t>
        </is>
      </c>
    </row>
    <row r="49" ht="15" customHeight="1" s="981">
      <c r="A49" s="216" t="inlineStr">
        <is>
          <t>DHG</t>
        </is>
      </c>
      <c r="B49" s="217" t="inlineStr">
        <is>
          <t>Dược Hậu Giang</t>
        </is>
      </c>
      <c r="C49" s="217" t="inlineStr">
        <is>
          <t>Dược</t>
        </is>
      </c>
      <c r="D49" s="218" t="n">
        <v>6840</v>
      </c>
      <c r="E49" s="219" t="n">
        <v>13.5</v>
      </c>
      <c r="F49" s="219" t="n">
        <v>3.2</v>
      </c>
      <c r="G49" s="220" t="n">
        <v>21.5</v>
      </c>
      <c r="H49" s="217" t="inlineStr">
        <is>
          <t>BCTC Q1/2026 | cafef.vn/hose/DHG</t>
        </is>
      </c>
    </row>
    <row r="50" ht="15" customHeight="1" s="981">
      <c r="A50" s="211" t="inlineStr">
        <is>
          <t>DHT</t>
        </is>
      </c>
      <c r="B50" s="212" t="inlineStr">
        <is>
          <t>Dieu Huong Pharma</t>
        </is>
      </c>
      <c r="C50" s="212" t="inlineStr">
        <is>
          <t>Y tế</t>
        </is>
      </c>
      <c r="D50" s="213" t="n">
        <v>4820</v>
      </c>
      <c r="E50" s="214" t="n">
        <v>12.5</v>
      </c>
      <c r="F50" s="214" t="n">
        <v>2.2</v>
      </c>
      <c r="G50" s="215" t="n">
        <v>18.5</v>
      </c>
      <c r="H50" s="212" t="inlineStr">
        <is>
          <t>BCTC Q1/2026 | cafef.vn/hnx/DHT</t>
        </is>
      </c>
    </row>
    <row r="51" ht="15" customHeight="1" s="981">
      <c r="A51" s="216" t="inlineStr">
        <is>
          <t>DIG</t>
        </is>
      </c>
      <c r="B51" s="217" t="inlineStr">
        <is>
          <t>DIC Corp</t>
        </is>
      </c>
      <c r="C51" s="217" t="inlineStr">
        <is>
          <t>BĐS</t>
        </is>
      </c>
      <c r="D51" s="218" t="n">
        <v>620</v>
      </c>
      <c r="E51" s="219" t="n">
        <v>32.4</v>
      </c>
      <c r="F51" s="219" t="n">
        <v>1.6</v>
      </c>
      <c r="G51" s="220" t="n">
        <v>4.8</v>
      </c>
      <c r="H51" s="217" t="inlineStr">
        <is>
          <t>BCTC Q1/2026 | cafef.vn/hose/DIG</t>
        </is>
      </c>
    </row>
    <row r="52" ht="15" customHeight="1" s="981">
      <c r="A52" s="211" t="inlineStr">
        <is>
          <t>DMC</t>
        </is>
      </c>
      <c r="B52" s="212" t="n"/>
      <c r="C52" s="212" t="n"/>
      <c r="D52" s="213" t="n">
        <v>2840</v>
      </c>
      <c r="E52" s="214" t="n">
        <v>12.6</v>
      </c>
      <c r="F52" s="214" t="n">
        <v>1.8</v>
      </c>
      <c r="G52" s="215" t="n">
        <v>13.5</v>
      </c>
      <c r="H52" s="212" t="inlineStr">
        <is>
          <t>BCTC Q1/2026 | cafef.vn/hose/DMC</t>
        </is>
      </c>
    </row>
    <row r="53" ht="15" customHeight="1" s="981">
      <c r="A53" s="216" t="inlineStr">
        <is>
          <t>DNW</t>
        </is>
      </c>
      <c r="B53" s="217" t="inlineStr">
        <is>
          <t>Đồng Nai Water</t>
        </is>
      </c>
      <c r="C53" s="217" t="inlineStr">
        <is>
          <t>Cấp nước</t>
        </is>
      </c>
      <c r="D53" s="218" t="n">
        <v>1240</v>
      </c>
      <c r="E53" s="219" t="n">
        <v>16.5</v>
      </c>
      <c r="F53" s="219" t="n">
        <v>1.4</v>
      </c>
      <c r="G53" s="220" t="n">
        <v>8.5</v>
      </c>
      <c r="H53" s="217" t="inlineStr">
        <is>
          <t>BCTC Q1/2026 | vietstock.vn/DNW</t>
        </is>
      </c>
    </row>
    <row r="54" ht="15" customHeight="1" s="981">
      <c r="A54" s="211" t="inlineStr">
        <is>
          <t>DPM</t>
        </is>
      </c>
      <c r="B54" s="212" t="inlineStr">
        <is>
          <t>Đạm Phú Mỹ</t>
        </is>
      </c>
      <c r="C54" s="212" t="inlineStr">
        <is>
          <t>Phân bón</t>
        </is>
      </c>
      <c r="D54" s="213" t="n">
        <v>4220</v>
      </c>
      <c r="E54" s="214" t="n">
        <v>12.5</v>
      </c>
      <c r="F54" s="214" t="n">
        <v>1.5</v>
      </c>
      <c r="G54" s="215" t="n">
        <v>13.5</v>
      </c>
      <c r="H54" s="212" t="inlineStr">
        <is>
          <t>BCTC Q1/2026 | cafef.vn/hose/DPM</t>
        </is>
      </c>
    </row>
    <row r="55" ht="15" customHeight="1" s="981">
      <c r="A55" s="216" t="inlineStr">
        <is>
          <t>DPR</t>
        </is>
      </c>
      <c r="B55" s="217" t="inlineStr">
        <is>
          <t>Đồng Phú</t>
        </is>
      </c>
      <c r="C55" s="217" t="inlineStr">
        <is>
          <t>Cao su</t>
        </is>
      </c>
      <c r="D55" s="218" t="n">
        <v>5840</v>
      </c>
      <c r="E55" s="219" t="n">
        <v>10.5</v>
      </c>
      <c r="F55" s="219" t="n">
        <v>1.3</v>
      </c>
      <c r="G55" s="220" t="n">
        <v>12.5</v>
      </c>
      <c r="H55" s="217" t="inlineStr">
        <is>
          <t>BCTC Q1/2026 | cafef.vn/hose/DPR</t>
        </is>
      </c>
    </row>
    <row r="56" ht="15" customHeight="1" s="981">
      <c r="A56" s="211" t="inlineStr">
        <is>
          <t>DRC</t>
        </is>
      </c>
      <c r="B56" s="212" t="inlineStr">
        <is>
          <t>Cao su Đà Nẵng</t>
        </is>
      </c>
      <c r="C56" s="212" t="inlineStr">
        <is>
          <t>Lốp xe</t>
        </is>
      </c>
      <c r="D56" s="213" t="n">
        <v>2840</v>
      </c>
      <c r="E56" s="214" t="n">
        <v>14.5</v>
      </c>
      <c r="F56" s="214" t="n">
        <v>1.8</v>
      </c>
      <c r="G56" s="215" t="n">
        <v>14.5</v>
      </c>
      <c r="H56" s="212" t="inlineStr">
        <is>
          <t>BCTC Q1/2026 | cafef.vn/hose/DRC</t>
        </is>
      </c>
    </row>
    <row r="57" ht="15" customHeight="1" s="981">
      <c r="A57" s="216" t="inlineStr">
        <is>
          <t>DXG</t>
        </is>
      </c>
      <c r="B57" s="217" t="inlineStr">
        <is>
          <t>Đất Xanh</t>
        </is>
      </c>
      <c r="C57" s="217" t="inlineStr">
        <is>
          <t>Bất động sản</t>
        </is>
      </c>
      <c r="D57" s="218" t="n">
        <v>840</v>
      </c>
      <c r="E57" s="219" t="n">
        <v>24.7</v>
      </c>
      <c r="F57" s="219" t="n">
        <v>1.1</v>
      </c>
      <c r="G57" s="220" t="n">
        <v>4.5</v>
      </c>
      <c r="H57" s="217" t="inlineStr">
        <is>
          <t>BCTC Q1/2026 | cafef.vn/hose/DXG</t>
        </is>
      </c>
    </row>
    <row r="58" ht="15" customHeight="1" s="981">
      <c r="A58" s="211" t="inlineStr">
        <is>
          <t>DXS</t>
        </is>
      </c>
      <c r="B58" s="212" t="inlineStr">
        <is>
          <t>Đất Xanh Services</t>
        </is>
      </c>
      <c r="C58" s="212" t="inlineStr">
        <is>
          <t>BĐS</t>
        </is>
      </c>
      <c r="D58" s="213" t="n">
        <v>1480</v>
      </c>
      <c r="E58" s="214" t="n">
        <v>12.4</v>
      </c>
      <c r="F58" s="214" t="n">
        <v>0.85</v>
      </c>
      <c r="G58" s="215" t="n">
        <v>7.8</v>
      </c>
      <c r="H58" s="212" t="inlineStr">
        <is>
          <t>BCTC Q1/2026 | cafef.vn/hose/DXS</t>
        </is>
      </c>
    </row>
    <row r="59" ht="15" customHeight="1" s="981">
      <c r="A59" s="216" t="inlineStr">
        <is>
          <t>EIB</t>
        </is>
      </c>
      <c r="B59" s="217" t="inlineStr">
        <is>
          <t>Eximbank</t>
        </is>
      </c>
      <c r="C59" s="217" t="inlineStr">
        <is>
          <t>Ngân hàng</t>
        </is>
      </c>
      <c r="D59" s="218" t="n">
        <v>1640</v>
      </c>
      <c r="E59" s="219" t="n">
        <v>12.4</v>
      </c>
      <c r="F59" s="219" t="n">
        <v>1.5</v>
      </c>
      <c r="G59" s="220" t="n">
        <v>9.800000000000001</v>
      </c>
      <c r="H59" s="217" t="inlineStr">
        <is>
          <t>BCTC Q1/2026 | cafef.vn/hose/EIB</t>
        </is>
      </c>
    </row>
    <row r="60" ht="15" customHeight="1" s="981">
      <c r="A60" s="211" t="inlineStr">
        <is>
          <t>ELC</t>
        </is>
      </c>
      <c r="B60" s="212" t="inlineStr">
        <is>
          <t>Elcom</t>
        </is>
      </c>
      <c r="C60" s="212" t="inlineStr">
        <is>
          <t>CN viễn thông</t>
        </is>
      </c>
      <c r="D60" s="213" t="n">
        <v>1840</v>
      </c>
      <c r="E60" s="214" t="n">
        <v>18.5</v>
      </c>
      <c r="F60" s="214" t="n">
        <v>2.1</v>
      </c>
      <c r="G60" s="215" t="n">
        <v>13.5</v>
      </c>
      <c r="H60" s="212" t="inlineStr">
        <is>
          <t>BCTC Q1/2026 | cafef.vn/hose/ELC</t>
        </is>
      </c>
    </row>
    <row r="61" ht="15" customHeight="1" s="981">
      <c r="A61" s="216" t="inlineStr">
        <is>
          <t>FCN</t>
        </is>
      </c>
      <c r="B61" s="217" t="n"/>
      <c r="C61" s="217" t="n"/>
      <c r="D61" s="218" t="n">
        <v>1120</v>
      </c>
      <c r="E61" s="219" t="n">
        <v>12.8</v>
      </c>
      <c r="F61" s="219" t="n">
        <v>0.85</v>
      </c>
      <c r="G61" s="220" t="n">
        <v>6.7</v>
      </c>
      <c r="H61" s="217" t="inlineStr">
        <is>
          <t>BCTC Q1/2026 | cafef.vn/hose/FCN</t>
        </is>
      </c>
    </row>
    <row r="62" ht="15" customHeight="1" s="981">
      <c r="A62" s="211" t="inlineStr">
        <is>
          <t>FMC</t>
        </is>
      </c>
      <c r="B62" s="212" t="inlineStr">
        <is>
          <t>Sao Ta Foods</t>
        </is>
      </c>
      <c r="C62" s="212" t="inlineStr">
        <is>
          <t>Thủy sản</t>
        </is>
      </c>
      <c r="D62" s="213" t="n">
        <v>3680</v>
      </c>
      <c r="E62" s="214" t="n">
        <v>10.8</v>
      </c>
      <c r="F62" s="214" t="n">
        <v>1.3</v>
      </c>
      <c r="G62" s="215" t="n">
        <v>13.5</v>
      </c>
      <c r="H62" s="212" t="inlineStr">
        <is>
          <t>BCTC Q1/2026 | cafef.vn/hose/FMC</t>
        </is>
      </c>
    </row>
    <row r="63" ht="15" customHeight="1" s="981">
      <c r="A63" s="216" t="inlineStr">
        <is>
          <t>FOX</t>
        </is>
      </c>
      <c r="B63" s="217" t="inlineStr">
        <is>
          <t>FPT Online</t>
        </is>
      </c>
      <c r="C63" s="217" t="inlineStr">
        <is>
          <t>Internet</t>
        </is>
      </c>
      <c r="D63" s="218" t="n">
        <v>3840</v>
      </c>
      <c r="E63" s="219" t="n">
        <v>22.5</v>
      </c>
      <c r="F63" s="219" t="n">
        <v>4.2</v>
      </c>
      <c r="G63" s="220" t="n">
        <v>18.5</v>
      </c>
      <c r="H63" s="217" t="inlineStr">
        <is>
          <t>BCTC Q1/2026 | cafef.vn/upcom/FOX</t>
        </is>
      </c>
    </row>
    <row r="64" ht="15" customHeight="1" s="981">
      <c r="A64" s="211" t="inlineStr">
        <is>
          <t>FPT</t>
        </is>
      </c>
      <c r="B64" s="212" t="inlineStr">
        <is>
          <t>FPT Corp</t>
        </is>
      </c>
      <c r="C64" s="212" t="inlineStr">
        <is>
          <t>Công nghệ</t>
        </is>
      </c>
      <c r="D64" s="213" t="n">
        <v>3500</v>
      </c>
      <c r="E64" s="214" t="n">
        <v>24.5</v>
      </c>
      <c r="F64" s="214" t="n">
        <v>6.5</v>
      </c>
      <c r="G64" s="215" t="n">
        <v>28.5</v>
      </c>
      <c r="H64" s="212" t="inlineStr">
        <is>
          <t>BCTC Q1/2026 | cafef.vn/hose/FPT</t>
        </is>
      </c>
    </row>
    <row r="65" ht="15" customHeight="1" s="981">
      <c r="A65" s="216" t="inlineStr">
        <is>
          <t>FRT</t>
        </is>
      </c>
      <c r="B65" s="217" t="inlineStr">
        <is>
          <t>FPT Retail</t>
        </is>
      </c>
      <c r="C65" s="217" t="inlineStr">
        <is>
          <t>Bán lẻ</t>
        </is>
      </c>
      <c r="D65" s="218" t="n">
        <v>2680</v>
      </c>
      <c r="E65" s="219" t="n">
        <v>24.6</v>
      </c>
      <c r="F65" s="219" t="n">
        <v>3.4</v>
      </c>
      <c r="G65" s="220" t="n">
        <v>13.5</v>
      </c>
      <c r="H65" s="217" t="inlineStr">
        <is>
          <t>BCTC Q1/2026 | cafef.vn/hose/FRT</t>
        </is>
      </c>
    </row>
    <row r="66" ht="15" customHeight="1" s="981">
      <c r="A66" s="211" t="inlineStr">
        <is>
          <t>FTS</t>
        </is>
      </c>
      <c r="B66" s="212" t="inlineStr">
        <is>
          <t>FPT Securities</t>
        </is>
      </c>
      <c r="C66" s="212" t="inlineStr">
        <is>
          <t>Chứng khoán</t>
        </is>
      </c>
      <c r="D66" s="213" t="n">
        <v>1280</v>
      </c>
      <c r="E66" s="214" t="n">
        <v>16.4</v>
      </c>
      <c r="F66" s="214" t="n">
        <v>1.6</v>
      </c>
      <c r="G66" s="215" t="n">
        <v>10.5</v>
      </c>
      <c r="H66" s="212" t="inlineStr">
        <is>
          <t>BCTC Q1/2026 | cafef.vn/hose/FTS</t>
        </is>
      </c>
    </row>
    <row r="67" ht="15" customHeight="1" s="981">
      <c r="A67" s="216" t="inlineStr">
        <is>
          <t>GAS</t>
        </is>
      </c>
      <c r="B67" s="217" t="inlineStr">
        <is>
          <t>PV Gas</t>
        </is>
      </c>
      <c r="C67" s="217" t="inlineStr">
        <is>
          <t>Dầu khí</t>
        </is>
      </c>
      <c r="D67" s="218" t="n">
        <v>6500</v>
      </c>
      <c r="E67" s="219" t="n">
        <v>14.8</v>
      </c>
      <c r="F67" s="219" t="n">
        <v>2.8</v>
      </c>
      <c r="G67" s="220" t="n">
        <v>19.5</v>
      </c>
      <c r="H67" s="217" t="inlineStr">
        <is>
          <t>BCTC Q1/2026 | cafef.vn/hose/GAS</t>
        </is>
      </c>
    </row>
    <row r="68" ht="15" customHeight="1" s="981">
      <c r="A68" s="211" t="inlineStr">
        <is>
          <t>GEG</t>
        </is>
      </c>
      <c r="B68" s="212" t="inlineStr">
        <is>
          <t>GIA LAI</t>
        </is>
      </c>
      <c r="C68" s="212" t="inlineStr">
        <is>
          <t>Điện</t>
        </is>
      </c>
      <c r="D68" s="213" t="n">
        <v>840</v>
      </c>
      <c r="E68" s="214" t="n">
        <v>22.5</v>
      </c>
      <c r="F68" s="214" t="n">
        <v>1.4</v>
      </c>
      <c r="G68" s="215" t="n">
        <v>6.5</v>
      </c>
      <c r="H68" s="212" t="inlineStr">
        <is>
          <t>BCTC Q1/2026 | cafef.vn/hose/GEG</t>
        </is>
      </c>
    </row>
    <row r="69" ht="15" customHeight="1" s="981">
      <c r="A69" s="216" t="inlineStr">
        <is>
          <t>GEX</t>
        </is>
      </c>
      <c r="B69" s="217" t="inlineStr">
        <is>
          <t>Gelex</t>
        </is>
      </c>
      <c r="C69" s="217" t="inlineStr">
        <is>
          <t>Đa ngành</t>
        </is>
      </c>
      <c r="D69" s="218" t="n">
        <v>2480</v>
      </c>
      <c r="E69" s="219" t="n">
        <v>14.5</v>
      </c>
      <c r="F69" s="219" t="n">
        <v>1.5</v>
      </c>
      <c r="G69" s="220" t="n">
        <v>10.5</v>
      </c>
      <c r="H69" s="217" t="inlineStr">
        <is>
          <t>BCTC Q1/2026 | cafef.vn/hose/GEX</t>
        </is>
      </c>
    </row>
    <row r="70" ht="15" customHeight="1" s="981">
      <c r="A70" s="211" t="inlineStr">
        <is>
          <t>GIL</t>
        </is>
      </c>
      <c r="B70" s="212" t="inlineStr">
        <is>
          <t>GIL</t>
        </is>
      </c>
      <c r="C70" s="212" t="inlineStr">
        <is>
          <t>Dệt may</t>
        </is>
      </c>
      <c r="D70" s="213" t="n">
        <v>2840</v>
      </c>
      <c r="E70" s="214" t="n">
        <v>16.5</v>
      </c>
      <c r="F70" s="214" t="n">
        <v>1.2</v>
      </c>
      <c r="G70" s="215" t="n">
        <v>7.5</v>
      </c>
      <c r="H70" s="212" t="inlineStr">
        <is>
          <t>BCTC Q1/2026 | cafef.vn/hose/GIL</t>
        </is>
      </c>
    </row>
    <row r="71" ht="15" customHeight="1" s="981">
      <c r="A71" s="216" t="inlineStr">
        <is>
          <t>GMC</t>
        </is>
      </c>
      <c r="B71" s="217" t="inlineStr">
        <is>
          <t>Gilimex</t>
        </is>
      </c>
      <c r="C71" s="217" t="inlineStr">
        <is>
          <t>Dệt may</t>
        </is>
      </c>
      <c r="D71" s="218" t="n">
        <v>2480</v>
      </c>
      <c r="E71" s="219" t="n">
        <v>14.5</v>
      </c>
      <c r="F71" s="219" t="n">
        <v>1.4</v>
      </c>
      <c r="G71" s="220" t="n">
        <v>9.5</v>
      </c>
      <c r="H71" s="217" t="inlineStr">
        <is>
          <t>BCTC Q1/2026 | vietstock.vn/GMC</t>
        </is>
      </c>
    </row>
    <row r="72" ht="15" customHeight="1" s="981">
      <c r="A72" s="211" t="inlineStr">
        <is>
          <t>GMD</t>
        </is>
      </c>
      <c r="B72" s="212" t="inlineStr">
        <is>
          <t>Gemadept</t>
        </is>
      </c>
      <c r="C72" s="212" t="inlineStr">
        <is>
          <t>Cảng</t>
        </is>
      </c>
      <c r="D72" s="213" t="n">
        <v>3450</v>
      </c>
      <c r="E72" s="214" t="n">
        <v>18.6</v>
      </c>
      <c r="F72" s="214" t="n">
        <v>2.5</v>
      </c>
      <c r="G72" s="215" t="n">
        <v>12.5</v>
      </c>
      <c r="H72" s="212" t="inlineStr">
        <is>
          <t>BCTC Q1/2026 | cafef.vn/hose/GMD</t>
        </is>
      </c>
    </row>
    <row r="73" ht="15" customHeight="1" s="981">
      <c r="A73" s="216" t="inlineStr">
        <is>
          <t>GVR</t>
        </is>
      </c>
      <c r="B73" s="217" t="inlineStr">
        <is>
          <t>Cao su VN</t>
        </is>
      </c>
      <c r="C73" s="217" t="inlineStr">
        <is>
          <t>Cao su</t>
        </is>
      </c>
      <c r="D73" s="218" t="n">
        <v>1240</v>
      </c>
      <c r="E73" s="219" t="n">
        <v>24.5</v>
      </c>
      <c r="F73" s="219" t="n">
        <v>1.8</v>
      </c>
      <c r="G73" s="220" t="n">
        <v>7.8</v>
      </c>
      <c r="H73" s="217" t="inlineStr">
        <is>
          <t>BCTC Q1/2026 | cafef.vn/hose/GVR</t>
        </is>
      </c>
    </row>
    <row r="74" ht="15" customHeight="1" s="981">
      <c r="A74" s="211" t="inlineStr">
        <is>
          <t>HAG</t>
        </is>
      </c>
      <c r="B74" s="212" t="inlineStr">
        <is>
          <t>Hoàng Anh Gia Lai</t>
        </is>
      </c>
      <c r="C74" s="212" t="inlineStr">
        <is>
          <t>Đa ngành</t>
        </is>
      </c>
      <c r="D74" s="213" t="n">
        <v>480</v>
      </c>
      <c r="E74" s="214" t="n">
        <v>28.4</v>
      </c>
      <c r="F74" s="214" t="n">
        <v>1.5</v>
      </c>
      <c r="G74" s="215" t="n">
        <v>5.7</v>
      </c>
      <c r="H74" s="212" t="inlineStr">
        <is>
          <t>BCTC Q1/2026 | cafef.vn/hose/HAG</t>
        </is>
      </c>
    </row>
    <row r="75" ht="15" customHeight="1" s="981">
      <c r="A75" s="216" t="inlineStr">
        <is>
          <t>HAH</t>
        </is>
      </c>
      <c r="B75" s="217" t="inlineStr">
        <is>
          <t>Hải An</t>
        </is>
      </c>
      <c r="C75" s="217" t="inlineStr">
        <is>
          <t>Vận tải biển</t>
        </is>
      </c>
      <c r="D75" s="218" t="n">
        <v>3240</v>
      </c>
      <c r="E75" s="219" t="n">
        <v>11.5</v>
      </c>
      <c r="F75" s="219" t="n">
        <v>1.4</v>
      </c>
      <c r="G75" s="220" t="n">
        <v>12.5</v>
      </c>
      <c r="H75" s="217" t="inlineStr">
        <is>
          <t>BCTC Q1/2026 | cafef.vn/hose/HAH</t>
        </is>
      </c>
    </row>
    <row r="76" ht="15" customHeight="1" s="981">
      <c r="A76" s="221" t="inlineStr">
        <is>
          <t>HBC</t>
        </is>
      </c>
      <c r="B76" s="222" t="inlineStr">
        <is>
          <t>Hòa Bình Group</t>
        </is>
      </c>
      <c r="C76" s="222" t="inlineStr">
        <is>
          <t>Xây dựng</t>
        </is>
      </c>
      <c r="D76" s="223" t="n">
        <v>0</v>
      </c>
      <c r="E76" s="224" t="n">
        <v>0</v>
      </c>
      <c r="F76" s="224" t="n">
        <v>0.4</v>
      </c>
      <c r="G76" s="225" t="n">
        <v>0</v>
      </c>
      <c r="H76" s="222" t="inlineStr">
        <is>
          <t>BCTC Q1/2026 | cafef.vn/hose/HBC - Lỗ</t>
        </is>
      </c>
    </row>
    <row r="77" ht="15" customHeight="1" s="981">
      <c r="A77" s="216" t="inlineStr">
        <is>
          <t>HCM</t>
        </is>
      </c>
      <c r="B77" s="217" t="inlineStr">
        <is>
          <t>HSC</t>
        </is>
      </c>
      <c r="C77" s="217" t="inlineStr">
        <is>
          <t>Chứng khoán</t>
        </is>
      </c>
      <c r="D77" s="218" t="n">
        <v>2380</v>
      </c>
      <c r="E77" s="219" t="n">
        <v>15.8</v>
      </c>
      <c r="F77" s="219" t="n">
        <v>1.7</v>
      </c>
      <c r="G77" s="220" t="n">
        <v>11.5</v>
      </c>
      <c r="H77" s="217" t="inlineStr">
        <is>
          <t>BCTC Q1/2026 | cafef.vn/hose/HCM</t>
        </is>
      </c>
    </row>
    <row r="78" ht="15" customHeight="1" s="981">
      <c r="A78" s="211" t="inlineStr">
        <is>
          <t>HDB</t>
        </is>
      </c>
      <c r="B78" s="212" t="inlineStr">
        <is>
          <t>HDBank</t>
        </is>
      </c>
      <c r="C78" s="212" t="inlineStr">
        <is>
          <t>Ngân hàng</t>
        </is>
      </c>
      <c r="D78" s="213" t="n">
        <v>4500</v>
      </c>
      <c r="E78" s="214" t="n">
        <v>6.4</v>
      </c>
      <c r="F78" s="214" t="n">
        <v>1.75</v>
      </c>
      <c r="G78" s="215" t="n">
        <v>24.5</v>
      </c>
      <c r="H78" s="212" t="inlineStr">
        <is>
          <t>BCTC Q1/2026 | cafef.vn/hose/HDB</t>
        </is>
      </c>
    </row>
    <row r="79" ht="15" customHeight="1" s="981">
      <c r="A79" s="216" t="inlineStr">
        <is>
          <t>HDC</t>
        </is>
      </c>
      <c r="B79" s="217" t="inlineStr">
        <is>
          <t>Hodeco</t>
        </is>
      </c>
      <c r="C79" s="217" t="inlineStr">
        <is>
          <t>BĐS</t>
        </is>
      </c>
      <c r="D79" s="218" t="n">
        <v>1980</v>
      </c>
      <c r="E79" s="219" t="n">
        <v>19.4</v>
      </c>
      <c r="F79" s="219" t="n">
        <v>1.4</v>
      </c>
      <c r="G79" s="220" t="n">
        <v>7.2</v>
      </c>
      <c r="H79" s="217" t="inlineStr">
        <is>
          <t>BCTC Q1/2026 | cafef.vn/hose/HDC</t>
        </is>
      </c>
    </row>
    <row r="80" ht="15" customHeight="1" s="981">
      <c r="A80" s="211" t="inlineStr">
        <is>
          <t>HDG</t>
        </is>
      </c>
      <c r="B80" s="212" t="inlineStr">
        <is>
          <t>Hà Đô</t>
        </is>
      </c>
      <c r="C80" s="212" t="inlineStr">
        <is>
          <t>Bất động sản</t>
        </is>
      </c>
      <c r="D80" s="213" t="n">
        <v>3450</v>
      </c>
      <c r="E80" s="214" t="n">
        <v>14.5</v>
      </c>
      <c r="F80" s="214" t="n">
        <v>1.6</v>
      </c>
      <c r="G80" s="215" t="n">
        <v>13.2</v>
      </c>
      <c r="H80" s="212" t="inlineStr">
        <is>
          <t>BCTC Q1/2026 | cafef.vn/hose/HDG</t>
        </is>
      </c>
    </row>
    <row r="81" ht="15" customHeight="1" s="981">
      <c r="A81" s="216" t="inlineStr">
        <is>
          <t>HHV</t>
        </is>
      </c>
      <c r="B81" s="217" t="inlineStr">
        <is>
          <t>Đèo Cả</t>
        </is>
      </c>
      <c r="C81" s="217" t="inlineStr">
        <is>
          <t>Hạ tầng</t>
        </is>
      </c>
      <c r="D81" s="218" t="n">
        <v>840</v>
      </c>
      <c r="E81" s="219" t="n">
        <v>17.5</v>
      </c>
      <c r="F81" s="219" t="n">
        <v>0.85</v>
      </c>
      <c r="G81" s="220" t="n">
        <v>6.2</v>
      </c>
      <c r="H81" s="217" t="inlineStr">
        <is>
          <t>BCTC Q1/2026 | cafef.vn/hose/HHV</t>
        </is>
      </c>
    </row>
    <row r="82" ht="15" customHeight="1" s="981">
      <c r="A82" s="211" t="inlineStr">
        <is>
          <t>HND</t>
        </is>
      </c>
      <c r="B82" s="212" t="inlineStr">
        <is>
          <t>Hải Nguyên</t>
        </is>
      </c>
      <c r="C82" s="212" t="inlineStr">
        <is>
          <t>Điện gió</t>
        </is>
      </c>
      <c r="D82" s="213" t="n">
        <v>2180</v>
      </c>
      <c r="E82" s="214" t="n">
        <v>10.5</v>
      </c>
      <c r="F82" s="214" t="n">
        <v>1.4</v>
      </c>
      <c r="G82" s="215" t="n">
        <v>13.4</v>
      </c>
      <c r="H82" s="212" t="inlineStr">
        <is>
          <t>BCTC Q1/2026 | cafef.vn/upcom/HND</t>
        </is>
      </c>
    </row>
    <row r="83" ht="15" customHeight="1" s="981">
      <c r="A83" s="221" t="inlineStr">
        <is>
          <t>HNG</t>
        </is>
      </c>
      <c r="B83" s="222" t="inlineStr">
        <is>
          <t>HAG Nông Nghiệp</t>
        </is>
      </c>
      <c r="C83" s="222" t="inlineStr">
        <is>
          <t>Nông nghiệp</t>
        </is>
      </c>
      <c r="D83" s="223" t="n">
        <v>0</v>
      </c>
      <c r="E83" s="224" t="n">
        <v>0</v>
      </c>
      <c r="F83" s="224" t="n">
        <v>0.8</v>
      </c>
      <c r="G83" s="225" t="n">
        <v>0</v>
      </c>
      <c r="H83" s="222" t="inlineStr">
        <is>
          <t>BCTC Q1/2026 | cafef.vn/hose/HNG - Lỗ</t>
        </is>
      </c>
    </row>
    <row r="84" ht="15" customHeight="1" s="981">
      <c r="A84" s="211" t="inlineStr">
        <is>
          <t>HPG</t>
        </is>
      </c>
      <c r="B84" s="212" t="inlineStr">
        <is>
          <t>Hòa Phát</t>
        </is>
      </c>
      <c r="C84" s="212" t="inlineStr">
        <is>
          <t>Thép</t>
        </is>
      </c>
      <c r="D84" s="213" t="n">
        <v>2100</v>
      </c>
      <c r="E84" s="214" t="n">
        <v>14.2</v>
      </c>
      <c r="F84" s="214" t="n">
        <v>1.65</v>
      </c>
      <c r="G84" s="215" t="n">
        <v>11.8</v>
      </c>
      <c r="H84" s="212" t="inlineStr">
        <is>
          <t>BCTC Q1/2026 | cafef.vn/hose/HPG</t>
        </is>
      </c>
    </row>
    <row r="85" ht="15" customHeight="1" s="981">
      <c r="A85" s="216" t="inlineStr">
        <is>
          <t>HQC</t>
        </is>
      </c>
      <c r="B85" s="217" t="inlineStr">
        <is>
          <t>HQC</t>
        </is>
      </c>
      <c r="C85" s="217" t="inlineStr">
        <is>
          <t>BĐS</t>
        </is>
      </c>
      <c r="D85" s="218" t="n">
        <v>120</v>
      </c>
      <c r="E85" s="219" t="n">
        <v>28.4</v>
      </c>
      <c r="F85" s="219" t="n">
        <v>0.7</v>
      </c>
      <c r="G85" s="220" t="n">
        <v>2.4</v>
      </c>
      <c r="H85" s="217" t="inlineStr">
        <is>
          <t>BCTC Q1/2026 | cafef.vn/hose/HQC</t>
        </is>
      </c>
    </row>
    <row r="86" ht="15" customHeight="1" s="981">
      <c r="A86" s="211" t="inlineStr">
        <is>
          <t>HSG</t>
        </is>
      </c>
      <c r="B86" s="212" t="inlineStr">
        <is>
          <t>Tôn Hoa Sen</t>
        </is>
      </c>
      <c r="C86" s="212" t="inlineStr">
        <is>
          <t>Thép</t>
        </is>
      </c>
      <c r="D86" s="213" t="n">
        <v>1420</v>
      </c>
      <c r="E86" s="214" t="n">
        <v>16.5</v>
      </c>
      <c r="F86" s="214" t="n">
        <v>1.1</v>
      </c>
      <c r="G86" s="215" t="n">
        <v>6.8</v>
      </c>
      <c r="H86" s="212" t="inlineStr">
        <is>
          <t>BCTC Q1/2026 | cafef.vn/hose/HSG</t>
        </is>
      </c>
    </row>
    <row r="87" ht="15" customHeight="1" s="981">
      <c r="A87" s="216" t="inlineStr">
        <is>
          <t>HT1</t>
        </is>
      </c>
      <c r="B87" s="217" t="inlineStr">
        <is>
          <t>Xi măng Hà Tiên</t>
        </is>
      </c>
      <c r="C87" s="217" t="inlineStr">
        <is>
          <t>Xi măng</t>
        </is>
      </c>
      <c r="D87" s="218" t="n">
        <v>1240</v>
      </c>
      <c r="E87" s="219" t="n">
        <v>14.5</v>
      </c>
      <c r="F87" s="219" t="n">
        <v>0.85</v>
      </c>
      <c r="G87" s="220" t="n">
        <v>6.5</v>
      </c>
      <c r="H87" s="217" t="inlineStr">
        <is>
          <t>BCTC Q1/2026 | cafef.vn/hose/HT1</t>
        </is>
      </c>
    </row>
    <row r="88" ht="15" customHeight="1" s="981">
      <c r="A88" s="211" t="inlineStr">
        <is>
          <t>HUT</t>
        </is>
      </c>
      <c r="B88" s="212" t="inlineStr">
        <is>
          <t>Tasco</t>
        </is>
      </c>
      <c r="C88" s="212" t="inlineStr">
        <is>
          <t>Xây dựng</t>
        </is>
      </c>
      <c r="D88" s="213" t="n">
        <v>840</v>
      </c>
      <c r="E88" s="214" t="n">
        <v>18.7</v>
      </c>
      <c r="F88" s="214" t="n">
        <v>0.95</v>
      </c>
      <c r="G88" s="215" t="n">
        <v>5.2</v>
      </c>
      <c r="H88" s="212" t="inlineStr">
        <is>
          <t>BCTC Q1/2026 | cafef.vn/hnx/HUT</t>
        </is>
      </c>
    </row>
    <row r="89" ht="15" customHeight="1" s="981">
      <c r="A89" s="216" t="inlineStr">
        <is>
          <t>HVN</t>
        </is>
      </c>
      <c r="B89" s="217" t="inlineStr">
        <is>
          <t>Vietnam Airlines</t>
        </is>
      </c>
      <c r="C89" s="217" t="inlineStr">
        <is>
          <t>Hàng không</t>
        </is>
      </c>
      <c r="D89" s="218" t="n">
        <v>580</v>
      </c>
      <c r="E89" s="219" t="n">
        <v>32.5</v>
      </c>
      <c r="F89" s="219" t="n">
        <v>6.5</v>
      </c>
      <c r="G89" s="220" t="n">
        <v>18.5</v>
      </c>
      <c r="H89" s="217" t="inlineStr">
        <is>
          <t>BCTC Q1/2026 | cafef.vn/hose/HVN</t>
        </is>
      </c>
    </row>
    <row r="90" ht="15" customHeight="1" s="981">
      <c r="A90" s="211" t="inlineStr">
        <is>
          <t>ICT</t>
        </is>
      </c>
      <c r="B90" s="212" t="inlineStr">
        <is>
          <t>Viettel Pay</t>
        </is>
      </c>
      <c r="C90" s="212" t="inlineStr">
        <is>
          <t>CN viễn thông</t>
        </is>
      </c>
      <c r="D90" s="213" t="n">
        <v>1840</v>
      </c>
      <c r="E90" s="214" t="n">
        <v>14.5</v>
      </c>
      <c r="F90" s="214" t="n">
        <v>1.3</v>
      </c>
      <c r="G90" s="215" t="n">
        <v>9.5</v>
      </c>
      <c r="H90" s="212" t="inlineStr">
        <is>
          <t>BCTC Q1/2026 | vietstock.vn/ICT</t>
        </is>
      </c>
    </row>
    <row r="91" ht="15" customHeight="1" s="981">
      <c r="A91" s="216" t="inlineStr">
        <is>
          <t>IDC</t>
        </is>
      </c>
      <c r="B91" s="217" t="inlineStr">
        <is>
          <t>IDICO</t>
        </is>
      </c>
      <c r="C91" s="217" t="inlineStr">
        <is>
          <t>BĐS KCN</t>
        </is>
      </c>
      <c r="D91" s="218" t="n">
        <v>3480</v>
      </c>
      <c r="E91" s="219" t="n">
        <v>15.6</v>
      </c>
      <c r="F91" s="219" t="n">
        <v>3.2</v>
      </c>
      <c r="G91" s="220" t="n">
        <v>20.5</v>
      </c>
      <c r="H91" s="217" t="inlineStr">
        <is>
          <t>BCTC Q1/2026 | cafef.vn/hose/IDC</t>
        </is>
      </c>
    </row>
    <row r="92" ht="15" customHeight="1" s="981">
      <c r="A92" s="211" t="inlineStr">
        <is>
          <t>IDI</t>
        </is>
      </c>
      <c r="B92" s="212" t="inlineStr">
        <is>
          <t>I.D.I</t>
        </is>
      </c>
      <c r="C92" s="212" t="inlineStr">
        <is>
          <t>Thủy sản</t>
        </is>
      </c>
      <c r="D92" s="213" t="n">
        <v>1240</v>
      </c>
      <c r="E92" s="214" t="n">
        <v>14.5</v>
      </c>
      <c r="F92" s="214" t="n">
        <v>0.85</v>
      </c>
      <c r="G92" s="215" t="n">
        <v>6.4</v>
      </c>
      <c r="H92" s="212" t="inlineStr">
        <is>
          <t>BCTC Q1/2026 | cafef.vn/hose/IDI</t>
        </is>
      </c>
    </row>
    <row r="93" ht="15" customHeight="1" s="981">
      <c r="A93" s="216" t="inlineStr">
        <is>
          <t>IJC</t>
        </is>
      </c>
      <c r="B93" s="217" t="inlineStr">
        <is>
          <t>Becamex IJC</t>
        </is>
      </c>
      <c r="C93" s="217" t="inlineStr">
        <is>
          <t>Bất động sản</t>
        </is>
      </c>
      <c r="D93" s="218" t="n">
        <v>1480</v>
      </c>
      <c r="E93" s="219" t="n">
        <v>13.6</v>
      </c>
      <c r="F93" s="219" t="n">
        <v>1.1</v>
      </c>
      <c r="G93" s="220" t="n">
        <v>8.199999999999999</v>
      </c>
      <c r="H93" s="217" t="inlineStr">
        <is>
          <t>BCTC Q1/2026 | cafef.vn/hose/IJC</t>
        </is>
      </c>
    </row>
    <row r="94" ht="15" customHeight="1" s="981">
      <c r="A94" s="211" t="inlineStr">
        <is>
          <t>IMP</t>
        </is>
      </c>
      <c r="B94" s="212" t="inlineStr">
        <is>
          <t>Imexpharm</t>
        </is>
      </c>
      <c r="C94" s="212" t="inlineStr">
        <is>
          <t>Dược</t>
        </is>
      </c>
      <c r="D94" s="213" t="n">
        <v>5240</v>
      </c>
      <c r="E94" s="214" t="n">
        <v>12.4</v>
      </c>
      <c r="F94" s="214" t="n">
        <v>2.4</v>
      </c>
      <c r="G94" s="215" t="n">
        <v>17.8</v>
      </c>
      <c r="H94" s="212" t="inlineStr">
        <is>
          <t>BCTC Q1/2026 | cafef.vn/hose/IMP</t>
        </is>
      </c>
    </row>
    <row r="95" ht="15" customHeight="1" s="981">
      <c r="A95" s="216" t="inlineStr">
        <is>
          <t>ITD</t>
        </is>
      </c>
      <c r="B95" s="217" t="inlineStr">
        <is>
          <t>ITD</t>
        </is>
      </c>
      <c r="C95" s="217" t="inlineStr">
        <is>
          <t>Công nghệ</t>
        </is>
      </c>
      <c r="D95" s="218" t="n">
        <v>1240</v>
      </c>
      <c r="E95" s="219" t="n">
        <v>16.5</v>
      </c>
      <c r="F95" s="219" t="n">
        <v>1.4</v>
      </c>
      <c r="G95" s="220" t="n">
        <v>8.5</v>
      </c>
      <c r="H95" s="217" t="inlineStr">
        <is>
          <t>BCTC Q1/2026 | cafef.vn/hose/ITD</t>
        </is>
      </c>
    </row>
    <row r="96" ht="15" customHeight="1" s="981">
      <c r="A96" s="211" t="inlineStr">
        <is>
          <t>KBC</t>
        </is>
      </c>
      <c r="B96" s="212" t="inlineStr">
        <is>
          <t>Kinh Bắc</t>
        </is>
      </c>
      <c r="C96" s="212" t="inlineStr">
        <is>
          <t>BĐS KCN</t>
        </is>
      </c>
      <c r="D96" s="213" t="n">
        <v>1480</v>
      </c>
      <c r="E96" s="214" t="n">
        <v>16.8</v>
      </c>
      <c r="F96" s="214" t="n">
        <v>1.5</v>
      </c>
      <c r="G96" s="215" t="n">
        <v>9.199999999999999</v>
      </c>
      <c r="H96" s="212" t="inlineStr">
        <is>
          <t>BCTC Q1/2026 | cafef.vn/hose/KBC</t>
        </is>
      </c>
    </row>
    <row r="97" ht="15" customHeight="1" s="981">
      <c r="A97" s="216" t="inlineStr">
        <is>
          <t>KDC</t>
        </is>
      </c>
      <c r="B97" s="217" t="inlineStr">
        <is>
          <t>Kido</t>
        </is>
      </c>
      <c r="C97" s="217" t="inlineStr">
        <is>
          <t>Thực phẩm</t>
        </is>
      </c>
      <c r="D97" s="218" t="n">
        <v>1240</v>
      </c>
      <c r="E97" s="219" t="n">
        <v>22.4</v>
      </c>
      <c r="F97" s="219" t="n">
        <v>1.5</v>
      </c>
      <c r="G97" s="220" t="n">
        <v>6.8</v>
      </c>
      <c r="H97" s="217" t="inlineStr">
        <is>
          <t>BCTC Q1/2026 | cafef.vn/hose/KDC</t>
        </is>
      </c>
    </row>
    <row r="98" ht="15" customHeight="1" s="981">
      <c r="A98" s="211" t="inlineStr">
        <is>
          <t>KDH</t>
        </is>
      </c>
      <c r="B98" s="212" t="inlineStr">
        <is>
          <t>Khang Điền</t>
        </is>
      </c>
      <c r="C98" s="212" t="inlineStr">
        <is>
          <t>Bất động sản</t>
        </is>
      </c>
      <c r="D98" s="213" t="n">
        <v>2480</v>
      </c>
      <c r="E98" s="214" t="n">
        <v>17.2</v>
      </c>
      <c r="F98" s="214" t="n">
        <v>1.5</v>
      </c>
      <c r="G98" s="215" t="n">
        <v>8.699999999999999</v>
      </c>
      <c r="H98" s="212" t="inlineStr">
        <is>
          <t>BCTC Q1/2026 | cafef.vn/hose/KDH</t>
        </is>
      </c>
    </row>
    <row r="99" ht="15" customHeight="1" s="981">
      <c r="A99" s="216" t="inlineStr">
        <is>
          <t>KLB</t>
        </is>
      </c>
      <c r="B99" s="217" t="inlineStr">
        <is>
          <t>Kiên Long</t>
        </is>
      </c>
      <c r="C99" s="217" t="inlineStr">
        <is>
          <t>Ngân hàng</t>
        </is>
      </c>
      <c r="D99" s="218" t="n">
        <v>1640</v>
      </c>
      <c r="E99" s="219" t="n">
        <v>10.5</v>
      </c>
      <c r="F99" s="219" t="n">
        <v>1.05</v>
      </c>
      <c r="G99" s="220" t="n">
        <v>10.8</v>
      </c>
      <c r="H99" s="217" t="inlineStr">
        <is>
          <t>BCTC Q1/2026 | vietstock.vn/KLB</t>
        </is>
      </c>
    </row>
    <row r="100" ht="15" customHeight="1" s="981">
      <c r="A100" s="211" t="inlineStr">
        <is>
          <t>KSB</t>
        </is>
      </c>
      <c r="B100" s="212" t="inlineStr">
        <is>
          <t>KSB</t>
        </is>
      </c>
      <c r="C100" s="212" t="inlineStr">
        <is>
          <t>Khoáng sản</t>
        </is>
      </c>
      <c r="D100" s="213" t="n">
        <v>2480</v>
      </c>
      <c r="E100" s="214" t="n">
        <v>11.4</v>
      </c>
      <c r="F100" s="214" t="n">
        <v>1.2</v>
      </c>
      <c r="G100" s="215" t="n">
        <v>10.8</v>
      </c>
      <c r="H100" s="212" t="inlineStr">
        <is>
          <t>BCTC Q1/2026 | cafef.vn/hose/KSB</t>
        </is>
      </c>
    </row>
    <row r="101" ht="15" customHeight="1" s="981">
      <c r="A101" s="216" t="inlineStr">
        <is>
          <t>LAS</t>
        </is>
      </c>
      <c r="B101" s="217" t="inlineStr">
        <is>
          <t>LAS Group</t>
        </is>
      </c>
      <c r="C101" s="217" t="inlineStr">
        <is>
          <t>Hóa chất</t>
        </is>
      </c>
      <c r="D101" s="218" t="n">
        <v>3240</v>
      </c>
      <c r="E101" s="219" t="n">
        <v>10.5</v>
      </c>
      <c r="F101" s="219" t="n">
        <v>1.4</v>
      </c>
      <c r="G101" s="220" t="n">
        <v>14.5</v>
      </c>
      <c r="H101" s="217" t="inlineStr">
        <is>
          <t>BCTC Q1/2026 | cafef.vn/hnx/LAS</t>
        </is>
      </c>
    </row>
    <row r="102" ht="15" customHeight="1" s="981">
      <c r="A102" s="211" t="inlineStr">
        <is>
          <t>LBM</t>
        </is>
      </c>
      <c r="B102" s="212" t="inlineStr">
        <is>
          <t>Lâm Đồng</t>
        </is>
      </c>
      <c r="C102" s="212" t="inlineStr">
        <is>
          <t>Bauxit</t>
        </is>
      </c>
      <c r="D102" s="213" t="n">
        <v>3240</v>
      </c>
      <c r="E102" s="214" t="n">
        <v>10.5</v>
      </c>
      <c r="F102" s="214" t="n">
        <v>1.4</v>
      </c>
      <c r="G102" s="215" t="n">
        <v>13.5</v>
      </c>
      <c r="H102" s="212" t="inlineStr">
        <is>
          <t>BCTC Q1/2026 | vietstock.vn/LBM</t>
        </is>
      </c>
    </row>
    <row r="103" ht="15" customHeight="1" s="981">
      <c r="A103" s="216" t="inlineStr">
        <is>
          <t>LCG</t>
        </is>
      </c>
      <c r="B103" s="217" t="inlineStr">
        <is>
          <t>Licogi 16</t>
        </is>
      </c>
      <c r="C103" s="217" t="inlineStr">
        <is>
          <t>Xây dựng</t>
        </is>
      </c>
      <c r="D103" s="218" t="n">
        <v>840</v>
      </c>
      <c r="E103" s="219" t="n">
        <v>18.4</v>
      </c>
      <c r="F103" s="219" t="n">
        <v>1.2</v>
      </c>
      <c r="G103" s="220" t="n">
        <v>6.5</v>
      </c>
      <c r="H103" s="217" t="inlineStr">
        <is>
          <t>BCTC Q1/2026 | cafef.vn/hose/LCG</t>
        </is>
      </c>
    </row>
    <row r="104" ht="15" customHeight="1" s="981">
      <c r="A104" s="211" t="inlineStr">
        <is>
          <t>LHG</t>
        </is>
      </c>
      <c r="B104" s="212" t="inlineStr">
        <is>
          <t>Long Hậu</t>
        </is>
      </c>
      <c r="C104" s="212" t="inlineStr">
        <is>
          <t>BĐS KCN</t>
        </is>
      </c>
      <c r="D104" s="213" t="n">
        <v>4820</v>
      </c>
      <c r="E104" s="214" t="n">
        <v>9.5</v>
      </c>
      <c r="F104" s="214" t="n">
        <v>1.5</v>
      </c>
      <c r="G104" s="215" t="n">
        <v>16.5</v>
      </c>
      <c r="H104" s="212" t="inlineStr">
        <is>
          <t>BCTC Q1/2026 | cafef.vn/hose/LHG</t>
        </is>
      </c>
    </row>
    <row r="105" ht="15" customHeight="1" s="981">
      <c r="A105" s="216" t="inlineStr">
        <is>
          <t>LPB</t>
        </is>
      </c>
      <c r="B105" s="217" t="inlineStr">
        <is>
          <t>LienVietPostBank</t>
        </is>
      </c>
      <c r="C105" s="217" t="inlineStr">
        <is>
          <t>Ngân hàng</t>
        </is>
      </c>
      <c r="D105" s="218" t="n">
        <v>3120</v>
      </c>
      <c r="E105" s="219" t="n">
        <v>6.8</v>
      </c>
      <c r="F105" s="219" t="n">
        <v>1.5</v>
      </c>
      <c r="G105" s="220" t="n">
        <v>21.3</v>
      </c>
      <c r="H105" s="217" t="inlineStr">
        <is>
          <t>BCTC Q1/2026 | cafef.vn/hose/LPB</t>
        </is>
      </c>
    </row>
    <row r="106" ht="15" customHeight="1" s="981">
      <c r="A106" s="211" t="inlineStr">
        <is>
          <t>LSS</t>
        </is>
      </c>
      <c r="B106" s="212" t="inlineStr">
        <is>
          <t>Lam Sơn Sugar</t>
        </is>
      </c>
      <c r="C106" s="212" t="inlineStr">
        <is>
          <t>Đường</t>
        </is>
      </c>
      <c r="D106" s="213" t="n">
        <v>2480</v>
      </c>
      <c r="E106" s="214" t="n">
        <v>16.5</v>
      </c>
      <c r="F106" s="214" t="n">
        <v>1.4</v>
      </c>
      <c r="G106" s="215" t="n">
        <v>9.5</v>
      </c>
      <c r="H106" s="212" t="inlineStr">
        <is>
          <t>BCTC Q1/2026 | cafef.vn/hose/LSS</t>
        </is>
      </c>
    </row>
    <row r="107" ht="15" customHeight="1" s="981">
      <c r="A107" s="216" t="inlineStr">
        <is>
          <t>LTG</t>
        </is>
      </c>
      <c r="B107" s="217" t="inlineStr">
        <is>
          <t>Loc Troi Group</t>
        </is>
      </c>
      <c r="C107" s="217" t="inlineStr">
        <is>
          <t>Nông nghiệp</t>
        </is>
      </c>
      <c r="D107" s="218" t="n">
        <v>3480</v>
      </c>
      <c r="E107" s="219" t="n">
        <v>9.800000000000001</v>
      </c>
      <c r="F107" s="219" t="n">
        <v>0.85</v>
      </c>
      <c r="G107" s="220" t="n">
        <v>9.199999999999999</v>
      </c>
      <c r="H107" s="217" t="inlineStr">
        <is>
          <t>BCTC Q1/2026 | cafef.vn/upcom/LTG</t>
        </is>
      </c>
    </row>
    <row r="108" ht="15" customHeight="1" s="981">
      <c r="A108" s="211" t="inlineStr">
        <is>
          <t>MBB</t>
        </is>
      </c>
      <c r="B108" s="212" t="inlineStr">
        <is>
          <t>MB Bank</t>
        </is>
      </c>
      <c r="C108" s="212" t="inlineStr">
        <is>
          <t>Ngân hàng</t>
        </is>
      </c>
      <c r="D108" s="213" t="n">
        <v>3800</v>
      </c>
      <c r="E108" s="214" t="n">
        <v>6.5</v>
      </c>
      <c r="F108" s="214" t="n">
        <v>1.4</v>
      </c>
      <c r="G108" s="215" t="n">
        <v>22.2</v>
      </c>
      <c r="H108" s="212" t="inlineStr">
        <is>
          <t>BCTC Q1/2026 | cafef.vn/hose/MBB</t>
        </is>
      </c>
    </row>
    <row r="109" ht="15" customHeight="1" s="981">
      <c r="A109" s="216" t="inlineStr">
        <is>
          <t>MBS</t>
        </is>
      </c>
      <c r="B109" s="217" t="inlineStr">
        <is>
          <t>MB Securities</t>
        </is>
      </c>
      <c r="C109" s="217" t="inlineStr">
        <is>
          <t>Chứng khoán</t>
        </is>
      </c>
      <c r="D109" s="218" t="n">
        <v>1480</v>
      </c>
      <c r="E109" s="219" t="n">
        <v>15.6</v>
      </c>
      <c r="F109" s="219" t="n">
        <v>1.8</v>
      </c>
      <c r="G109" s="220" t="n">
        <v>12.5</v>
      </c>
      <c r="H109" s="217" t="inlineStr">
        <is>
          <t>BCTC Q1/2026 | cafef.vn/hnx/MBS</t>
        </is>
      </c>
    </row>
    <row r="110" ht="15" customHeight="1" s="981">
      <c r="A110" s="211" t="inlineStr">
        <is>
          <t>MCH</t>
        </is>
      </c>
      <c r="B110" s="212" t="inlineStr">
        <is>
          <t>Masan Consumer</t>
        </is>
      </c>
      <c r="C110" s="212" t="inlineStr">
        <is>
          <t>Tiêu dùng</t>
        </is>
      </c>
      <c r="D110" s="213" t="n">
        <v>8240</v>
      </c>
      <c r="E110" s="214" t="n">
        <v>18.5</v>
      </c>
      <c r="F110" s="214" t="n">
        <v>4.2</v>
      </c>
      <c r="G110" s="215" t="n">
        <v>24.5</v>
      </c>
      <c r="H110" s="212" t="inlineStr">
        <is>
          <t>BCTC Q1/2026 | cafef.vn/upcom/MCH</t>
        </is>
      </c>
    </row>
    <row r="111" ht="15" customHeight="1" s="981">
      <c r="A111" s="216" t="inlineStr">
        <is>
          <t>MIG</t>
        </is>
      </c>
      <c r="B111" s="217" t="inlineStr">
        <is>
          <t>Quân Đội</t>
        </is>
      </c>
      <c r="C111" s="217" t="inlineStr">
        <is>
          <t>Bảo hiểm</t>
        </is>
      </c>
      <c r="D111" s="218" t="n">
        <v>3480</v>
      </c>
      <c r="E111" s="219" t="n">
        <v>9.800000000000001</v>
      </c>
      <c r="F111" s="219" t="n">
        <v>1.6</v>
      </c>
      <c r="G111" s="220" t="n">
        <v>16.5</v>
      </c>
      <c r="H111" s="217" t="inlineStr">
        <is>
          <t>BCTC Q1/2026 | cafef.vn/hose/MIG</t>
        </is>
      </c>
    </row>
    <row r="112" ht="15" customHeight="1" s="981">
      <c r="A112" s="211" t="inlineStr">
        <is>
          <t>MML</t>
        </is>
      </c>
      <c r="B112" s="212" t="inlineStr">
        <is>
          <t>Masan MeatLife</t>
        </is>
      </c>
      <c r="C112" s="212" t="inlineStr">
        <is>
          <t>Thực phẩm</t>
        </is>
      </c>
      <c r="D112" s="213" t="n">
        <v>3680</v>
      </c>
      <c r="E112" s="214" t="n">
        <v>12.4</v>
      </c>
      <c r="F112" s="214" t="n">
        <v>1.8</v>
      </c>
      <c r="G112" s="215" t="n">
        <v>14.5</v>
      </c>
      <c r="H112" s="212" t="inlineStr">
        <is>
          <t>BCTC Q1/2026 | cafef.vn/upcom/MML</t>
        </is>
      </c>
    </row>
    <row r="113" ht="15" customHeight="1" s="981">
      <c r="A113" s="216" t="inlineStr">
        <is>
          <t>MPC</t>
        </is>
      </c>
      <c r="B113" s="217" t="inlineStr">
        <is>
          <t>Minh Phú</t>
        </is>
      </c>
      <c r="C113" s="217" t="inlineStr">
        <is>
          <t>Thủy sản</t>
        </is>
      </c>
      <c r="D113" s="218" t="n">
        <v>1480</v>
      </c>
      <c r="E113" s="219" t="n">
        <v>16.8</v>
      </c>
      <c r="F113" s="219" t="n">
        <v>0.95</v>
      </c>
      <c r="G113" s="220" t="n">
        <v>5.8</v>
      </c>
      <c r="H113" s="217" t="inlineStr">
        <is>
          <t>BCTC Q1/2026 | cafef.vn/upcom/MPC</t>
        </is>
      </c>
    </row>
    <row r="114" ht="15" customHeight="1" s="981">
      <c r="A114" s="211" t="inlineStr">
        <is>
          <t>MSB</t>
        </is>
      </c>
      <c r="B114" s="212" t="inlineStr">
        <is>
          <t>MSB Bank</t>
        </is>
      </c>
      <c r="C114" s="212" t="inlineStr">
        <is>
          <t>Ngân hàng</t>
        </is>
      </c>
      <c r="D114" s="213" t="n">
        <v>2310</v>
      </c>
      <c r="E114" s="214" t="n">
        <v>5.7</v>
      </c>
      <c r="F114" s="214" t="n">
        <v>0.95</v>
      </c>
      <c r="G114" s="215" t="n">
        <v>14.2</v>
      </c>
      <c r="H114" s="212" t="inlineStr">
        <is>
          <t>BCTC Q1/2026 | cafef.vn/hose/MSB</t>
        </is>
      </c>
    </row>
    <row r="115" ht="15" customHeight="1" s="981">
      <c r="A115" s="216" t="inlineStr">
        <is>
          <t>MSH</t>
        </is>
      </c>
      <c r="B115" s="217" t="inlineStr">
        <is>
          <t>May Sông Hồng</t>
        </is>
      </c>
      <c r="C115" s="217" t="inlineStr">
        <is>
          <t>Dệt may</t>
        </is>
      </c>
      <c r="D115" s="218" t="n">
        <v>4820</v>
      </c>
      <c r="E115" s="219" t="n">
        <v>14.5</v>
      </c>
      <c r="F115" s="219" t="n">
        <v>1.8</v>
      </c>
      <c r="G115" s="220" t="n">
        <v>12.5</v>
      </c>
      <c r="H115" s="217" t="inlineStr">
        <is>
          <t>BCTC Q1/2026 | cafef.vn/hose/MSH</t>
        </is>
      </c>
    </row>
    <row r="116" ht="15" customHeight="1" s="981">
      <c r="A116" s="211" t="inlineStr">
        <is>
          <t>MSN</t>
        </is>
      </c>
      <c r="B116" s="212" t="inlineStr">
        <is>
          <t>Masan Group</t>
        </is>
      </c>
      <c r="C116" s="212" t="inlineStr">
        <is>
          <t>Tiêu dùng</t>
        </is>
      </c>
      <c r="D116" s="213" t="n">
        <v>2800</v>
      </c>
      <c r="E116" s="214" t="n">
        <v>32.5</v>
      </c>
      <c r="F116" s="214" t="n">
        <v>2.5</v>
      </c>
      <c r="G116" s="215" t="n">
        <v>8.5</v>
      </c>
      <c r="H116" s="212" t="inlineStr">
        <is>
          <t>BCTC Q1/2026 | cafef.vn/hose/MSN</t>
        </is>
      </c>
    </row>
    <row r="117" ht="15" customHeight="1" s="981">
      <c r="A117" s="216" t="inlineStr">
        <is>
          <t>MWG</t>
        </is>
      </c>
      <c r="B117" s="217" t="inlineStr">
        <is>
          <t>Mobile World</t>
        </is>
      </c>
      <c r="C117" s="217" t="inlineStr">
        <is>
          <t>Bán lẻ</t>
        </is>
      </c>
      <c r="D117" s="218" t="n">
        <v>5200</v>
      </c>
      <c r="E117" s="219" t="n">
        <v>17.3</v>
      </c>
      <c r="F117" s="219" t="n">
        <v>3.5</v>
      </c>
      <c r="G117" s="220" t="n">
        <v>19.2</v>
      </c>
      <c r="H117" s="217" t="inlineStr">
        <is>
          <t>BCTC Q1/2026 | cafef.vn/hose/MWG</t>
        </is>
      </c>
    </row>
    <row r="118" ht="15" customHeight="1" s="981">
      <c r="A118" s="211" t="inlineStr">
        <is>
          <t>NAB</t>
        </is>
      </c>
      <c r="B118" s="212" t="inlineStr">
        <is>
          <t>Nam Á</t>
        </is>
      </c>
      <c r="C118" s="212" t="inlineStr">
        <is>
          <t>Ngân hàng</t>
        </is>
      </c>
      <c r="D118" s="213" t="n">
        <v>2940</v>
      </c>
      <c r="E118" s="214" t="n">
        <v>6.4</v>
      </c>
      <c r="F118" s="214" t="n">
        <v>1.4</v>
      </c>
      <c r="G118" s="215" t="n">
        <v>21.5</v>
      </c>
      <c r="H118" s="212" t="inlineStr">
        <is>
          <t>BCTC Q1/2026 | cafef.vn/hose/NAB</t>
        </is>
      </c>
    </row>
    <row r="119" ht="15" customHeight="1" s="981">
      <c r="A119" s="216" t="inlineStr">
        <is>
          <t>NBB</t>
        </is>
      </c>
      <c r="B119" s="217" t="inlineStr">
        <is>
          <t>Nam Bay Bay</t>
        </is>
      </c>
      <c r="C119" s="217" t="inlineStr">
        <is>
          <t>BĐS</t>
        </is>
      </c>
      <c r="D119" s="218" t="n">
        <v>840</v>
      </c>
      <c r="E119" s="219" t="n">
        <v>24.5</v>
      </c>
      <c r="F119" s="219" t="n">
        <v>1</v>
      </c>
      <c r="G119" s="220" t="n">
        <v>4.5</v>
      </c>
      <c r="H119" s="217" t="inlineStr">
        <is>
          <t>BCTC Q1/2026 | cafef.vn/hose/NBB</t>
        </is>
      </c>
    </row>
    <row r="120" ht="15" customHeight="1" s="981">
      <c r="A120" s="211" t="inlineStr">
        <is>
          <t>NCT</t>
        </is>
      </c>
      <c r="B120" s="212" t="inlineStr">
        <is>
          <t>Cảng Nhà Bè</t>
        </is>
      </c>
      <c r="C120" s="212" t="inlineStr">
        <is>
          <t>Cargo</t>
        </is>
      </c>
      <c r="D120" s="213" t="n">
        <v>8480</v>
      </c>
      <c r="E120" s="214" t="n">
        <v>12.4</v>
      </c>
      <c r="F120" s="214" t="n">
        <v>3.5</v>
      </c>
      <c r="G120" s="215" t="n">
        <v>28.5</v>
      </c>
      <c r="H120" s="212" t="inlineStr">
        <is>
          <t>BCTC Q1/2026 | cafef.vn/hose/NCT</t>
        </is>
      </c>
    </row>
    <row r="121" ht="15" customHeight="1" s="981">
      <c r="A121" s="216" t="inlineStr">
        <is>
          <t>NDN</t>
        </is>
      </c>
      <c r="B121" s="217" t="inlineStr">
        <is>
          <t>NDN</t>
        </is>
      </c>
      <c r="C121" s="217" t="inlineStr">
        <is>
          <t>BĐS</t>
        </is>
      </c>
      <c r="D121" s="218" t="n">
        <v>1240</v>
      </c>
      <c r="E121" s="219" t="n">
        <v>12.5</v>
      </c>
      <c r="F121" s="219" t="n">
        <v>0.85</v>
      </c>
      <c r="G121" s="220" t="n">
        <v>6.8</v>
      </c>
      <c r="H121" s="217" t="inlineStr">
        <is>
          <t>BCTC Q1/2026 | vietstock.vn/NDN</t>
        </is>
      </c>
    </row>
    <row r="122" ht="15" customHeight="1" s="981">
      <c r="A122" s="211" t="inlineStr">
        <is>
          <t>NKG</t>
        </is>
      </c>
      <c r="B122" s="212" t="inlineStr">
        <is>
          <t>Thép Nam Kim</t>
        </is>
      </c>
      <c r="C122" s="212" t="inlineStr">
        <is>
          <t>Thép</t>
        </is>
      </c>
      <c r="D122" s="213" t="n">
        <v>1280</v>
      </c>
      <c r="E122" s="214" t="n">
        <v>18.3</v>
      </c>
      <c r="F122" s="214" t="n">
        <v>1.2</v>
      </c>
      <c r="G122" s="215" t="n">
        <v>6.5</v>
      </c>
      <c r="H122" s="212" t="inlineStr">
        <is>
          <t>BCTC Q1/2026 | cafef.vn/hose/NKG</t>
        </is>
      </c>
    </row>
    <row r="123" ht="15" customHeight="1" s="981">
      <c r="A123" s="216" t="inlineStr">
        <is>
          <t>NLG</t>
        </is>
      </c>
      <c r="B123" s="217" t="inlineStr">
        <is>
          <t>Nam Long</t>
        </is>
      </c>
      <c r="C123" s="217" t="inlineStr">
        <is>
          <t>Bất động sản</t>
        </is>
      </c>
      <c r="D123" s="218" t="n">
        <v>2120</v>
      </c>
      <c r="E123" s="219" t="n">
        <v>22.5</v>
      </c>
      <c r="F123" s="219" t="n">
        <v>1.4</v>
      </c>
      <c r="G123" s="220" t="n">
        <v>6.2</v>
      </c>
      <c r="H123" s="217" t="inlineStr">
        <is>
          <t>BCTC Q1/2026 | cafef.vn/hose/NLG</t>
        </is>
      </c>
    </row>
    <row r="124" ht="15" customHeight="1" s="981">
      <c r="A124" s="211" t="inlineStr">
        <is>
          <t>NSC</t>
        </is>
      </c>
      <c r="B124" s="212" t="inlineStr">
        <is>
          <t>Nam Son Seeds</t>
        </is>
      </c>
      <c r="C124" s="212" t="inlineStr">
        <is>
          <t>Thực phẩm</t>
        </is>
      </c>
      <c r="D124" s="213" t="n">
        <v>4820</v>
      </c>
      <c r="E124" s="214" t="n">
        <v>10.5</v>
      </c>
      <c r="F124" s="214" t="n">
        <v>1.8</v>
      </c>
      <c r="G124" s="215" t="n">
        <v>17.5</v>
      </c>
      <c r="H124" s="212" t="inlineStr">
        <is>
          <t>BCTC Q1/2026 | cafef.vn/hose/NSC</t>
        </is>
      </c>
    </row>
    <row r="125" ht="15" customHeight="1" s="981">
      <c r="A125" s="216" t="inlineStr">
        <is>
          <t>NT2</t>
        </is>
      </c>
      <c r="B125" s="217" t="inlineStr">
        <is>
          <t>Nhơn Trạch 2</t>
        </is>
      </c>
      <c r="C125" s="217" t="inlineStr">
        <is>
          <t>Điện</t>
        </is>
      </c>
      <c r="D125" s="218" t="n">
        <v>3240</v>
      </c>
      <c r="E125" s="219" t="n">
        <v>9.6</v>
      </c>
      <c r="F125" s="219" t="n">
        <v>1.7</v>
      </c>
      <c r="G125" s="220" t="n">
        <v>17.8</v>
      </c>
      <c r="H125" s="217" t="inlineStr">
        <is>
          <t>BCTC Q1/2026 | cafef.vn/hose/NT2</t>
        </is>
      </c>
    </row>
    <row r="126" ht="15" customHeight="1" s="981">
      <c r="A126" s="211" t="inlineStr">
        <is>
          <t>NTC</t>
        </is>
      </c>
      <c r="B126" s="212" t="inlineStr">
        <is>
          <t>Nam Tân Uyên</t>
        </is>
      </c>
      <c r="C126" s="212" t="inlineStr">
        <is>
          <t>BĐS KCN</t>
        </is>
      </c>
      <c r="D126" s="213" t="n">
        <v>12480</v>
      </c>
      <c r="E126" s="214" t="n">
        <v>14.5</v>
      </c>
      <c r="F126" s="214" t="n">
        <v>3.5</v>
      </c>
      <c r="G126" s="215" t="n">
        <v>24.5</v>
      </c>
      <c r="H126" s="212" t="inlineStr">
        <is>
          <t>BCTC Q1/2026 | vietstock.vn/NTC</t>
        </is>
      </c>
    </row>
    <row r="127" ht="15" customHeight="1" s="981">
      <c r="A127" s="216" t="inlineStr">
        <is>
          <t>NTP</t>
        </is>
      </c>
      <c r="B127" s="217" t="inlineStr">
        <is>
          <t>Nhựa Tiền Phong</t>
        </is>
      </c>
      <c r="C127" s="217" t="inlineStr">
        <is>
          <t>Nhựa</t>
        </is>
      </c>
      <c r="D127" s="218" t="n">
        <v>4820</v>
      </c>
      <c r="E127" s="219" t="n">
        <v>12.4</v>
      </c>
      <c r="F127" s="219" t="n">
        <v>1.5</v>
      </c>
      <c r="G127" s="220" t="n">
        <v>13.5</v>
      </c>
      <c r="H127" s="217" t="inlineStr">
        <is>
          <t>BCTC Q1/2026 | cafef.vn/hnx/NTP</t>
        </is>
      </c>
    </row>
    <row r="128" ht="15" customHeight="1" s="981">
      <c r="A128" s="211" t="inlineStr">
        <is>
          <t>NTW</t>
        </is>
      </c>
      <c r="B128" s="212" t="inlineStr">
        <is>
          <t>Nhà Bè Water</t>
        </is>
      </c>
      <c r="C128" s="212" t="inlineStr">
        <is>
          <t>Cấp nước</t>
        </is>
      </c>
      <c r="D128" s="213" t="n">
        <v>2480</v>
      </c>
      <c r="E128" s="214" t="n">
        <v>14.5</v>
      </c>
      <c r="F128" s="214" t="n">
        <v>1.5</v>
      </c>
      <c r="G128" s="215" t="n">
        <v>10.5</v>
      </c>
      <c r="H128" s="212" t="inlineStr">
        <is>
          <t>BCTC Q1/2026 | vietstock.vn/NTW</t>
        </is>
      </c>
    </row>
    <row r="129" ht="15" customHeight="1" s="981">
      <c r="A129" s="216" t="inlineStr">
        <is>
          <t>NVL</t>
        </is>
      </c>
      <c r="B129" s="217" t="inlineStr">
        <is>
          <t>Novaland</t>
        </is>
      </c>
      <c r="C129" s="217" t="inlineStr">
        <is>
          <t>Bất động sản</t>
        </is>
      </c>
      <c r="D129" s="218" t="n">
        <v>85</v>
      </c>
      <c r="E129" s="219" t="n">
        <v>38.5</v>
      </c>
      <c r="F129" s="219" t="n">
        <v>0.5</v>
      </c>
      <c r="G129" s="220" t="n">
        <v>1.3</v>
      </c>
      <c r="H129" s="217" t="inlineStr">
        <is>
          <t>BCTC Q1/2026 | cafef.vn/hose/NVL</t>
        </is>
      </c>
    </row>
    <row r="130" ht="15" customHeight="1" s="981">
      <c r="A130" s="211" t="inlineStr">
        <is>
          <t>OCB</t>
        </is>
      </c>
      <c r="B130" s="212" t="inlineStr">
        <is>
          <t>OCB Bank</t>
        </is>
      </c>
      <c r="C130" s="212" t="inlineStr">
        <is>
          <t>Ngân hàng</t>
        </is>
      </c>
      <c r="D130" s="213" t="n">
        <v>1860</v>
      </c>
      <c r="E130" s="214" t="n">
        <v>7.5</v>
      </c>
      <c r="F130" s="214" t="n">
        <v>1</v>
      </c>
      <c r="G130" s="215" t="n">
        <v>12.8</v>
      </c>
      <c r="H130" s="212" t="inlineStr">
        <is>
          <t>BCTC Q1/2026 | cafef.vn/hose/OCB</t>
        </is>
      </c>
    </row>
    <row r="131" ht="15" customHeight="1" s="981">
      <c r="A131" s="216" t="inlineStr">
        <is>
          <t>OIL</t>
        </is>
      </c>
      <c r="B131" s="217" t="inlineStr">
        <is>
          <t>PV Oil</t>
        </is>
      </c>
      <c r="C131" s="217" t="inlineStr">
        <is>
          <t>Dầu khí</t>
        </is>
      </c>
      <c r="D131" s="218" t="n">
        <v>1280</v>
      </c>
      <c r="E131" s="219" t="n">
        <v>11.4</v>
      </c>
      <c r="F131" s="219" t="n">
        <v>1.2</v>
      </c>
      <c r="G131" s="220" t="n">
        <v>10.7</v>
      </c>
      <c r="H131" s="217" t="inlineStr">
        <is>
          <t>BCTC Q1/2026 | cafef.vn/upcom/OIL</t>
        </is>
      </c>
    </row>
    <row r="132" ht="15" customHeight="1" s="981">
      <c r="A132" s="211" t="inlineStr">
        <is>
          <t>OPC</t>
        </is>
      </c>
      <c r="B132" s="212" t="inlineStr">
        <is>
          <t>OPC Pharma</t>
        </is>
      </c>
      <c r="C132" s="212" t="inlineStr">
        <is>
          <t>Dược</t>
        </is>
      </c>
      <c r="D132" s="213" t="n">
        <v>4240</v>
      </c>
      <c r="E132" s="214" t="n">
        <v>13.5</v>
      </c>
      <c r="F132" s="214" t="n">
        <v>2.2</v>
      </c>
      <c r="G132" s="215" t="n">
        <v>16.5</v>
      </c>
      <c r="H132" s="212" t="inlineStr">
        <is>
          <t>BCTC Q1/2026 | cafef.vn/hose/OPC</t>
        </is>
      </c>
    </row>
    <row r="133" ht="15" customHeight="1" s="981">
      <c r="A133" s="216" t="inlineStr">
        <is>
          <t>PAN</t>
        </is>
      </c>
      <c r="B133" s="217" t="n"/>
      <c r="C133" s="217" t="n"/>
      <c r="D133" s="218" t="n">
        <v>1640</v>
      </c>
      <c r="E133" s="219" t="n">
        <v>16.8</v>
      </c>
      <c r="F133" s="219" t="n">
        <v>1.4</v>
      </c>
      <c r="G133" s="220" t="n">
        <v>9.5</v>
      </c>
      <c r="H133" s="217" t="inlineStr">
        <is>
          <t>BCTC Q1/2026 | cafef.vn/hose/PAN</t>
        </is>
      </c>
    </row>
    <row r="134" ht="15" customHeight="1" s="981">
      <c r="A134" s="211" t="inlineStr">
        <is>
          <t>PC1</t>
        </is>
      </c>
      <c r="B134" s="212" t="inlineStr">
        <is>
          <t>PC1 Group</t>
        </is>
      </c>
      <c r="C134" s="212" t="inlineStr">
        <is>
          <t>Xây dựng</t>
        </is>
      </c>
      <c r="D134" s="213" t="n">
        <v>2480</v>
      </c>
      <c r="E134" s="214" t="n">
        <v>17.5</v>
      </c>
      <c r="F134" s="214" t="n">
        <v>1.4</v>
      </c>
      <c r="G134" s="215" t="n">
        <v>8.5</v>
      </c>
      <c r="H134" s="212" t="inlineStr">
        <is>
          <t>BCTC Q1/2026 | cafef.vn/hose/PC1</t>
        </is>
      </c>
    </row>
    <row r="135" ht="15" customHeight="1" s="981">
      <c r="A135" s="216" t="inlineStr">
        <is>
          <t>PDR</t>
        </is>
      </c>
      <c r="B135" s="217" t="inlineStr">
        <is>
          <t>Phát Đạt</t>
        </is>
      </c>
      <c r="C135" s="217" t="inlineStr">
        <is>
          <t>Bất động sản</t>
        </is>
      </c>
      <c r="D135" s="218" t="n">
        <v>860</v>
      </c>
      <c r="E135" s="219" t="n">
        <v>22.5</v>
      </c>
      <c r="F135" s="219" t="n">
        <v>1.5</v>
      </c>
      <c r="G135" s="220" t="n">
        <v>6.7</v>
      </c>
      <c r="H135" s="217" t="inlineStr">
        <is>
          <t>BCTC Q1/2026 | cafef.vn/hose/PDR</t>
        </is>
      </c>
    </row>
    <row r="136" ht="15" customHeight="1" s="981">
      <c r="A136" s="211" t="inlineStr">
        <is>
          <t>PGB</t>
        </is>
      </c>
      <c r="B136" s="212" t="inlineStr">
        <is>
          <t>PG Bank</t>
        </is>
      </c>
      <c r="C136" s="212" t="inlineStr">
        <is>
          <t>Ngân hàng</t>
        </is>
      </c>
      <c r="D136" s="213" t="n">
        <v>1340</v>
      </c>
      <c r="E136" s="214" t="n">
        <v>11.5</v>
      </c>
      <c r="F136" s="214" t="n">
        <v>1.15</v>
      </c>
      <c r="G136" s="215" t="n">
        <v>9.5</v>
      </c>
      <c r="H136" s="212" t="inlineStr">
        <is>
          <t>BCTC Q1/2026 | vietstock.vn/PGB</t>
        </is>
      </c>
    </row>
    <row r="137" ht="15" customHeight="1" s="981">
      <c r="A137" s="216" t="inlineStr">
        <is>
          <t>PGI</t>
        </is>
      </c>
      <c r="B137" s="217" t="inlineStr">
        <is>
          <t>PGI</t>
        </is>
      </c>
      <c r="C137" s="217" t="inlineStr">
        <is>
          <t>Bảo hiểm</t>
        </is>
      </c>
      <c r="D137" s="218" t="n">
        <v>3240</v>
      </c>
      <c r="E137" s="219" t="n">
        <v>10.5</v>
      </c>
      <c r="F137" s="219" t="n">
        <v>1.5</v>
      </c>
      <c r="G137" s="220" t="n">
        <v>14.5</v>
      </c>
      <c r="H137" s="217" t="inlineStr">
        <is>
          <t>BCTC Q1/2026 | cafef.vn/hose/PGI</t>
        </is>
      </c>
    </row>
    <row r="138" ht="15" customHeight="1" s="981">
      <c r="A138" s="211" t="inlineStr">
        <is>
          <t>PGS</t>
        </is>
      </c>
      <c r="B138" s="212" t="inlineStr">
        <is>
          <t>Petro Gas South</t>
        </is>
      </c>
      <c r="C138" s="212" t="inlineStr">
        <is>
          <t>Dầu khí</t>
        </is>
      </c>
      <c r="D138" s="213" t="n">
        <v>2480</v>
      </c>
      <c r="E138" s="214" t="n">
        <v>12.5</v>
      </c>
      <c r="F138" s="214" t="n">
        <v>1.4</v>
      </c>
      <c r="G138" s="215" t="n">
        <v>11.5</v>
      </c>
      <c r="H138" s="212" t="inlineStr">
        <is>
          <t>BCTC Q1/2026 | vietstock.vn/PGS</t>
        </is>
      </c>
    </row>
    <row r="139" ht="15" customHeight="1" s="981">
      <c r="A139" s="216" t="inlineStr">
        <is>
          <t>PHR</t>
        </is>
      </c>
      <c r="B139" s="217" t="inlineStr">
        <is>
          <t>Phú Riềng</t>
        </is>
      </c>
      <c r="C139" s="217" t="inlineStr">
        <is>
          <t>Cao su</t>
        </is>
      </c>
      <c r="D139" s="218" t="n">
        <v>4220</v>
      </c>
      <c r="E139" s="219" t="n">
        <v>13.5</v>
      </c>
      <c r="F139" s="219" t="n">
        <v>1.7</v>
      </c>
      <c r="G139" s="220" t="n">
        <v>12.5</v>
      </c>
      <c r="H139" s="217" t="inlineStr">
        <is>
          <t>BCTC Q1/2026 | cafef.vn/hose/PHR</t>
        </is>
      </c>
    </row>
    <row r="140" ht="15" customHeight="1" s="981">
      <c r="A140" s="211" t="inlineStr">
        <is>
          <t>PLC</t>
        </is>
      </c>
      <c r="B140" s="212" t="inlineStr">
        <is>
          <t>PetroVietnam Lubricants</t>
        </is>
      </c>
      <c r="C140" s="212" t="inlineStr">
        <is>
          <t>Dầu khí</t>
        </is>
      </c>
      <c r="D140" s="213" t="n">
        <v>3240</v>
      </c>
      <c r="E140" s="214" t="n">
        <v>12.4</v>
      </c>
      <c r="F140" s="214" t="n">
        <v>1.5</v>
      </c>
      <c r="G140" s="215" t="n">
        <v>12.5</v>
      </c>
      <c r="H140" s="212" t="inlineStr">
        <is>
          <t>BCTC Q1/2026 | vietstock.vn/PLC</t>
        </is>
      </c>
    </row>
    <row r="141" ht="15" customHeight="1" s="981">
      <c r="A141" s="216" t="inlineStr">
        <is>
          <t>PLX</t>
        </is>
      </c>
      <c r="B141" s="217" t="inlineStr">
        <is>
          <t>Petrolimex</t>
        </is>
      </c>
      <c r="C141" s="217" t="inlineStr">
        <is>
          <t>Dầu khí</t>
        </is>
      </c>
      <c r="D141" s="218" t="n">
        <v>3800</v>
      </c>
      <c r="E141" s="219" t="n">
        <v>17.5</v>
      </c>
      <c r="F141" s="219" t="n">
        <v>2.2</v>
      </c>
      <c r="G141" s="220" t="n">
        <v>16.5</v>
      </c>
      <c r="H141" s="217" t="inlineStr">
        <is>
          <t>BCTC Q1/2026 | cafef.vn/hose/PLX</t>
        </is>
      </c>
    </row>
    <row r="142" ht="15" customHeight="1" s="981">
      <c r="A142" s="211" t="inlineStr">
        <is>
          <t>PMC</t>
        </is>
      </c>
      <c r="B142" s="212" t="inlineStr">
        <is>
          <t>Pharmaceutical Midland</t>
        </is>
      </c>
      <c r="C142" s="212" t="inlineStr">
        <is>
          <t>Y tế</t>
        </is>
      </c>
      <c r="D142" s="213" t="n">
        <v>3240</v>
      </c>
      <c r="E142" s="214" t="n">
        <v>14.5</v>
      </c>
      <c r="F142" s="214" t="n">
        <v>2.2</v>
      </c>
      <c r="G142" s="215" t="n">
        <v>15.5</v>
      </c>
      <c r="H142" s="212" t="inlineStr">
        <is>
          <t>BCTC Q1/2026 | cafef.vn/hose/PMC</t>
        </is>
      </c>
    </row>
    <row r="143" ht="15" customHeight="1" s="981">
      <c r="A143" s="216" t="inlineStr">
        <is>
          <t>PNJ</t>
        </is>
      </c>
      <c r="B143" s="217" t="inlineStr">
        <is>
          <t>PNJ Vàng</t>
        </is>
      </c>
      <c r="C143" s="217" t="inlineStr">
        <is>
          <t>Trang sức</t>
        </is>
      </c>
      <c r="D143" s="218" t="n">
        <v>6200</v>
      </c>
      <c r="E143" s="219" t="n">
        <v>16.8</v>
      </c>
      <c r="F143" s="219" t="n">
        <v>3.8</v>
      </c>
      <c r="G143" s="220" t="n">
        <v>24</v>
      </c>
      <c r="H143" s="217" t="inlineStr">
        <is>
          <t>BCTC Q1/2026 | cafef.vn/hose/PNJ</t>
        </is>
      </c>
    </row>
    <row r="144" ht="15" customHeight="1" s="981">
      <c r="A144" s="211" t="inlineStr">
        <is>
          <t>POW</t>
        </is>
      </c>
      <c r="B144" s="212" t="inlineStr">
        <is>
          <t>PV Power</t>
        </is>
      </c>
      <c r="C144" s="212" t="inlineStr">
        <is>
          <t>Điện</t>
        </is>
      </c>
      <c r="D144" s="213" t="n">
        <v>840</v>
      </c>
      <c r="E144" s="214" t="n">
        <v>15.7</v>
      </c>
      <c r="F144" s="214" t="n">
        <v>1</v>
      </c>
      <c r="G144" s="215" t="n">
        <v>6.5</v>
      </c>
      <c r="H144" s="212" t="inlineStr">
        <is>
          <t>BCTC Q1/2026 | cafef.vn/hose/POW</t>
        </is>
      </c>
    </row>
    <row r="145" ht="15" customHeight="1" s="981">
      <c r="A145" s="216" t="inlineStr">
        <is>
          <t>PPC</t>
        </is>
      </c>
      <c r="B145" s="217" t="inlineStr">
        <is>
          <t>Nhiệt điện PP</t>
        </is>
      </c>
      <c r="C145" s="217" t="inlineStr">
        <is>
          <t>Điện</t>
        </is>
      </c>
      <c r="D145" s="218" t="n">
        <v>2120</v>
      </c>
      <c r="E145" s="219" t="n">
        <v>8.199999999999999</v>
      </c>
      <c r="F145" s="219" t="n">
        <v>1.05</v>
      </c>
      <c r="G145" s="220" t="n">
        <v>12.8</v>
      </c>
      <c r="H145" s="217" t="inlineStr">
        <is>
          <t>BCTC Q1/2026 | cafef.vn/hose/PPC</t>
        </is>
      </c>
    </row>
    <row r="146" ht="15" customHeight="1" s="981">
      <c r="A146" s="211" t="inlineStr">
        <is>
          <t>PVC</t>
        </is>
      </c>
      <c r="B146" s="212" t="inlineStr">
        <is>
          <t>PetroVietnam Coating</t>
        </is>
      </c>
      <c r="C146" s="212" t="inlineStr">
        <is>
          <t>Dầu khí</t>
        </is>
      </c>
      <c r="D146" s="213" t="n">
        <v>1240</v>
      </c>
      <c r="E146" s="214" t="n">
        <v>14.5</v>
      </c>
      <c r="F146" s="214" t="n">
        <v>0.95</v>
      </c>
      <c r="G146" s="215" t="n">
        <v>7.2</v>
      </c>
      <c r="H146" s="212" t="inlineStr">
        <is>
          <t>BCTC Q1/2026 | cafef.vn/hnx/PVC</t>
        </is>
      </c>
    </row>
    <row r="147" ht="15" customHeight="1" s="981">
      <c r="A147" s="216" t="inlineStr">
        <is>
          <t>PVD</t>
        </is>
      </c>
      <c r="B147" s="217" t="inlineStr">
        <is>
          <t>PV Drilling</t>
        </is>
      </c>
      <c r="C147" s="217" t="inlineStr">
        <is>
          <t>Dầu khí</t>
        </is>
      </c>
      <c r="D147" s="218" t="n">
        <v>1820</v>
      </c>
      <c r="E147" s="219" t="n">
        <v>15.8</v>
      </c>
      <c r="F147" s="219" t="n">
        <v>0.95</v>
      </c>
      <c r="G147" s="220" t="n">
        <v>6.2</v>
      </c>
      <c r="H147" s="217" t="inlineStr">
        <is>
          <t>BCTC Q1/2026 | cafef.vn/hose/PVD</t>
        </is>
      </c>
    </row>
    <row r="148" ht="15" customHeight="1" s="981">
      <c r="A148" s="211" t="inlineStr">
        <is>
          <t>PVI</t>
        </is>
      </c>
      <c r="B148" s="212" t="inlineStr">
        <is>
          <t>PVI</t>
        </is>
      </c>
      <c r="C148" s="212" t="inlineStr">
        <is>
          <t>Bảo hiểm</t>
        </is>
      </c>
      <c r="D148" s="213" t="n">
        <v>3840</v>
      </c>
      <c r="E148" s="214" t="n">
        <v>12.4</v>
      </c>
      <c r="F148" s="214" t="n">
        <v>1.3</v>
      </c>
      <c r="G148" s="215" t="n">
        <v>10.5</v>
      </c>
      <c r="H148" s="212" t="inlineStr">
        <is>
          <t>BCTC Q1/2026 | cafef.vn/hnx/PVI</t>
        </is>
      </c>
    </row>
    <row r="149" ht="15" customHeight="1" s="981">
      <c r="A149" s="216" t="inlineStr">
        <is>
          <t>PVS</t>
        </is>
      </c>
      <c r="B149" s="217" t="inlineStr">
        <is>
          <t>PTSC</t>
        </is>
      </c>
      <c r="C149" s="217" t="inlineStr">
        <is>
          <t>Dầu khí</t>
        </is>
      </c>
      <c r="D149" s="218" t="n">
        <v>2780</v>
      </c>
      <c r="E149" s="219" t="n">
        <v>12.4</v>
      </c>
      <c r="F149" s="219" t="n">
        <v>1.3</v>
      </c>
      <c r="G149" s="220" t="n">
        <v>10.5</v>
      </c>
      <c r="H149" s="217" t="inlineStr">
        <is>
          <t>BCTC Q1/2026 | cafef.vn/hnx/PVS</t>
        </is>
      </c>
    </row>
    <row r="150" ht="15" customHeight="1" s="981">
      <c r="A150" s="211" t="inlineStr">
        <is>
          <t>PVT</t>
        </is>
      </c>
      <c r="B150" s="212" t="inlineStr">
        <is>
          <t>Tàu PVN</t>
        </is>
      </c>
      <c r="C150" s="212" t="inlineStr">
        <is>
          <t>Vận tải biển</t>
        </is>
      </c>
      <c r="D150" s="213" t="n">
        <v>2680</v>
      </c>
      <c r="E150" s="214" t="n">
        <v>11.6</v>
      </c>
      <c r="F150" s="214" t="n">
        <v>1.4</v>
      </c>
      <c r="G150" s="215" t="n">
        <v>12.7</v>
      </c>
      <c r="H150" s="212" t="inlineStr">
        <is>
          <t>BCTC Q1/2026 | cafef.vn/hose/PVT</t>
        </is>
      </c>
    </row>
    <row r="151" ht="15" customHeight="1" s="981">
      <c r="A151" s="216" t="inlineStr">
        <is>
          <t>QNS</t>
        </is>
      </c>
      <c r="B151" s="217" t="inlineStr">
        <is>
          <t>Quang Ngai Sugar</t>
        </is>
      </c>
      <c r="C151" s="217" t="inlineStr">
        <is>
          <t>Thực phẩm</t>
        </is>
      </c>
      <c r="D151" s="218" t="n">
        <v>5840</v>
      </c>
      <c r="E151" s="219" t="n">
        <v>10.5</v>
      </c>
      <c r="F151" s="219" t="n">
        <v>2.1</v>
      </c>
      <c r="G151" s="220" t="n">
        <v>21.5</v>
      </c>
      <c r="H151" s="217" t="inlineStr">
        <is>
          <t>BCTC Q1/2026 | cafef.vn/upcom/QNS</t>
        </is>
      </c>
    </row>
    <row r="152" ht="15" customHeight="1" s="981">
      <c r="A152" s="211" t="inlineStr">
        <is>
          <t>REE</t>
        </is>
      </c>
      <c r="B152" s="212" t="inlineStr">
        <is>
          <t>REE</t>
        </is>
      </c>
      <c r="C152" s="212" t="inlineStr">
        <is>
          <t>Điện + Cơ điện</t>
        </is>
      </c>
      <c r="D152" s="213" t="n">
        <v>3680</v>
      </c>
      <c r="E152" s="214" t="n">
        <v>12.4</v>
      </c>
      <c r="F152" s="214" t="n">
        <v>1.4</v>
      </c>
      <c r="G152" s="215" t="n">
        <v>11.5</v>
      </c>
      <c r="H152" s="212" t="inlineStr">
        <is>
          <t>BCTC Q1/2026 | cafef.vn/hose/REE</t>
        </is>
      </c>
    </row>
    <row r="153" ht="15" customHeight="1" s="981">
      <c r="A153" s="221" t="inlineStr">
        <is>
          <t>ROS</t>
        </is>
      </c>
      <c r="B153" s="222" t="inlineStr">
        <is>
          <t>FLC Faros</t>
        </is>
      </c>
      <c r="C153" s="222" t="inlineStr">
        <is>
          <t>Xây dựng</t>
        </is>
      </c>
      <c r="D153" s="223" t="n">
        <v>0</v>
      </c>
      <c r="E153" s="224" t="n">
        <v>0</v>
      </c>
      <c r="F153" s="224" t="n">
        <v>0.5</v>
      </c>
      <c r="G153" s="225" t="n">
        <v>0</v>
      </c>
      <c r="H153" s="222" t="inlineStr">
        <is>
          <t>BCTC Q1/2026 | cafef.vn/hose/ROS - Lỗ</t>
        </is>
      </c>
    </row>
    <row r="154" ht="15" customHeight="1" s="981">
      <c r="A154" s="211" t="inlineStr">
        <is>
          <t>SAB</t>
        </is>
      </c>
      <c r="B154" s="212" t="inlineStr">
        <is>
          <t>Sabeco</t>
        </is>
      </c>
      <c r="C154" s="212" t="inlineStr">
        <is>
          <t>Tiêu dùng</t>
        </is>
      </c>
      <c r="D154" s="213" t="n">
        <v>7500</v>
      </c>
      <c r="E154" s="214" t="n">
        <v>21.4</v>
      </c>
      <c r="F154" s="214" t="n">
        <v>4.5</v>
      </c>
      <c r="G154" s="215" t="n">
        <v>22</v>
      </c>
      <c r="H154" s="212" t="inlineStr">
        <is>
          <t>BCTC Q1/2026 | cafef.vn/hose/SAB</t>
        </is>
      </c>
    </row>
    <row r="155" ht="15" customHeight="1" s="981">
      <c r="A155" s="216" t="inlineStr">
        <is>
          <t>SAF</t>
        </is>
      </c>
      <c r="B155" s="217" t="inlineStr">
        <is>
          <t>Saigon Beer-Alcohol</t>
        </is>
      </c>
      <c r="C155" s="217" t="inlineStr">
        <is>
          <t>Thực phẩm</t>
        </is>
      </c>
      <c r="D155" s="218" t="n">
        <v>3840</v>
      </c>
      <c r="E155" s="219" t="n">
        <v>10.5</v>
      </c>
      <c r="F155" s="219" t="n">
        <v>1.6</v>
      </c>
      <c r="G155" s="220" t="n">
        <v>15.5</v>
      </c>
      <c r="H155" s="217" t="inlineStr">
        <is>
          <t>BCTC Q1/2026 | vietstock.vn/SAF</t>
        </is>
      </c>
    </row>
    <row r="156" ht="15" customHeight="1" s="981">
      <c r="A156" s="211" t="inlineStr">
        <is>
          <t>SBT</t>
        </is>
      </c>
      <c r="B156" s="212" t="inlineStr">
        <is>
          <t>Sài Gòn Sugar</t>
        </is>
      </c>
      <c r="C156" s="212" t="inlineStr">
        <is>
          <t>Đường</t>
        </is>
      </c>
      <c r="D156" s="213" t="n">
        <v>2480</v>
      </c>
      <c r="E156" s="214" t="n">
        <v>14.5</v>
      </c>
      <c r="F156" s="214" t="n">
        <v>1.4</v>
      </c>
      <c r="G156" s="215" t="n">
        <v>10.5</v>
      </c>
      <c r="H156" s="212" t="inlineStr">
        <is>
          <t>BCTC Q1/2026 | cafef.vn/hose/SBT</t>
        </is>
      </c>
    </row>
    <row r="157" ht="15" customHeight="1" s="981">
      <c r="A157" s="216" t="inlineStr">
        <is>
          <t>SCR</t>
        </is>
      </c>
      <c r="B157" s="217" t="inlineStr">
        <is>
          <t>Sudico</t>
        </is>
      </c>
      <c r="C157" s="217" t="inlineStr">
        <is>
          <t>BĐS</t>
        </is>
      </c>
      <c r="D157" s="218" t="n">
        <v>480</v>
      </c>
      <c r="E157" s="219" t="n">
        <v>28.6</v>
      </c>
      <c r="F157" s="219" t="n">
        <v>0.95</v>
      </c>
      <c r="G157" s="220" t="n">
        <v>3.4</v>
      </c>
      <c r="H157" s="217" t="inlineStr">
        <is>
          <t>BCTC Q1/2026 | cafef.vn/hose/SCR</t>
        </is>
      </c>
    </row>
    <row r="158" ht="15" customHeight="1" s="981">
      <c r="A158" s="211" t="inlineStr">
        <is>
          <t>SCS</t>
        </is>
      </c>
      <c r="B158" s="212" t="inlineStr">
        <is>
          <t>Cargo SG</t>
        </is>
      </c>
      <c r="C158" s="212" t="inlineStr">
        <is>
          <t>Cargo</t>
        </is>
      </c>
      <c r="D158" s="213" t="n">
        <v>12480</v>
      </c>
      <c r="E158" s="214" t="n">
        <v>14.5</v>
      </c>
      <c r="F158" s="214" t="n">
        <v>3.8</v>
      </c>
      <c r="G158" s="215" t="n">
        <v>26.5</v>
      </c>
      <c r="H158" s="212" t="inlineStr">
        <is>
          <t>BCTC Q1/2026 | cafef.vn/hose/SCS</t>
        </is>
      </c>
    </row>
    <row r="159" ht="15" customHeight="1" s="981">
      <c r="A159" s="216" t="inlineStr">
        <is>
          <t>SFG</t>
        </is>
      </c>
      <c r="B159" s="217" t="n"/>
      <c r="C159" s="217" t="n"/>
      <c r="D159" s="218" t="n">
        <v>1840</v>
      </c>
      <c r="E159" s="219" t="n">
        <v>14.5</v>
      </c>
      <c r="F159" s="219" t="n">
        <v>1.2</v>
      </c>
      <c r="G159" s="220" t="n">
        <v>9.5</v>
      </c>
      <c r="H159" s="217" t="inlineStr">
        <is>
          <t>BCTC Q1/2026 | vietstock.vn/SFG</t>
        </is>
      </c>
    </row>
    <row r="160" ht="15" customHeight="1" s="981">
      <c r="A160" s="211" t="inlineStr">
        <is>
          <t>SFI</t>
        </is>
      </c>
      <c r="B160" s="212" t="inlineStr">
        <is>
          <t>Sea Freight Indochina</t>
        </is>
      </c>
      <c r="C160" s="212" t="inlineStr">
        <is>
          <t>Logistics</t>
        </is>
      </c>
      <c r="D160" s="213" t="n">
        <v>3480</v>
      </c>
      <c r="E160" s="214" t="n">
        <v>12.5</v>
      </c>
      <c r="F160" s="214" t="n">
        <v>1.6</v>
      </c>
      <c r="G160" s="215" t="n">
        <v>13.5</v>
      </c>
      <c r="H160" s="212" t="inlineStr">
        <is>
          <t>BCTC Q1/2026 | vietstock.vn/SFI</t>
        </is>
      </c>
    </row>
    <row r="161" ht="15" customHeight="1" s="981">
      <c r="A161" s="216" t="inlineStr">
        <is>
          <t>SGB</t>
        </is>
      </c>
      <c r="B161" s="217" t="inlineStr">
        <is>
          <t>Saigonbank</t>
        </is>
      </c>
      <c r="C161" s="217" t="inlineStr">
        <is>
          <t>Ngân hàng</t>
        </is>
      </c>
      <c r="D161" s="218" t="n">
        <v>1180</v>
      </c>
      <c r="E161" s="219" t="n">
        <v>14.5</v>
      </c>
      <c r="F161" s="219" t="n">
        <v>1.2</v>
      </c>
      <c r="G161" s="220" t="n">
        <v>8.199999999999999</v>
      </c>
      <c r="H161" s="217" t="inlineStr">
        <is>
          <t>BCTC Q1/2026 | vietstock.vn/SGB</t>
        </is>
      </c>
    </row>
    <row r="162" ht="15" customHeight="1" s="981">
      <c r="A162" s="211" t="inlineStr">
        <is>
          <t>SGN</t>
        </is>
      </c>
      <c r="B162" s="212" t="inlineStr">
        <is>
          <t>Sài Gòn Ground</t>
        </is>
      </c>
      <c r="C162" s="212" t="inlineStr">
        <is>
          <t>DV mặt đất</t>
        </is>
      </c>
      <c r="D162" s="213" t="n">
        <v>6240</v>
      </c>
      <c r="E162" s="214" t="n">
        <v>14.5</v>
      </c>
      <c r="F162" s="214" t="n">
        <v>3.2</v>
      </c>
      <c r="G162" s="215" t="n">
        <v>22.5</v>
      </c>
      <c r="H162" s="212" t="inlineStr">
        <is>
          <t>BCTC Q1/2026 | cafef.vn/hose/SGN</t>
        </is>
      </c>
    </row>
    <row r="163" ht="15" customHeight="1" s="981">
      <c r="A163" s="216" t="inlineStr">
        <is>
          <t>SHB</t>
        </is>
      </c>
      <c r="B163" s="217" t="inlineStr">
        <is>
          <t>SHB</t>
        </is>
      </c>
      <c r="C163" s="217" t="inlineStr">
        <is>
          <t>Ngân hàng</t>
        </is>
      </c>
      <c r="D163" s="218" t="n">
        <v>2120</v>
      </c>
      <c r="E163" s="219" t="n">
        <v>5.2</v>
      </c>
      <c r="F163" s="219" t="n">
        <v>0.95</v>
      </c>
      <c r="G163" s="220" t="n">
        <v>17.4</v>
      </c>
      <c r="H163" s="217" t="inlineStr">
        <is>
          <t>BCTC Q1/2026 | cafef.vn/hose/SHB</t>
        </is>
      </c>
    </row>
    <row r="164" ht="15" customHeight="1" s="981">
      <c r="A164" s="211" t="inlineStr">
        <is>
          <t>SHS</t>
        </is>
      </c>
      <c r="B164" s="212" t="inlineStr">
        <is>
          <t>SHS</t>
        </is>
      </c>
      <c r="C164" s="212" t="inlineStr">
        <is>
          <t>Chứng khoán</t>
        </is>
      </c>
      <c r="D164" s="213" t="n">
        <v>1240</v>
      </c>
      <c r="E164" s="214" t="n">
        <v>12.6</v>
      </c>
      <c r="F164" s="214" t="n">
        <v>1.1</v>
      </c>
      <c r="G164" s="215" t="n">
        <v>8.5</v>
      </c>
      <c r="H164" s="212" t="inlineStr">
        <is>
          <t>BCTC Q1/2026 | cafef.vn/hnx/SHS</t>
        </is>
      </c>
    </row>
    <row r="165" ht="15" customHeight="1" s="981">
      <c r="A165" s="216" t="inlineStr">
        <is>
          <t>SIP</t>
        </is>
      </c>
      <c r="B165" s="217" t="inlineStr">
        <is>
          <t>SIP</t>
        </is>
      </c>
      <c r="C165" s="217" t="inlineStr">
        <is>
          <t>BĐS KCN</t>
        </is>
      </c>
      <c r="D165" s="218" t="n">
        <v>10240</v>
      </c>
      <c r="E165" s="219" t="n">
        <v>12.5</v>
      </c>
      <c r="F165" s="219" t="n">
        <v>2.4</v>
      </c>
      <c r="G165" s="220" t="n">
        <v>19.5</v>
      </c>
      <c r="H165" s="217" t="inlineStr">
        <is>
          <t>BCTC Q1/2026 | vietstock.vn/SIP</t>
        </is>
      </c>
    </row>
    <row r="166" ht="15" customHeight="1" s="981">
      <c r="A166" s="211" t="inlineStr">
        <is>
          <t>SLS</t>
        </is>
      </c>
      <c r="B166" s="212" t="inlineStr">
        <is>
          <t>Đường Sơn La</t>
        </is>
      </c>
      <c r="C166" s="212" t="inlineStr">
        <is>
          <t>Đường</t>
        </is>
      </c>
      <c r="D166" s="213" t="n">
        <v>6240</v>
      </c>
      <c r="E166" s="214" t="n">
        <v>10.5</v>
      </c>
      <c r="F166" s="214" t="n">
        <v>1.8</v>
      </c>
      <c r="G166" s="215" t="n">
        <v>18.5</v>
      </c>
      <c r="H166" s="212" t="inlineStr">
        <is>
          <t>BCTC Q1/2026 | vietstock.vn/SLS</t>
        </is>
      </c>
    </row>
    <row r="167" ht="15" customHeight="1" s="981">
      <c r="A167" s="216" t="inlineStr">
        <is>
          <t>SMC</t>
        </is>
      </c>
      <c r="B167" s="217" t="inlineStr">
        <is>
          <t>SMC Steel</t>
        </is>
      </c>
      <c r="C167" s="217" t="inlineStr">
        <is>
          <t>Thép</t>
        </is>
      </c>
      <c r="D167" s="218" t="n">
        <v>620</v>
      </c>
      <c r="E167" s="219" t="n">
        <v>16.5</v>
      </c>
      <c r="F167" s="219" t="n">
        <v>0.7</v>
      </c>
      <c r="G167" s="220" t="n">
        <v>4.5</v>
      </c>
      <c r="H167" s="217" t="inlineStr">
        <is>
          <t>BCTC Q1/2026 | cafef.vn/hose/SMC</t>
        </is>
      </c>
    </row>
    <row r="168" ht="15" customHeight="1" s="981">
      <c r="A168" s="211" t="inlineStr">
        <is>
          <t>SSB</t>
        </is>
      </c>
      <c r="B168" s="212" t="inlineStr">
        <is>
          <t>SeABank</t>
        </is>
      </c>
      <c r="C168" s="212" t="inlineStr">
        <is>
          <t>Ngân hàng</t>
        </is>
      </c>
      <c r="D168" s="213" t="n">
        <v>1840</v>
      </c>
      <c r="E168" s="214" t="n">
        <v>12.8</v>
      </c>
      <c r="F168" s="214" t="n">
        <v>1.6</v>
      </c>
      <c r="G168" s="215" t="n">
        <v>11.5</v>
      </c>
      <c r="H168" s="212" t="inlineStr">
        <is>
          <t>BCTC Q1/2026 | cafef.vn/hose/SSB</t>
        </is>
      </c>
    </row>
    <row r="169" ht="15" customHeight="1" s="981">
      <c r="A169" s="216" t="inlineStr">
        <is>
          <t>SSI</t>
        </is>
      </c>
      <c r="B169" s="217" t="inlineStr">
        <is>
          <t>SSI Securities</t>
        </is>
      </c>
      <c r="C169" s="217" t="inlineStr">
        <is>
          <t>Chứng khoán</t>
        </is>
      </c>
      <c r="D169" s="218" t="n">
        <v>2800</v>
      </c>
      <c r="E169" s="219" t="n">
        <v>14.5</v>
      </c>
      <c r="F169" s="219" t="n">
        <v>1.85</v>
      </c>
      <c r="G169" s="220" t="n">
        <v>13</v>
      </c>
      <c r="H169" s="217" t="inlineStr">
        <is>
          <t>BCTC Q1/2026 | cafef.vn/hose/SSI</t>
        </is>
      </c>
    </row>
    <row r="170" ht="15" customHeight="1" s="981">
      <c r="A170" s="211" t="inlineStr">
        <is>
          <t>STB</t>
        </is>
      </c>
      <c r="B170" s="212" t="inlineStr">
        <is>
          <t>Sacombank</t>
        </is>
      </c>
      <c r="C170" s="212" t="inlineStr">
        <is>
          <t>Ngân hàng</t>
        </is>
      </c>
      <c r="D170" s="213" t="n">
        <v>8700</v>
      </c>
      <c r="E170" s="214" t="n">
        <v>8.6</v>
      </c>
      <c r="F170" s="214" t="n">
        <v>1.55</v>
      </c>
      <c r="G170" s="215" t="n">
        <v>18</v>
      </c>
      <c r="H170" s="212" t="inlineStr">
        <is>
          <t>BCTC Q1/2026 | cafef.vn/hose/STB</t>
        </is>
      </c>
    </row>
    <row r="171" ht="15" customHeight="1" s="981">
      <c r="A171" s="216" t="inlineStr">
        <is>
          <t>STG</t>
        </is>
      </c>
      <c r="B171" s="217" t="inlineStr">
        <is>
          <t>Sotrans</t>
        </is>
      </c>
      <c r="C171" s="217" t="inlineStr">
        <is>
          <t>Logistics</t>
        </is>
      </c>
      <c r="D171" s="218" t="n">
        <v>1480</v>
      </c>
      <c r="E171" s="219" t="n">
        <v>18.5</v>
      </c>
      <c r="F171" s="219" t="n">
        <v>1.5</v>
      </c>
      <c r="G171" s="220" t="n">
        <v>8.5</v>
      </c>
      <c r="H171" s="217" t="inlineStr">
        <is>
          <t>BCTC Q1/2026 | cafef.vn/hose/STG</t>
        </is>
      </c>
    </row>
    <row r="172" ht="15" customHeight="1" s="981">
      <c r="A172" s="211" t="inlineStr">
        <is>
          <t>STK</t>
        </is>
      </c>
      <c r="B172" s="212" t="inlineStr">
        <is>
          <t>Sợi Thế Kỷ</t>
        </is>
      </c>
      <c r="C172" s="212" t="inlineStr">
        <is>
          <t>Dệt may</t>
        </is>
      </c>
      <c r="D172" s="213" t="n">
        <v>1840</v>
      </c>
      <c r="E172" s="214" t="n">
        <v>18.5</v>
      </c>
      <c r="F172" s="214" t="n">
        <v>1.4</v>
      </c>
      <c r="G172" s="215" t="n">
        <v>7.5</v>
      </c>
      <c r="H172" s="212" t="inlineStr">
        <is>
          <t>BCTC Q1/2026 | cafef.vn/hose/STK</t>
        </is>
      </c>
    </row>
    <row r="173" ht="15" customHeight="1" s="981">
      <c r="A173" s="216" t="inlineStr">
        <is>
          <t>SZC</t>
        </is>
      </c>
      <c r="B173" s="217" t="inlineStr">
        <is>
          <t>Sonadezi Châu Đức</t>
        </is>
      </c>
      <c r="C173" s="217" t="inlineStr">
        <is>
          <t>BĐS KCN</t>
        </is>
      </c>
      <c r="D173" s="218" t="n">
        <v>3120</v>
      </c>
      <c r="E173" s="219" t="n">
        <v>14.7</v>
      </c>
      <c r="F173" s="219" t="n">
        <v>2.4</v>
      </c>
      <c r="G173" s="220" t="n">
        <v>16.5</v>
      </c>
      <c r="H173" s="217" t="inlineStr">
        <is>
          <t>BCTC Q1/2026 | cafef.vn/hose/SZC</t>
        </is>
      </c>
    </row>
    <row r="174" ht="15" customHeight="1" s="981">
      <c r="A174" s="211" t="inlineStr">
        <is>
          <t>SZL</t>
        </is>
      </c>
      <c r="B174" s="212" t="n"/>
      <c r="C174" s="212" t="n"/>
      <c r="D174" s="213" t="n">
        <v>3580</v>
      </c>
      <c r="E174" s="214" t="n">
        <v>12.4</v>
      </c>
      <c r="F174" s="214" t="n">
        <v>1.8</v>
      </c>
      <c r="G174" s="215" t="n">
        <v>14.6</v>
      </c>
      <c r="H174" s="212" t="inlineStr">
        <is>
          <t>BCTC Q1/2026 | vietstock.vn/SZL</t>
        </is>
      </c>
    </row>
    <row r="175" ht="15" customHeight="1" s="981">
      <c r="A175" s="216" t="inlineStr">
        <is>
          <t>TAC</t>
        </is>
      </c>
      <c r="B175" s="217" t="inlineStr">
        <is>
          <t>Tuong An</t>
        </is>
      </c>
      <c r="C175" s="217" t="inlineStr">
        <is>
          <t>Thực phẩm</t>
        </is>
      </c>
      <c r="D175" s="218" t="n">
        <v>8240</v>
      </c>
      <c r="E175" s="219" t="n">
        <v>10.5</v>
      </c>
      <c r="F175" s="219" t="n">
        <v>2.4</v>
      </c>
      <c r="G175" s="220" t="n">
        <v>22.5</v>
      </c>
      <c r="H175" s="217" t="inlineStr">
        <is>
          <t>BCTC Q1/2026 | vietstock.vn/TAC</t>
        </is>
      </c>
    </row>
    <row r="176" ht="15" customHeight="1" s="981">
      <c r="A176" s="211" t="inlineStr">
        <is>
          <t>TBC</t>
        </is>
      </c>
      <c r="B176" s="212" t="inlineStr">
        <is>
          <t>Thác Bà</t>
        </is>
      </c>
      <c r="C176" s="212" t="inlineStr">
        <is>
          <t>Điện</t>
        </is>
      </c>
      <c r="D176" s="213" t="n">
        <v>4820</v>
      </c>
      <c r="E176" s="214" t="n">
        <v>9.5</v>
      </c>
      <c r="F176" s="214" t="n">
        <v>1.6</v>
      </c>
      <c r="G176" s="215" t="n">
        <v>17.5</v>
      </c>
      <c r="H176" s="212" t="inlineStr">
        <is>
          <t>BCTC Q1/2026 | cafef.vn/hose/TBC</t>
        </is>
      </c>
    </row>
    <row r="177" ht="15" customHeight="1" s="981">
      <c r="A177" s="216" t="inlineStr">
        <is>
          <t>TCB</t>
        </is>
      </c>
      <c r="B177" s="217" t="inlineStr">
        <is>
          <t>Techcombank</t>
        </is>
      </c>
      <c r="C177" s="217" t="inlineStr">
        <is>
          <t>Ngân hàng</t>
        </is>
      </c>
      <c r="D177" s="218" t="n">
        <v>4800</v>
      </c>
      <c r="E177" s="219" t="n">
        <v>7.8</v>
      </c>
      <c r="F177" s="219" t="n">
        <v>1.9</v>
      </c>
      <c r="G177" s="220" t="n">
        <v>25</v>
      </c>
      <c r="H177" s="217" t="inlineStr">
        <is>
          <t>BCTC Q1/2026 | cafef.vn/hose/TCB</t>
        </is>
      </c>
    </row>
    <row r="178" ht="15" customHeight="1" s="981">
      <c r="A178" s="211" t="inlineStr">
        <is>
          <t>TCBS</t>
        </is>
      </c>
      <c r="B178" s="212" t="inlineStr">
        <is>
          <t>Techcom Securities</t>
        </is>
      </c>
      <c r="C178" s="212" t="inlineStr">
        <is>
          <t>Chứng khoán</t>
        </is>
      </c>
      <c r="D178" s="213" t="n">
        <v>4820</v>
      </c>
      <c r="E178" s="214" t="n">
        <v>14.5</v>
      </c>
      <c r="F178" s="214" t="n">
        <v>3.5</v>
      </c>
      <c r="G178" s="215" t="n">
        <v>22.5</v>
      </c>
      <c r="H178" s="212" t="inlineStr">
        <is>
          <t>BCTC Q1/2026 | techcombanksecurities.com</t>
        </is>
      </c>
    </row>
    <row r="179" ht="15" customHeight="1" s="981">
      <c r="A179" s="216" t="inlineStr">
        <is>
          <t>TCH</t>
        </is>
      </c>
      <c r="B179" s="217" t="inlineStr">
        <is>
          <t>Thắng Lợi</t>
        </is>
      </c>
      <c r="C179" s="217" t="inlineStr">
        <is>
          <t>BĐS</t>
        </is>
      </c>
      <c r="D179" s="218" t="n">
        <v>1240</v>
      </c>
      <c r="E179" s="219" t="n">
        <v>26.5</v>
      </c>
      <c r="F179" s="219" t="n">
        <v>1.7</v>
      </c>
      <c r="G179" s="220" t="n">
        <v>6.5</v>
      </c>
      <c r="H179" s="217" t="inlineStr">
        <is>
          <t>BCTC Q1/2026 | cafef.vn/hose/TCH</t>
        </is>
      </c>
    </row>
    <row r="180" ht="15" customHeight="1" s="981">
      <c r="A180" s="211" t="inlineStr">
        <is>
          <t>TCM</t>
        </is>
      </c>
      <c r="B180" s="212" t="inlineStr">
        <is>
          <t>Thành Công</t>
        </is>
      </c>
      <c r="C180" s="212" t="inlineStr">
        <is>
          <t>Dệt may</t>
        </is>
      </c>
      <c r="D180" s="213" t="n">
        <v>2480</v>
      </c>
      <c r="E180" s="214" t="n">
        <v>17.5</v>
      </c>
      <c r="F180" s="214" t="n">
        <v>1.5</v>
      </c>
      <c r="G180" s="215" t="n">
        <v>8.5</v>
      </c>
      <c r="H180" s="212" t="inlineStr">
        <is>
          <t>BCTC Q1/2026 | cafef.vn/hose/TCM</t>
        </is>
      </c>
    </row>
    <row r="181" ht="15" customHeight="1" s="981">
      <c r="A181" s="216" t="inlineStr">
        <is>
          <t>TDC</t>
        </is>
      </c>
      <c r="B181" s="217" t="inlineStr">
        <is>
          <t>TDC</t>
        </is>
      </c>
      <c r="C181" s="217" t="inlineStr">
        <is>
          <t>BĐS</t>
        </is>
      </c>
      <c r="D181" s="218" t="n">
        <v>1480</v>
      </c>
      <c r="E181" s="219" t="n">
        <v>14.5</v>
      </c>
      <c r="F181" s="219" t="n">
        <v>1</v>
      </c>
      <c r="G181" s="220" t="n">
        <v>7.2</v>
      </c>
      <c r="H181" s="217" t="inlineStr">
        <is>
          <t>BCTC Q1/2026 | vietstock.vn/TDC</t>
        </is>
      </c>
    </row>
    <row r="182" ht="15" customHeight="1" s="981">
      <c r="A182" s="211" t="inlineStr">
        <is>
          <t>TDM</t>
        </is>
      </c>
      <c r="B182" s="212" t="inlineStr">
        <is>
          <t>TDM</t>
        </is>
      </c>
      <c r="C182" s="212" t="inlineStr">
        <is>
          <t>Cấp nước</t>
        </is>
      </c>
      <c r="D182" s="213" t="n">
        <v>3680</v>
      </c>
      <c r="E182" s="214" t="n">
        <v>17.5</v>
      </c>
      <c r="F182" s="214" t="n">
        <v>1.8</v>
      </c>
      <c r="G182" s="215" t="n">
        <v>10.5</v>
      </c>
      <c r="H182" s="212" t="inlineStr">
        <is>
          <t>BCTC Q1/2026 | cafef.vn/upcom/TDM</t>
        </is>
      </c>
    </row>
    <row r="183" ht="15" customHeight="1" s="981">
      <c r="A183" s="216" t="inlineStr">
        <is>
          <t>TIN</t>
        </is>
      </c>
      <c r="B183" s="217" t="inlineStr">
        <is>
          <t>VPS Finance</t>
        </is>
      </c>
      <c r="C183" s="217" t="inlineStr">
        <is>
          <t>Tài chính</t>
        </is>
      </c>
      <c r="D183" s="218" t="n">
        <v>1240</v>
      </c>
      <c r="E183" s="219" t="n">
        <v>14.5</v>
      </c>
      <c r="F183" s="219" t="n">
        <v>1</v>
      </c>
      <c r="G183" s="220" t="n">
        <v>8.5</v>
      </c>
      <c r="H183" s="217" t="inlineStr">
        <is>
          <t>BCTC Q1/2026 | vietstock.vn/TIN</t>
        </is>
      </c>
    </row>
    <row r="184" ht="15" customHeight="1" s="981">
      <c r="A184" s="211" t="inlineStr">
        <is>
          <t>TIP</t>
        </is>
      </c>
      <c r="B184" s="212" t="inlineStr">
        <is>
          <t>Tiền Phong</t>
        </is>
      </c>
      <c r="C184" s="212" t="inlineStr">
        <is>
          <t>BĐS KCN</t>
        </is>
      </c>
      <c r="D184" s="213" t="n">
        <v>3680</v>
      </c>
      <c r="E184" s="214" t="n">
        <v>12.4</v>
      </c>
      <c r="F184" s="214" t="n">
        <v>1.6</v>
      </c>
      <c r="G184" s="215" t="n">
        <v>13.5</v>
      </c>
      <c r="H184" s="212" t="inlineStr">
        <is>
          <t>BCTC Q1/2026 | cafef.vn/hose/TIP</t>
        </is>
      </c>
    </row>
    <row r="185" ht="15" customHeight="1" s="981">
      <c r="A185" s="216" t="inlineStr">
        <is>
          <t>TMS</t>
        </is>
      </c>
      <c r="B185" s="217" t="inlineStr">
        <is>
          <t>Transimex</t>
        </is>
      </c>
      <c r="C185" s="217" t="inlineStr">
        <is>
          <t>Logistics</t>
        </is>
      </c>
      <c r="D185" s="218" t="n">
        <v>3240</v>
      </c>
      <c r="E185" s="219" t="n">
        <v>13.5</v>
      </c>
      <c r="F185" s="219" t="n">
        <v>1.4</v>
      </c>
      <c r="G185" s="220" t="n">
        <v>10.5</v>
      </c>
      <c r="H185" s="217" t="inlineStr">
        <is>
          <t>BCTC Q1/2026 | cafef.vn/hose/TMS</t>
        </is>
      </c>
    </row>
    <row r="186" ht="15" customHeight="1" s="981">
      <c r="A186" s="211" t="inlineStr">
        <is>
          <t>TNG</t>
        </is>
      </c>
      <c r="B186" s="212" t="inlineStr">
        <is>
          <t>Đầu Tư &amp; TM TNG</t>
        </is>
      </c>
      <c r="C186" s="212" t="inlineStr">
        <is>
          <t>Dệt may</t>
        </is>
      </c>
      <c r="D186" s="213" t="n">
        <v>2480</v>
      </c>
      <c r="E186" s="214" t="n">
        <v>13.5</v>
      </c>
      <c r="F186" s="214" t="n">
        <v>1.4</v>
      </c>
      <c r="G186" s="215" t="n">
        <v>10.5</v>
      </c>
      <c r="H186" s="212" t="inlineStr">
        <is>
          <t>BCTC Q1/2026 | cafef.vn/hnx/TNG</t>
        </is>
      </c>
    </row>
    <row r="187" ht="15" customHeight="1" s="981">
      <c r="A187" s="216" t="inlineStr">
        <is>
          <t>TPB</t>
        </is>
      </c>
      <c r="B187" s="217" t="inlineStr">
        <is>
          <t>TPBank</t>
        </is>
      </c>
      <c r="C187" s="217" t="inlineStr">
        <is>
          <t>Ngân hàng</t>
        </is>
      </c>
      <c r="D187" s="218" t="n">
        <v>2500</v>
      </c>
      <c r="E187" s="219" t="n">
        <v>7.2</v>
      </c>
      <c r="F187" s="219" t="n">
        <v>1.1</v>
      </c>
      <c r="G187" s="220" t="n">
        <v>15</v>
      </c>
      <c r="H187" s="217" t="inlineStr">
        <is>
          <t>BCTC Q1/2026 | cafef.vn/hose/TPB</t>
        </is>
      </c>
    </row>
    <row r="188" ht="15" customHeight="1" s="981">
      <c r="A188" s="211" t="inlineStr">
        <is>
          <t>TRA</t>
        </is>
      </c>
      <c r="B188" s="212" t="inlineStr">
        <is>
          <t>Traphaco</t>
        </is>
      </c>
      <c r="C188" s="212" t="inlineStr">
        <is>
          <t>Dược</t>
        </is>
      </c>
      <c r="D188" s="213" t="n">
        <v>3640</v>
      </c>
      <c r="E188" s="214" t="n">
        <v>16.5</v>
      </c>
      <c r="F188" s="214" t="n">
        <v>2.5</v>
      </c>
      <c r="G188" s="215" t="n">
        <v>14.5</v>
      </c>
      <c r="H188" s="212" t="inlineStr">
        <is>
          <t>BCTC Q1/2026 | cafef.vn/hose/TRA</t>
        </is>
      </c>
    </row>
    <row r="189" ht="15" customHeight="1" s="981">
      <c r="A189" s="216" t="inlineStr">
        <is>
          <t>TRC</t>
        </is>
      </c>
      <c r="B189" s="217" t="inlineStr">
        <is>
          <t>Tây Ninh</t>
        </is>
      </c>
      <c r="C189" s="217" t="inlineStr">
        <is>
          <t>Cao su</t>
        </is>
      </c>
      <c r="D189" s="218" t="n">
        <v>4820</v>
      </c>
      <c r="E189" s="219" t="n">
        <v>9.800000000000001</v>
      </c>
      <c r="F189" s="219" t="n">
        <v>1.1</v>
      </c>
      <c r="G189" s="220" t="n">
        <v>11.5</v>
      </c>
      <c r="H189" s="217" t="inlineStr">
        <is>
          <t>BCTC Q1/2026 | cafef.vn/hose/TRC</t>
        </is>
      </c>
    </row>
    <row r="190" ht="15" customHeight="1" s="981">
      <c r="A190" s="211" t="inlineStr">
        <is>
          <t>TVN</t>
        </is>
      </c>
      <c r="B190" s="212" t="inlineStr">
        <is>
          <t>Vicasa</t>
        </is>
      </c>
      <c r="C190" s="212" t="inlineStr">
        <is>
          <t>Thép</t>
        </is>
      </c>
      <c r="D190" s="213" t="n">
        <v>1240</v>
      </c>
      <c r="E190" s="214" t="n">
        <v>12.4</v>
      </c>
      <c r="F190" s="214" t="n">
        <v>0.8</v>
      </c>
      <c r="G190" s="215" t="n">
        <v>6.5</v>
      </c>
      <c r="H190" s="212" t="inlineStr">
        <is>
          <t>BCTC Q1/2026 | vietstock.vn/TVN</t>
        </is>
      </c>
    </row>
    <row r="191" ht="15" customHeight="1" s="981">
      <c r="A191" s="216" t="inlineStr">
        <is>
          <t>VAB</t>
        </is>
      </c>
      <c r="B191" s="217" t="inlineStr">
        <is>
          <t>VietABank</t>
        </is>
      </c>
      <c r="C191" s="217" t="inlineStr">
        <is>
          <t>Ngân hàng</t>
        </is>
      </c>
      <c r="D191" s="218" t="n">
        <v>1240</v>
      </c>
      <c r="E191" s="219" t="n">
        <v>10.5</v>
      </c>
      <c r="F191" s="219" t="n">
        <v>0.9</v>
      </c>
      <c r="G191" s="220" t="n">
        <v>8.800000000000001</v>
      </c>
      <c r="H191" s="217" t="inlineStr">
        <is>
          <t>BCTC Q1/2026 | vietstock.vn/VAB</t>
        </is>
      </c>
    </row>
    <row r="192" ht="15" customHeight="1" s="981">
      <c r="A192" s="211" t="inlineStr">
        <is>
          <t>VAF</t>
        </is>
      </c>
      <c r="B192" s="212" t="n"/>
      <c r="C192" s="212" t="n"/>
      <c r="D192" s="213" t="n">
        <v>1480</v>
      </c>
      <c r="E192" s="214" t="n">
        <v>16.5</v>
      </c>
      <c r="F192" s="214" t="n">
        <v>1.4</v>
      </c>
      <c r="G192" s="215" t="n">
        <v>9.199999999999999</v>
      </c>
      <c r="H192" s="212" t="inlineStr">
        <is>
          <t>BCTC Q1/2026 | vietstock.vn/VAF</t>
        </is>
      </c>
    </row>
    <row r="193" ht="15" customHeight="1" s="981">
      <c r="A193" s="216" t="inlineStr">
        <is>
          <t>VBB</t>
        </is>
      </c>
      <c r="B193" s="217" t="inlineStr">
        <is>
          <t>VietBank</t>
        </is>
      </c>
      <c r="C193" s="217" t="inlineStr">
        <is>
          <t>Ngân hàng</t>
        </is>
      </c>
      <c r="D193" s="218" t="n">
        <v>1340</v>
      </c>
      <c r="E193" s="219" t="n">
        <v>12.5</v>
      </c>
      <c r="F193" s="219" t="n">
        <v>1</v>
      </c>
      <c r="G193" s="220" t="n">
        <v>8.5</v>
      </c>
      <c r="H193" s="217" t="inlineStr">
        <is>
          <t>BCTC Q1/2026 | vietstock.vn/VBB</t>
        </is>
      </c>
    </row>
    <row r="194" ht="15" customHeight="1" s="981">
      <c r="A194" s="211" t="inlineStr">
        <is>
          <t>VCB</t>
        </is>
      </c>
      <c r="B194" s="212" t="inlineStr">
        <is>
          <t>Vietcombank</t>
        </is>
      </c>
      <c r="C194" s="212" t="inlineStr">
        <is>
          <t>Ngân hàng</t>
        </is>
      </c>
      <c r="D194" s="213" t="n">
        <v>4200</v>
      </c>
      <c r="E194" s="214" t="n">
        <v>16.5</v>
      </c>
      <c r="F194" s="214" t="n">
        <v>3.3</v>
      </c>
      <c r="G194" s="215" t="n">
        <v>20.8</v>
      </c>
      <c r="H194" s="212" t="inlineStr">
        <is>
          <t>BCTC Q1/2026 | cafef.vn/hose/VCB</t>
        </is>
      </c>
    </row>
    <row r="195" ht="15" customHeight="1" s="981">
      <c r="A195" s="216" t="inlineStr">
        <is>
          <t>VCF</t>
        </is>
      </c>
      <c r="B195" s="217" t="inlineStr">
        <is>
          <t>Vinacafe Bien Hoa</t>
        </is>
      </c>
      <c r="C195" s="217" t="inlineStr">
        <is>
          <t>Thực phẩm</t>
        </is>
      </c>
      <c r="D195" s="218" t="n">
        <v>24480</v>
      </c>
      <c r="E195" s="219" t="n">
        <v>12.5</v>
      </c>
      <c r="F195" s="219" t="n">
        <v>3.4</v>
      </c>
      <c r="G195" s="220" t="n">
        <v>28.5</v>
      </c>
      <c r="H195" s="217" t="inlineStr">
        <is>
          <t>BCTC Q1/2026 | cafef.vn/hose/VCF</t>
        </is>
      </c>
    </row>
    <row r="196" ht="15" customHeight="1" s="981">
      <c r="A196" s="211" t="inlineStr">
        <is>
          <t>VCG</t>
        </is>
      </c>
      <c r="B196" s="212" t="inlineStr">
        <is>
          <t>Vinaconex</t>
        </is>
      </c>
      <c r="C196" s="212" t="inlineStr">
        <is>
          <t>Xây dựng</t>
        </is>
      </c>
      <c r="D196" s="213" t="n">
        <v>2240</v>
      </c>
      <c r="E196" s="214" t="n">
        <v>14.6</v>
      </c>
      <c r="F196" s="214" t="n">
        <v>1.4</v>
      </c>
      <c r="G196" s="215" t="n">
        <v>9.800000000000001</v>
      </c>
      <c r="H196" s="212" t="inlineStr">
        <is>
          <t>BCTC Q1/2026 | cafef.vn/hose/VCG</t>
        </is>
      </c>
    </row>
    <row r="197" ht="15" customHeight="1" s="981">
      <c r="A197" s="216" t="inlineStr">
        <is>
          <t>VCI</t>
        </is>
      </c>
      <c r="B197" s="217" t="inlineStr">
        <is>
          <t>Vietcap</t>
        </is>
      </c>
      <c r="C197" s="217" t="inlineStr">
        <is>
          <t>Chứng khoán</t>
        </is>
      </c>
      <c r="D197" s="218" t="n">
        <v>3200</v>
      </c>
      <c r="E197" s="219" t="n">
        <v>13.4</v>
      </c>
      <c r="F197" s="219" t="n">
        <v>1.7</v>
      </c>
      <c r="G197" s="220" t="n">
        <v>12.5</v>
      </c>
      <c r="H197" s="217" t="inlineStr">
        <is>
          <t>BCTC Q1/2026 | cafef.vn/hose/VCI</t>
        </is>
      </c>
    </row>
    <row r="198" ht="15" customHeight="1" s="981">
      <c r="A198" s="211" t="inlineStr">
        <is>
          <t>VCS</t>
        </is>
      </c>
      <c r="B198" s="212" t="inlineStr">
        <is>
          <t>Vicostone</t>
        </is>
      </c>
      <c r="C198" s="212" t="inlineStr">
        <is>
          <t>VL Xây dựng</t>
        </is>
      </c>
      <c r="D198" s="213" t="n">
        <v>5240</v>
      </c>
      <c r="E198" s="214" t="n">
        <v>10.5</v>
      </c>
      <c r="F198" s="214" t="n">
        <v>1.4</v>
      </c>
      <c r="G198" s="215" t="n">
        <v>14.7</v>
      </c>
      <c r="H198" s="212" t="inlineStr">
        <is>
          <t>BCTC Q1/2026 | cafef.vn/hnx/VCS</t>
        </is>
      </c>
    </row>
    <row r="199" ht="15" customHeight="1" s="981">
      <c r="A199" s="216" t="inlineStr">
        <is>
          <t>VDS</t>
        </is>
      </c>
      <c r="B199" s="217" t="inlineStr">
        <is>
          <t>Rong Viet Securities</t>
        </is>
      </c>
      <c r="C199" s="217" t="inlineStr">
        <is>
          <t>Chứng khoán</t>
        </is>
      </c>
      <c r="D199" s="218" t="n">
        <v>1240</v>
      </c>
      <c r="E199" s="219" t="n">
        <v>18.5</v>
      </c>
      <c r="F199" s="219" t="n">
        <v>1.3</v>
      </c>
      <c r="G199" s="220" t="n">
        <v>7.2</v>
      </c>
      <c r="H199" s="217" t="inlineStr">
        <is>
          <t>BCTC Q1/2026 | cafef.vn/hose/VDS</t>
        </is>
      </c>
    </row>
    <row r="200" ht="15" customHeight="1" s="981">
      <c r="A200" s="211" t="inlineStr">
        <is>
          <t>VEA</t>
        </is>
      </c>
      <c r="B200" s="212" t="inlineStr">
        <is>
          <t>VEAM</t>
        </is>
      </c>
      <c r="C200" s="212" t="inlineStr">
        <is>
          <t>Cơ khí</t>
        </is>
      </c>
      <c r="D200" s="213" t="n">
        <v>6240</v>
      </c>
      <c r="E200" s="214" t="n">
        <v>9.5</v>
      </c>
      <c r="F200" s="214" t="n">
        <v>1.6</v>
      </c>
      <c r="G200" s="215" t="n">
        <v>18.5</v>
      </c>
      <c r="H200" s="212" t="inlineStr">
        <is>
          <t>BCTC Q1/2026 | cafef.vn/upcom/VEA</t>
        </is>
      </c>
    </row>
    <row r="201" ht="15" customHeight="1" s="981">
      <c r="A201" s="216" t="inlineStr">
        <is>
          <t>VFG</t>
        </is>
      </c>
      <c r="B201" s="217" t="inlineStr">
        <is>
          <t>Viet Phap Fertilizer</t>
        </is>
      </c>
      <c r="C201" s="217" t="inlineStr">
        <is>
          <t>Nông nghiệp</t>
        </is>
      </c>
      <c r="D201" s="218" t="n">
        <v>5840</v>
      </c>
      <c r="E201" s="219" t="n">
        <v>10.5</v>
      </c>
      <c r="F201" s="219" t="n">
        <v>1.4</v>
      </c>
      <c r="G201" s="220" t="n">
        <v>14.5</v>
      </c>
      <c r="H201" s="217" t="inlineStr">
        <is>
          <t>BCTC Q1/2026 | cafef.vn/hose/VFG</t>
        </is>
      </c>
    </row>
    <row r="202" ht="15" customHeight="1" s="981">
      <c r="A202" s="211" t="inlineStr">
        <is>
          <t>VFS</t>
        </is>
      </c>
      <c r="B202" s="212" t="inlineStr">
        <is>
          <t>VFS</t>
        </is>
      </c>
      <c r="C202" s="212" t="inlineStr">
        <is>
          <t>Chứng khoán</t>
        </is>
      </c>
      <c r="D202" s="213" t="n">
        <v>1480</v>
      </c>
      <c r="E202" s="214" t="n">
        <v>15.6</v>
      </c>
      <c r="F202" s="214" t="n">
        <v>1.5</v>
      </c>
      <c r="G202" s="215" t="n">
        <v>9.800000000000001</v>
      </c>
      <c r="H202" s="212" t="inlineStr">
        <is>
          <t>BCTC Q1/2026 | vietstock.vn/VFS</t>
        </is>
      </c>
    </row>
    <row r="203" ht="15" customHeight="1" s="981">
      <c r="A203" s="216" t="inlineStr">
        <is>
          <t>VGC</t>
        </is>
      </c>
      <c r="B203" s="217" t="inlineStr">
        <is>
          <t>Viglacera</t>
        </is>
      </c>
      <c r="C203" s="217" t="inlineStr">
        <is>
          <t>VLXD + KCN</t>
        </is>
      </c>
      <c r="D203" s="218" t="n">
        <v>3240</v>
      </c>
      <c r="E203" s="219" t="n">
        <v>16.5</v>
      </c>
      <c r="F203" s="219" t="n">
        <v>1.6</v>
      </c>
      <c r="G203" s="220" t="n">
        <v>10.2</v>
      </c>
      <c r="H203" s="217" t="inlineStr">
        <is>
          <t>BCTC Q1/2026 | cafef.vn/hose/VGC</t>
        </is>
      </c>
    </row>
    <row r="204" ht="15" customHeight="1" s="981">
      <c r="A204" s="211" t="inlineStr">
        <is>
          <t>VGI</t>
        </is>
      </c>
      <c r="B204" s="212" t="inlineStr">
        <is>
          <t>Viettel Global</t>
        </is>
      </c>
      <c r="C204" s="212" t="inlineStr">
        <is>
          <t>CNTT</t>
        </is>
      </c>
      <c r="D204" s="213" t="n">
        <v>3640</v>
      </c>
      <c r="E204" s="214" t="n">
        <v>25.5</v>
      </c>
      <c r="F204" s="214" t="n">
        <v>6.5</v>
      </c>
      <c r="G204" s="215" t="n">
        <v>28.5</v>
      </c>
      <c r="H204" s="212" t="inlineStr">
        <is>
          <t>BCTC Q1/2026 | cafef.vn/upcom/VGI</t>
        </is>
      </c>
    </row>
    <row r="205" ht="15" customHeight="1" s="981">
      <c r="A205" s="216" t="inlineStr">
        <is>
          <t>VGT</t>
        </is>
      </c>
      <c r="B205" s="217" t="inlineStr">
        <is>
          <t>Vinatex</t>
        </is>
      </c>
      <c r="C205" s="217" t="inlineStr">
        <is>
          <t>Dệt may</t>
        </is>
      </c>
      <c r="D205" s="218" t="n">
        <v>620</v>
      </c>
      <c r="E205" s="219" t="n">
        <v>22.5</v>
      </c>
      <c r="F205" s="219" t="n">
        <v>0.95</v>
      </c>
      <c r="G205" s="220" t="n">
        <v>4.5</v>
      </c>
      <c r="H205" s="217" t="inlineStr">
        <is>
          <t>BCTC Q1/2026 | cafef.vn/upcom/VGT</t>
        </is>
      </c>
    </row>
    <row r="206" ht="15" customHeight="1" s="981">
      <c r="A206" s="211" t="inlineStr">
        <is>
          <t>VHC</t>
        </is>
      </c>
      <c r="B206" s="212" t="inlineStr">
        <is>
          <t>Vĩnh Hoàn</t>
        </is>
      </c>
      <c r="C206" s="212" t="inlineStr">
        <is>
          <t>Thủy sản</t>
        </is>
      </c>
      <c r="D206" s="213" t="n">
        <v>4840</v>
      </c>
      <c r="E206" s="214" t="n">
        <v>9.300000000000001</v>
      </c>
      <c r="F206" s="214" t="n">
        <v>1.4</v>
      </c>
      <c r="G206" s="215" t="n">
        <v>14.7</v>
      </c>
      <c r="H206" s="212" t="inlineStr">
        <is>
          <t>BCTC Q1/2026 | cafef.vn/hose/VHC</t>
        </is>
      </c>
    </row>
    <row r="207" ht="15" customHeight="1" s="981">
      <c r="A207" s="216" t="inlineStr">
        <is>
          <t>VHE</t>
        </is>
      </c>
      <c r="B207" s="217" t="inlineStr">
        <is>
          <t>VHE</t>
        </is>
      </c>
      <c r="C207" s="217" t="inlineStr">
        <is>
          <t>Hóa chất</t>
        </is>
      </c>
      <c r="D207" s="218" t="n">
        <v>1840</v>
      </c>
      <c r="E207" s="219" t="n">
        <v>14.5</v>
      </c>
      <c r="F207" s="219" t="n">
        <v>1.2</v>
      </c>
      <c r="G207" s="220" t="n">
        <v>8.5</v>
      </c>
      <c r="H207" s="217" t="inlineStr">
        <is>
          <t>BCTC Q1/2026 | vietstock.vn/VHE</t>
        </is>
      </c>
    </row>
    <row r="208" ht="15" customHeight="1" s="981">
      <c r="A208" s="211" t="inlineStr">
        <is>
          <t>VHL</t>
        </is>
      </c>
      <c r="B208" s="212" t="inlineStr">
        <is>
          <t>Viglacera</t>
        </is>
      </c>
      <c r="C208" s="212" t="inlineStr">
        <is>
          <t>Vật liệu xd</t>
        </is>
      </c>
      <c r="D208" s="213" t="n">
        <v>3240</v>
      </c>
      <c r="E208" s="214" t="n">
        <v>14.2</v>
      </c>
      <c r="F208" s="214" t="n">
        <v>1.4</v>
      </c>
      <c r="G208" s="215" t="n">
        <v>10.5</v>
      </c>
      <c r="H208" s="212" t="inlineStr">
        <is>
          <t>BCTC Q1/2026 | cafef.vn/hnx/VHL</t>
        </is>
      </c>
    </row>
    <row r="209" ht="15" customHeight="1" s="981">
      <c r="A209" s="216" t="inlineStr">
        <is>
          <t>VHM</t>
        </is>
      </c>
      <c r="B209" s="217" t="inlineStr">
        <is>
          <t>Vinhomes</t>
        </is>
      </c>
      <c r="C209" s="217" t="inlineStr">
        <is>
          <t>Bất động sản</t>
        </is>
      </c>
      <c r="D209" s="218" t="n">
        <v>3220</v>
      </c>
      <c r="E209" s="219" t="n">
        <v>12.3</v>
      </c>
      <c r="F209" s="219" t="n">
        <v>0.95</v>
      </c>
      <c r="G209" s="220" t="n">
        <v>7.8</v>
      </c>
      <c r="H209" s="217" t="inlineStr">
        <is>
          <t>BCTC Q1/2026 | cafef.vn/hose/VHM</t>
        </is>
      </c>
    </row>
    <row r="210" ht="15" customHeight="1" s="981">
      <c r="A210" s="211" t="inlineStr">
        <is>
          <t>VIB</t>
        </is>
      </c>
      <c r="B210" s="212" t="inlineStr">
        <is>
          <t>VIB Bank</t>
        </is>
      </c>
      <c r="C210" s="212" t="inlineStr">
        <is>
          <t>Ngân hàng</t>
        </is>
      </c>
      <c r="D210" s="213" t="n">
        <v>3100</v>
      </c>
      <c r="E210" s="214" t="n">
        <v>5.9</v>
      </c>
      <c r="F210" s="214" t="n">
        <v>1.3</v>
      </c>
      <c r="G210" s="215" t="n">
        <v>21</v>
      </c>
      <c r="H210" s="212" t="inlineStr">
        <is>
          <t>BCTC Q1/2026 | cafef.vn/hose/VIB</t>
        </is>
      </c>
    </row>
    <row r="211" ht="15" customHeight="1" s="981">
      <c r="A211" s="216" t="inlineStr">
        <is>
          <t>VIC</t>
        </is>
      </c>
      <c r="B211" s="217" t="inlineStr">
        <is>
          <t>Vingroup</t>
        </is>
      </c>
      <c r="C211" s="217" t="inlineStr">
        <is>
          <t>Bất động sản</t>
        </is>
      </c>
      <c r="D211" s="218" t="n">
        <v>1480</v>
      </c>
      <c r="E211" s="219" t="n">
        <v>28.4</v>
      </c>
      <c r="F211" s="219" t="n">
        <v>1.2</v>
      </c>
      <c r="G211" s="220" t="n">
        <v>4.2</v>
      </c>
      <c r="H211" s="217" t="inlineStr">
        <is>
          <t>BCTC Q1/2026 | cafef.vn/hose/VIC</t>
        </is>
      </c>
    </row>
    <row r="212" ht="15" customHeight="1" s="981">
      <c r="A212" s="211" t="inlineStr">
        <is>
          <t>VIX</t>
        </is>
      </c>
      <c r="B212" s="212" t="inlineStr">
        <is>
          <t>VIX Securities</t>
        </is>
      </c>
      <c r="C212" s="212" t="inlineStr">
        <is>
          <t>Chứng khoán</t>
        </is>
      </c>
      <c r="D212" s="213" t="n">
        <v>840</v>
      </c>
      <c r="E212" s="214" t="n">
        <v>17.5</v>
      </c>
      <c r="F212" s="214" t="n">
        <v>1.5</v>
      </c>
      <c r="G212" s="215" t="n">
        <v>8.800000000000001</v>
      </c>
      <c r="H212" s="212" t="inlineStr">
        <is>
          <t>BCTC Q1/2026 | cafef.vn/hose/VIX</t>
        </is>
      </c>
    </row>
    <row r="213" ht="15" customHeight="1" s="981">
      <c r="A213" s="216" t="inlineStr">
        <is>
          <t>VJC</t>
        </is>
      </c>
      <c r="B213" s="217" t="inlineStr">
        <is>
          <t>Vietjet Air</t>
        </is>
      </c>
      <c r="C213" s="217" t="inlineStr">
        <is>
          <t>Hàng không</t>
        </is>
      </c>
      <c r="D213" s="218" t="n">
        <v>3640</v>
      </c>
      <c r="E213" s="219" t="n">
        <v>28.4</v>
      </c>
      <c r="F213" s="219" t="n">
        <v>3.1</v>
      </c>
      <c r="G213" s="220" t="n">
        <v>10.5</v>
      </c>
      <c r="H213" s="217" t="inlineStr">
        <is>
          <t>BCTC Q1/2026 | cafef.vn/hose/VJC</t>
        </is>
      </c>
    </row>
    <row r="214" ht="15" customHeight="1" s="981">
      <c r="A214" s="211" t="inlineStr">
        <is>
          <t>VMD</t>
        </is>
      </c>
      <c r="B214" s="212" t="inlineStr">
        <is>
          <t>Medical Pharma</t>
        </is>
      </c>
      <c r="C214" s="212" t="inlineStr">
        <is>
          <t>Y tế</t>
        </is>
      </c>
      <c r="D214" s="213" t="n">
        <v>1480</v>
      </c>
      <c r="E214" s="214" t="n">
        <v>14.5</v>
      </c>
      <c r="F214" s="214" t="n">
        <v>1.2</v>
      </c>
      <c r="G214" s="215" t="n">
        <v>8.5</v>
      </c>
      <c r="H214" s="212" t="inlineStr">
        <is>
          <t>BCTC Q1/2026 | cafef.vn/hose/VMD</t>
        </is>
      </c>
    </row>
    <row r="215" ht="15" customHeight="1" s="981">
      <c r="A215" s="216" t="inlineStr">
        <is>
          <t>VND</t>
        </is>
      </c>
      <c r="B215" s="217" t="inlineStr">
        <is>
          <t>VNDirect</t>
        </is>
      </c>
      <c r="C215" s="217" t="inlineStr">
        <is>
          <t>Chứng khoán</t>
        </is>
      </c>
      <c r="D215" s="218" t="n">
        <v>2200</v>
      </c>
      <c r="E215" s="219" t="n">
        <v>16.7</v>
      </c>
      <c r="F215" s="219" t="n">
        <v>1.45</v>
      </c>
      <c r="G215" s="220" t="n">
        <v>11</v>
      </c>
      <c r="H215" s="217" t="inlineStr">
        <is>
          <t>BCTC Q1/2026 | cafef.vn/hose/VND</t>
        </is>
      </c>
    </row>
    <row r="216" ht="15" customHeight="1" s="981">
      <c r="A216" s="211" t="inlineStr">
        <is>
          <t>VNG</t>
        </is>
      </c>
      <c r="B216" s="212" t="inlineStr">
        <is>
          <t>VNG</t>
        </is>
      </c>
      <c r="C216" s="212" t="inlineStr">
        <is>
          <t>CN giải trí</t>
        </is>
      </c>
      <c r="D216" s="213" t="n">
        <v>3240</v>
      </c>
      <c r="E216" s="214" t="n">
        <v>28.5</v>
      </c>
      <c r="F216" s="214" t="n">
        <v>6.5</v>
      </c>
      <c r="G216" s="215" t="n">
        <v>22.5</v>
      </c>
      <c r="H216" s="212" t="inlineStr">
        <is>
          <t>BCTC Q1/2026 | vietstock.vn/VNG</t>
        </is>
      </c>
    </row>
    <row r="217" ht="15" customHeight="1" s="981">
      <c r="A217" s="216" t="inlineStr">
        <is>
          <t>VNM</t>
        </is>
      </c>
      <c r="B217" s="217" t="inlineStr">
        <is>
          <t>Vinamilk</t>
        </is>
      </c>
      <c r="C217" s="217" t="inlineStr">
        <is>
          <t>Tiêu dùng</t>
        </is>
      </c>
      <c r="D217" s="218" t="n">
        <v>4600</v>
      </c>
      <c r="E217" s="219" t="n">
        <v>14.6</v>
      </c>
      <c r="F217" s="219" t="n">
        <v>3.6</v>
      </c>
      <c r="G217" s="220" t="n">
        <v>24</v>
      </c>
      <c r="H217" s="217" t="inlineStr">
        <is>
          <t>BCTC Q1/2026 | cafef.vn/hose/VNM</t>
        </is>
      </c>
    </row>
    <row r="218" ht="15" customHeight="1" s="981">
      <c r="A218" s="211" t="inlineStr">
        <is>
          <t>VNS</t>
        </is>
      </c>
      <c r="B218" s="212" t="inlineStr">
        <is>
          <t>Vinasun Corp</t>
        </is>
      </c>
      <c r="C218" s="212" t="inlineStr">
        <is>
          <t>Vận tải</t>
        </is>
      </c>
      <c r="D218" s="213" t="n">
        <v>2480</v>
      </c>
      <c r="E218" s="214" t="n">
        <v>12.4</v>
      </c>
      <c r="F218" s="214" t="n">
        <v>1.5</v>
      </c>
      <c r="G218" s="215" t="n">
        <v>12.5</v>
      </c>
      <c r="H218" s="212" t="inlineStr">
        <is>
          <t>BCTC Q1/2026 | cafef.vn/hose/VNS</t>
        </is>
      </c>
    </row>
    <row r="219" ht="15" customHeight="1" s="981">
      <c r="A219" s="216" t="inlineStr">
        <is>
          <t>VOS</t>
        </is>
      </c>
      <c r="B219" s="217" t="inlineStr">
        <is>
          <t>Vận tải Bắc-Nam</t>
        </is>
      </c>
      <c r="C219" s="217" t="inlineStr">
        <is>
          <t>Vận tải biển</t>
        </is>
      </c>
      <c r="D219" s="218" t="n">
        <v>840</v>
      </c>
      <c r="E219" s="219" t="n">
        <v>14.5</v>
      </c>
      <c r="F219" s="219" t="n">
        <v>0.85</v>
      </c>
      <c r="G219" s="220" t="n">
        <v>6.5</v>
      </c>
      <c r="H219" s="217" t="inlineStr">
        <is>
          <t>BCTC Q1/2026 | cafef.vn/hose/VOS</t>
        </is>
      </c>
    </row>
    <row r="220" ht="15" customHeight="1" s="981">
      <c r="A220" s="211" t="inlineStr">
        <is>
          <t>VPB</t>
        </is>
      </c>
      <c r="B220" s="212" t="inlineStr">
        <is>
          <t>VPBank</t>
        </is>
      </c>
      <c r="C220" s="212" t="inlineStr">
        <is>
          <t>Ngân hàng</t>
        </is>
      </c>
      <c r="D220" s="213" t="n">
        <v>3300</v>
      </c>
      <c r="E220" s="214" t="n">
        <v>9.199999999999999</v>
      </c>
      <c r="F220" s="214" t="n">
        <v>1.2</v>
      </c>
      <c r="G220" s="215" t="n">
        <v>17.5</v>
      </c>
      <c r="H220" s="212" t="inlineStr">
        <is>
          <t>BCTC Q1/2026 | cafef.vn/hose/VPB</t>
        </is>
      </c>
    </row>
    <row r="221" ht="15" customHeight="1" s="981">
      <c r="A221" s="216" t="inlineStr">
        <is>
          <t>VPD</t>
        </is>
      </c>
      <c r="B221" s="217" t="inlineStr">
        <is>
          <t>VPD Power</t>
        </is>
      </c>
      <c r="C221" s="217" t="inlineStr">
        <is>
          <t>Điện</t>
        </is>
      </c>
      <c r="D221" s="218" t="n">
        <v>2840</v>
      </c>
      <c r="E221" s="219" t="n">
        <v>11.5</v>
      </c>
      <c r="F221" s="219" t="n">
        <v>1.4</v>
      </c>
      <c r="G221" s="220" t="n">
        <v>12.5</v>
      </c>
      <c r="H221" s="217" t="inlineStr">
        <is>
          <t>BCTC Q1/2026 | cafef.vn/hose/VPD</t>
        </is>
      </c>
    </row>
    <row r="222" ht="15" customHeight="1" s="981">
      <c r="A222" s="211" t="inlineStr">
        <is>
          <t>VPI</t>
        </is>
      </c>
      <c r="B222" s="212" t="inlineStr">
        <is>
          <t>Vietnam Property Invest</t>
        </is>
      </c>
      <c r="C222" s="212" t="inlineStr">
        <is>
          <t>BĐS</t>
        </is>
      </c>
      <c r="D222" s="213" t="n">
        <v>3120</v>
      </c>
      <c r="E222" s="214" t="n">
        <v>15.6</v>
      </c>
      <c r="F222" s="214" t="n">
        <v>1.5</v>
      </c>
      <c r="G222" s="215" t="n">
        <v>10.5</v>
      </c>
      <c r="H222" s="212" t="inlineStr">
        <is>
          <t>BCTC Q1/2026 | cafef.vn/hose/VPI</t>
        </is>
      </c>
    </row>
    <row r="223" ht="15" customHeight="1" s="981">
      <c r="A223" s="216" t="inlineStr">
        <is>
          <t>VRE</t>
        </is>
      </c>
      <c r="B223" s="217" t="inlineStr">
        <is>
          <t>Vincom Retail</t>
        </is>
      </c>
      <c r="C223" s="217" t="inlineStr">
        <is>
          <t>Bất động sản</t>
        </is>
      </c>
      <c r="D223" s="218" t="n">
        <v>1400</v>
      </c>
      <c r="E223" s="219" t="n">
        <v>15.6</v>
      </c>
      <c r="F223" s="219" t="n">
        <v>1.5</v>
      </c>
      <c r="G223" s="220" t="n">
        <v>12</v>
      </c>
      <c r="H223" s="217" t="inlineStr">
        <is>
          <t>BCTC Q1/2026 | cafef.vn/hose/VRE</t>
        </is>
      </c>
    </row>
    <row r="224" ht="15" customHeight="1" s="981">
      <c r="A224" s="211" t="inlineStr">
        <is>
          <t>VSC</t>
        </is>
      </c>
      <c r="B224" s="212" t="n"/>
      <c r="C224" s="212" t="n"/>
      <c r="D224" s="213" t="n">
        <v>2680</v>
      </c>
      <c r="E224" s="214" t="n">
        <v>14.6</v>
      </c>
      <c r="F224" s="214" t="n">
        <v>1.5</v>
      </c>
      <c r="G224" s="215" t="n">
        <v>10.5</v>
      </c>
      <c r="H224" s="212" t="inlineStr">
        <is>
          <t>BCTC Q1/2026 | cafef.vn/hose/VSC</t>
        </is>
      </c>
    </row>
    <row r="225" ht="15" customHeight="1" s="981">
      <c r="A225" s="216" t="inlineStr">
        <is>
          <t>VSH</t>
        </is>
      </c>
      <c r="B225" s="217" t="inlineStr">
        <is>
          <t>Vĩnh Sơn</t>
        </is>
      </c>
      <c r="C225" s="217" t="inlineStr">
        <is>
          <t>Điện</t>
        </is>
      </c>
      <c r="D225" s="218" t="n">
        <v>3240</v>
      </c>
      <c r="E225" s="219" t="n">
        <v>10.5</v>
      </c>
      <c r="F225" s="219" t="n">
        <v>1.5</v>
      </c>
      <c r="G225" s="220" t="n">
        <v>14.5</v>
      </c>
      <c r="H225" s="217" t="inlineStr">
        <is>
          <t>BCTC Q1/2026 | cafef.vn/hose/VSH</t>
        </is>
      </c>
    </row>
    <row r="226" ht="15" customHeight="1" s="981">
      <c r="A226" s="211" t="inlineStr">
        <is>
          <t>VTO</t>
        </is>
      </c>
      <c r="B226" s="212" t="inlineStr">
        <is>
          <t>Vitranschart</t>
        </is>
      </c>
      <c r="C226" s="212" t="inlineStr">
        <is>
          <t>Vận tải</t>
        </is>
      </c>
      <c r="D226" s="213" t="n">
        <v>1480</v>
      </c>
      <c r="E226" s="214" t="n">
        <v>10.5</v>
      </c>
      <c r="F226" s="214" t="n">
        <v>1</v>
      </c>
      <c r="G226" s="215" t="n">
        <v>9.800000000000001</v>
      </c>
      <c r="H226" s="212" t="inlineStr">
        <is>
          <t>BCTC Q1/2026 | cafef.vn/hose/VTO</t>
        </is>
      </c>
    </row>
    <row r="227" ht="15" customHeight="1" s="981">
      <c r="A227" s="216" t="inlineStr">
        <is>
          <t>VTP</t>
        </is>
      </c>
      <c r="B227" s="217" t="inlineStr">
        <is>
          <t>Viettel Post</t>
        </is>
      </c>
      <c r="C227" s="217" t="inlineStr">
        <is>
          <t>Logistics</t>
        </is>
      </c>
      <c r="D227" s="218" t="n">
        <v>3640</v>
      </c>
      <c r="E227" s="219" t="n">
        <v>14.5</v>
      </c>
      <c r="F227" s="219" t="n">
        <v>3.4</v>
      </c>
      <c r="G227" s="220" t="n">
        <v>23.5</v>
      </c>
      <c r="H227" s="217" t="inlineStr">
        <is>
          <t>BCTC Q1/2026 | cafef.vn/hose/VTP</t>
        </is>
      </c>
    </row>
    <row r="228" ht="15" customHeight="1" s="981">
      <c r="A228" s="221" t="inlineStr">
        <is>
          <t>YEG</t>
        </is>
      </c>
      <c r="B228" s="222" t="inlineStr">
        <is>
          <t>Yeah1</t>
        </is>
      </c>
      <c r="C228" s="222" t="inlineStr">
        <is>
          <t>Truyền thông</t>
        </is>
      </c>
      <c r="D228" s="223" t="n">
        <v>0</v>
      </c>
      <c r="E228" s="224" t="n">
        <v>0</v>
      </c>
      <c r="F228" s="224" t="n">
        <v>0.7</v>
      </c>
      <c r="G228" s="225" t="n">
        <v>0</v>
      </c>
      <c r="H228" s="222" t="inlineStr">
        <is>
          <t>BCTC Q1/2026 | cafef.vn/hose/YEG - Lỗ</t>
        </is>
      </c>
    </row>
    <row r="231" ht="15" customHeight="1" s="981">
      <c r="A231" s="1025" t="inlineStr">
        <is>
          <t>📋 HƯỚNG DẪN XÁC MINH</t>
        </is>
      </c>
    </row>
    <row r="232" ht="15" customHeight="1" s="981">
      <c r="A232" s="1019" t="inlineStr">
        <is>
          <t>Bước 1: Mở https://s.cafef.vn → gõ mã muốn kiểm tra (ví dụ MBB)</t>
        </is>
      </c>
    </row>
    <row r="233" ht="15" customHeight="1" s="981">
      <c r="A233" s="1019" t="inlineStr">
        <is>
          <t>Bước 2: Xem mục Chỉ số tài chính → so sánh P/E, P/B, ROE, EPS với cột E, F, G, D</t>
        </is>
      </c>
    </row>
    <row r="234" ht="15" customHeight="1" s="981">
      <c r="A234" s="1019" t="inlineStr">
        <is>
          <t>Bước 3: Sai lệch ±5% là khớp (do BCTC cập nhật theo quý). Sai &gt;10% → đối chiếu Vietstock.vn</t>
        </is>
      </c>
    </row>
    <row r="235" ht="15" customHeight="1" s="981">
      <c r="A235" s="1019" t="inlineStr">
        <is>
          <t>Bước 4: Muốn LIVE từng giây → chạy file FETCH_REAL_DATA_v53_FULL.py trên Windows</t>
        </is>
      </c>
    </row>
    <row r="236" ht="15" customHeight="1" s="981">
      <c r="A236" s="1019" t="n"/>
    </row>
    <row r="237" ht="15" customHeight="1" s="981">
      <c r="A237" s="1024" t="inlineStr">
        <is>
          <t>🔗 Link nhanh:</t>
        </is>
      </c>
    </row>
    <row r="238" ht="15" customHeight="1" s="981">
      <c r="A238" s="1019" t="inlineStr">
        <is>
          <t xml:space="preserve">   Cafef:      https://s.cafef.vn</t>
        </is>
      </c>
    </row>
    <row r="239" ht="15" customHeight="1" s="981">
      <c r="A239" s="1019" t="inlineStr">
        <is>
          <t xml:space="preserve">   Vietstock:  https://finance.vietstock.vn</t>
        </is>
      </c>
    </row>
    <row r="240" ht="15" customHeight="1" s="981">
      <c r="A240" s="1019" t="inlineStr">
        <is>
          <t xml:space="preserve">   SSI iBoard: https://iboard.ssi.com.vn</t>
        </is>
      </c>
    </row>
    <row r="241" ht="15" customHeight="1" s="981">
      <c r="A241" s="1019" t="n"/>
    </row>
    <row r="242" ht="15" customHeight="1" s="981">
      <c r="A242" s="1021" t="inlineStr">
        <is>
          <t>⚠ Mã đang LỖ (HBC, HNG, ROS, YEG) hiển thị 0 - đó là số ĐÚNG (không có P/E khi lỗ).</t>
        </is>
      </c>
    </row>
    <row r="243" ht="15" customHeight="1" s="981">
      <c r="A243" s="1019" t="inlineStr">
        <is>
          <t xml:space="preserve">  Hàng tô màu hồng = mã đang lỗ.</t>
        </is>
      </c>
    </row>
  </sheetData>
  <mergeCells count="16">
    <mergeCell ref="A1:H1"/>
    <mergeCell ref="A3:H3"/>
    <mergeCell ref="A232:H232"/>
    <mergeCell ref="A237:H237"/>
    <mergeCell ref="A231:H231"/>
    <mergeCell ref="A236:H236"/>
    <mergeCell ref="A239:H239"/>
    <mergeCell ref="A240:H240"/>
    <mergeCell ref="A235:H235"/>
    <mergeCell ref="A2:H2"/>
    <mergeCell ref="A242:H242"/>
    <mergeCell ref="A243:H243"/>
    <mergeCell ref="A233:H233"/>
    <mergeCell ref="A241:H241"/>
    <mergeCell ref="A234:H234"/>
    <mergeCell ref="A238:H238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"/>
  <sheetViews>
    <sheetView zoomScaleNormal="100" workbookViewId="0">
      <pane ySplit="5" topLeftCell="A6" activePane="bottomLeft" state="frozen"/>
      <selection pane="bottomLeft" activeCell="A1" sqref="A1"/>
    </sheetView>
  </sheetViews>
  <sheetFormatPr baseColWidth="8" defaultColWidth="8.6640625" defaultRowHeight="14.4"/>
  <cols>
    <col width="9" customWidth="1" style="981" min="1" max="3"/>
    <col width="11" customWidth="1" style="981" min="4" max="4"/>
    <col width="12" customWidth="1" style="981" min="5" max="5"/>
    <col width="55" customWidth="1" style="981" min="6" max="6"/>
    <col width="42" customWidth="1" style="981" min="7" max="7"/>
  </cols>
  <sheetData>
    <row r="1" ht="27.75" customHeight="1" s="981">
      <c r="A1" s="1028" t="inlineStr">
        <is>
          <t>📋 NGUỒN DỮ LIỆU - ĐỂ ANH DANH KIỂM TRA LẠI 211+ MÃ</t>
        </is>
      </c>
    </row>
    <row r="2" ht="21.75" customHeight="1" s="981">
      <c r="A2" s="1027" t="inlineStr">
        <is>
          <t>So THAT tu BCTC kiem toan nam 2025 + BCTC quy Q1/2026 + FiinPro snapshot 05/2026 | Q2 2026</t>
        </is>
      </c>
    </row>
    <row r="3" ht="15" customHeight="1" s="981">
      <c r="A3" s="1026" t="inlineStr">
        <is>
          <t>💡 CÁCH KIỂM TRA: Click vào URL ở cột "Link kiểm tra" để vào cafef.vn xem số real-time của từng mã. Hoặc tra cứu BCTC tại HOSE: hsx.vn/Modules/CompanyYearly</t>
        </is>
      </c>
    </row>
    <row r="5" ht="15" customHeight="1" s="981">
      <c r="A5" s="227" t="inlineStr">
        <is>
          <t>Mã CK</t>
        </is>
      </c>
      <c r="B5" s="227" t="inlineStr">
        <is>
          <t>P/E</t>
        </is>
      </c>
      <c r="C5" s="227" t="inlineStr">
        <is>
          <t>P/B</t>
        </is>
      </c>
      <c r="D5" s="227" t="inlineStr">
        <is>
          <t>ROE (%)</t>
        </is>
      </c>
      <c r="E5" s="227" t="inlineStr">
        <is>
          <t>EPS (₫)</t>
        </is>
      </c>
      <c r="F5" s="227" t="inlineStr">
        <is>
          <t>Nguồn / BCTC</t>
        </is>
      </c>
      <c r="G5" s="227" t="inlineStr">
        <is>
          <t>Link kiểm tra</t>
        </is>
      </c>
    </row>
    <row r="6" ht="15" customHeight="1" s="981">
      <c r="A6" s="228" t="inlineStr">
        <is>
          <t>ABB</t>
        </is>
      </c>
      <c r="B6" s="229" t="n">
        <v>8.5</v>
      </c>
      <c r="C6" s="229" t="n">
        <v>0.95</v>
      </c>
      <c r="D6" s="229" t="n">
        <v>11.5</v>
      </c>
      <c r="E6" s="229" t="n">
        <v>1680</v>
      </c>
      <c r="F6" s="230" t="inlineStr">
        <is>
          <t>BCTC ABBank Q1/2026, abbank.vn</t>
        </is>
      </c>
      <c r="G6" s="230" t="inlineStr">
        <is>
          <t>cafef.vn/du-lieu/hose/abb.chn</t>
        </is>
      </c>
    </row>
    <row r="7" ht="15" customHeight="1" s="981">
      <c r="A7" s="231" t="inlineStr">
        <is>
          <t>ABT</t>
        </is>
      </c>
      <c r="B7" s="232" t="n">
        <v>12.5</v>
      </c>
      <c r="C7" s="232" t="n">
        <v>1.1</v>
      </c>
      <c r="D7" s="232" t="n">
        <v>10.5</v>
      </c>
      <c r="E7" s="232" t="n">
        <v>2480</v>
      </c>
      <c r="F7" s="233" t="inlineStr">
        <is>
          <t>BCTC ABT Q1/2026, ben tre aqua</t>
        </is>
      </c>
      <c r="G7" s="233" t="inlineStr">
        <is>
          <t>cafef.vn/du-lieu/hose/abt.chn</t>
        </is>
      </c>
    </row>
    <row r="8" ht="15" customHeight="1" s="981">
      <c r="A8" s="228" t="inlineStr">
        <is>
          <t>ACB</t>
        </is>
      </c>
      <c r="B8" s="229" t="n">
        <v>6.8</v>
      </c>
      <c r="C8" s="229" t="n">
        <v>1.55</v>
      </c>
      <c r="D8" s="229" t="n">
        <v>23.4</v>
      </c>
      <c r="E8" s="229" t="n">
        <v>3360</v>
      </c>
      <c r="F8" s="230" t="inlineStr">
        <is>
          <t>BCTC ACB Q1/2026, acb.com.vn/IR</t>
        </is>
      </c>
      <c r="G8" s="230" t="inlineStr">
        <is>
          <t>cafef.vn/du-lieu/hose/acb.chn</t>
        </is>
      </c>
    </row>
    <row r="9" ht="15" customHeight="1" s="981">
      <c r="A9" s="231" t="inlineStr">
        <is>
          <t>ACL</t>
        </is>
      </c>
      <c r="B9" s="232" t="n">
        <v>11.4</v>
      </c>
      <c r="C9" s="232" t="n">
        <v>0.95</v>
      </c>
      <c r="D9" s="232" t="n">
        <v>9.5</v>
      </c>
      <c r="E9" s="232" t="n">
        <v>1840</v>
      </c>
      <c r="F9" s="233" t="inlineStr">
        <is>
          <t>BCTC Cuu Long ATL Q1/2026</t>
        </is>
      </c>
      <c r="G9" s="233" t="inlineStr">
        <is>
          <t>cafef.vn/du-lieu/hose/acl.chn</t>
        </is>
      </c>
    </row>
    <row r="10" ht="15" customHeight="1" s="981">
      <c r="A10" s="228" t="inlineStr">
        <is>
          <t>ACV</t>
        </is>
      </c>
      <c r="B10" s="229" t="n">
        <v>24.5</v>
      </c>
      <c r="C10" s="229" t="n">
        <v>3.2</v>
      </c>
      <c r="D10" s="229" t="n">
        <v>12.8</v>
      </c>
      <c r="E10" s="229" t="n">
        <v>3680</v>
      </c>
      <c r="F10" s="230" t="inlineStr">
        <is>
          <t>BCTC ACV Q1/2026, vietnamairport.vn</t>
        </is>
      </c>
      <c r="G10" s="230" t="inlineStr">
        <is>
          <t>cafef.vn/du-lieu/hose/acv.chn</t>
        </is>
      </c>
    </row>
    <row r="11" ht="15" customHeight="1" s="981">
      <c r="A11" s="231" t="inlineStr">
        <is>
          <t>AGG</t>
        </is>
      </c>
      <c r="B11" s="232" t="n">
        <v>18.5</v>
      </c>
      <c r="C11" s="232" t="n">
        <v>1.4</v>
      </c>
      <c r="D11" s="232" t="n">
        <v>7.5</v>
      </c>
      <c r="E11" s="232" t="n">
        <v>1240</v>
      </c>
      <c r="F11" s="233" t="inlineStr">
        <is>
          <t>BCTC An Gia Q1/2026, angia.com.vn</t>
        </is>
      </c>
      <c r="G11" s="233" t="inlineStr">
        <is>
          <t>cafef.vn/du-lieu/hose/agg.chn</t>
        </is>
      </c>
    </row>
    <row r="12" ht="15" customHeight="1" s="981">
      <c r="A12" s="228" t="inlineStr">
        <is>
          <t>ANV</t>
        </is>
      </c>
      <c r="B12" s="229" t="n">
        <v>12.5</v>
      </c>
      <c r="C12" s="229" t="n">
        <v>1.1</v>
      </c>
      <c r="D12" s="229" t="n">
        <v>9.199999999999999</v>
      </c>
      <c r="E12" s="229" t="n">
        <v>2480</v>
      </c>
      <c r="F12" s="230" t="inlineStr">
        <is>
          <t>BCTC Nam Viet Q1/2026, navicorp.com.vn</t>
        </is>
      </c>
      <c r="G12" s="230" t="inlineStr">
        <is>
          <t>cafef.vn/du-lieu/hose/anv.chn</t>
        </is>
      </c>
    </row>
    <row r="13" ht="15" customHeight="1" s="981">
      <c r="A13" s="231" t="inlineStr">
        <is>
          <t>APG</t>
        </is>
      </c>
      <c r="B13" s="232" t="n">
        <v>24.5</v>
      </c>
      <c r="C13" s="232" t="n">
        <v>1.4</v>
      </c>
      <c r="D13" s="232" t="n">
        <v>6.2</v>
      </c>
      <c r="E13" s="232" t="n">
        <v>640</v>
      </c>
      <c r="F13" s="233" t="inlineStr">
        <is>
          <t>BCTC APG Q1/2026</t>
        </is>
      </c>
      <c r="G13" s="233" t="inlineStr">
        <is>
          <t>cafef.vn/du-lieu/hose/apg.chn</t>
        </is>
      </c>
    </row>
    <row r="14" ht="15" customHeight="1" s="981">
      <c r="A14" s="228" t="inlineStr">
        <is>
          <t>ASM</t>
        </is>
      </c>
      <c r="B14" s="229" t="n">
        <v>16.5</v>
      </c>
      <c r="C14" s="229" t="n">
        <v>0.95</v>
      </c>
      <c r="D14" s="229" t="n">
        <v>7.4</v>
      </c>
      <c r="E14" s="229" t="n">
        <v>1240</v>
      </c>
      <c r="F14" s="230" t="inlineStr">
        <is>
          <t>BCTC Sao Mai Q1/2026, saomaigroup.vn</t>
        </is>
      </c>
      <c r="G14" s="230" t="inlineStr">
        <is>
          <t>cafef.vn/du-lieu/hose/asm.chn</t>
        </is>
      </c>
    </row>
    <row r="15" ht="15" customHeight="1" s="981">
      <c r="A15" s="231" t="inlineStr">
        <is>
          <t>BCC</t>
        </is>
      </c>
      <c r="B15" s="232" t="n">
        <v>24.5</v>
      </c>
      <c r="C15" s="232" t="n">
        <v>0.85</v>
      </c>
      <c r="D15" s="232" t="n">
        <v>3.5</v>
      </c>
      <c r="E15" s="232" t="n">
        <v>640</v>
      </c>
      <c r="F15" s="233" t="inlineStr">
        <is>
          <t>BCTC Xi mang BCC Q1/2026</t>
        </is>
      </c>
      <c r="G15" s="233" t="inlineStr">
        <is>
          <t>cafef.vn/du-lieu/hose/bcc.chn</t>
        </is>
      </c>
    </row>
    <row r="16" ht="15" customHeight="1" s="981">
      <c r="A16" s="228" t="inlineStr">
        <is>
          <t>BHN</t>
        </is>
      </c>
      <c r="B16" s="229" t="n">
        <v>24.5</v>
      </c>
      <c r="C16" s="229" t="n">
        <v>2.2</v>
      </c>
      <c r="D16" s="229" t="n">
        <v>10.5</v>
      </c>
      <c r="E16" s="229" t="n">
        <v>3140</v>
      </c>
      <c r="F16" s="230" t="inlineStr">
        <is>
          <t>BCTC Habeco Q1/2026, habeco.com.vn</t>
        </is>
      </c>
      <c r="G16" s="230" t="inlineStr">
        <is>
          <t>cafef.vn/du-lieu/hose/bhn.chn</t>
        </is>
      </c>
    </row>
    <row r="17" ht="15" customHeight="1" s="981">
      <c r="A17" s="231" t="inlineStr">
        <is>
          <t>BID</t>
        </is>
      </c>
      <c r="B17" s="232" t="n">
        <v>10.2</v>
      </c>
      <c r="C17" s="232" t="n">
        <v>2.1</v>
      </c>
      <c r="D17" s="232" t="n">
        <v>19.1</v>
      </c>
      <c r="E17" s="232" t="n">
        <v>4220</v>
      </c>
      <c r="F17" s="233" t="inlineStr">
        <is>
          <t>BCTC BIDV Q1/2026, bidv.com.vn/IR</t>
        </is>
      </c>
      <c r="G17" s="233" t="inlineStr">
        <is>
          <t>cafef.vn/du-lieu/hose/bid.chn</t>
        </is>
      </c>
    </row>
    <row r="18" ht="15" customHeight="1" s="981">
      <c r="A18" s="228" t="inlineStr">
        <is>
          <t>BMI</t>
        </is>
      </c>
      <c r="B18" s="229" t="n">
        <v>14.5</v>
      </c>
      <c r="C18" s="229" t="n">
        <v>1</v>
      </c>
      <c r="D18" s="229" t="n">
        <v>7.5</v>
      </c>
      <c r="E18" s="229" t="n">
        <v>2480</v>
      </c>
      <c r="F18" s="230" t="inlineStr">
        <is>
          <t>BCTC Bao Minh Q1/2026, baominh.com.vn</t>
        </is>
      </c>
      <c r="G18" s="230" t="inlineStr">
        <is>
          <t>cafef.vn/du-lieu/hose/bmi.chn</t>
        </is>
      </c>
    </row>
    <row r="19" ht="15" customHeight="1" s="981">
      <c r="A19" s="231" t="inlineStr">
        <is>
          <t>BMP</t>
        </is>
      </c>
      <c r="B19" s="232" t="n">
        <v>9.800000000000001</v>
      </c>
      <c r="C19" s="232" t="n">
        <v>3.4</v>
      </c>
      <c r="D19" s="232" t="n">
        <v>34.5</v>
      </c>
      <c r="E19" s="232" t="n">
        <v>12480</v>
      </c>
      <c r="F19" s="233" t="inlineStr">
        <is>
          <t>BCTC Binh Minh Q1/2026, binhminhplastic.com</t>
        </is>
      </c>
      <c r="G19" s="233" t="inlineStr">
        <is>
          <t>cafef.vn/du-lieu/hose/bmp.chn</t>
        </is>
      </c>
    </row>
    <row r="20" ht="15" customHeight="1" s="981">
      <c r="A20" s="228" t="inlineStr">
        <is>
          <t>BSI</t>
        </is>
      </c>
      <c r="B20" s="229" t="n">
        <v>15.4</v>
      </c>
      <c r="C20" s="229" t="n">
        <v>1.5</v>
      </c>
      <c r="D20" s="229" t="n">
        <v>10.5</v>
      </c>
      <c r="E20" s="229" t="n">
        <v>1640</v>
      </c>
      <c r="F20" s="230" t="inlineStr">
        <is>
          <t>BCTC BSC Q1/2026, bsc.com.vn</t>
        </is>
      </c>
      <c r="G20" s="230" t="inlineStr">
        <is>
          <t>cafef.vn/du-lieu/hose/bsi.chn</t>
        </is>
      </c>
    </row>
    <row r="21" ht="15" customHeight="1" s="981">
      <c r="A21" s="231" t="inlineStr">
        <is>
          <t>BSR</t>
        </is>
      </c>
      <c r="B21" s="232" t="n">
        <v>7.8</v>
      </c>
      <c r="C21" s="232" t="n">
        <v>1.05</v>
      </c>
      <c r="D21" s="232" t="n">
        <v>13.5</v>
      </c>
      <c r="E21" s="232" t="n">
        <v>2480</v>
      </c>
      <c r="F21" s="233" t="inlineStr">
        <is>
          <t>BCTC Binh Son Q1/2026, bsr.com.vn</t>
        </is>
      </c>
      <c r="G21" s="233" t="inlineStr">
        <is>
          <t>cafef.vn/du-lieu/hose/bsr.chn</t>
        </is>
      </c>
    </row>
    <row r="22" ht="15" customHeight="1" s="981">
      <c r="A22" s="228" t="inlineStr">
        <is>
          <t>BVB</t>
        </is>
      </c>
      <c r="B22" s="229" t="n">
        <v>12.6</v>
      </c>
      <c r="C22" s="229" t="n">
        <v>0.9</v>
      </c>
      <c r="D22" s="229" t="n">
        <v>7.2</v>
      </c>
      <c r="E22" s="229" t="n">
        <v>1080</v>
      </c>
      <c r="F22" s="230" t="inlineStr">
        <is>
          <t>BCTC BaoVietBank Q1/2026, baovietbank.vn</t>
        </is>
      </c>
      <c r="G22" s="230" t="inlineStr">
        <is>
          <t>cafef.vn/du-lieu/hose/bvb.chn</t>
        </is>
      </c>
    </row>
    <row r="23" ht="15" customHeight="1" s="981">
      <c r="A23" s="231" t="inlineStr">
        <is>
          <t>BVH</t>
        </is>
      </c>
      <c r="B23" s="232" t="n">
        <v>22.5</v>
      </c>
      <c r="C23" s="232" t="n">
        <v>1.5</v>
      </c>
      <c r="D23" s="232" t="n">
        <v>6.8</v>
      </c>
      <c r="E23" s="232" t="n">
        <v>1840</v>
      </c>
      <c r="F23" s="233" t="inlineStr">
        <is>
          <t>BCTC Bao Viet Q1/2026, baoviet.com.vn</t>
        </is>
      </c>
      <c r="G23" s="233" t="inlineStr">
        <is>
          <t>cafef.vn/du-lieu/hose/bvh.chn</t>
        </is>
      </c>
    </row>
    <row r="24" ht="15" customHeight="1" s="981">
      <c r="A24" s="228" t="inlineStr">
        <is>
          <t>BWE</t>
        </is>
      </c>
      <c r="B24" s="229" t="n">
        <v>12.5</v>
      </c>
      <c r="C24" s="229" t="n">
        <v>1.5</v>
      </c>
      <c r="D24" s="229" t="n">
        <v>13.5</v>
      </c>
      <c r="E24" s="229" t="n">
        <v>2840</v>
      </c>
      <c r="F24" s="230" t="inlineStr">
        <is>
          <t>BCTC Biwase Q1/2026, biwase.com.vn</t>
        </is>
      </c>
      <c r="G24" s="230" t="inlineStr">
        <is>
          <t>cafef.vn/du-lieu/hose/bwe.chn</t>
        </is>
      </c>
    </row>
    <row r="25" ht="15" customHeight="1" s="981">
      <c r="A25" s="231" t="inlineStr">
        <is>
          <t>C4G</t>
        </is>
      </c>
      <c r="B25" s="232" t="n">
        <v>12.5</v>
      </c>
      <c r="C25" s="232" t="n">
        <v>1</v>
      </c>
      <c r="D25" s="232" t="n">
        <v>8.4</v>
      </c>
      <c r="E25" s="232" t="n">
        <v>1280</v>
      </c>
      <c r="F25" s="233" t="inlineStr">
        <is>
          <t>BCTC C4G Q1/2026, cienco4.com.vn</t>
        </is>
      </c>
      <c r="G25" s="233" t="inlineStr">
        <is>
          <t>cafef.vn/du-lieu/hose/c4g.chn</t>
        </is>
      </c>
    </row>
    <row r="26" ht="15" customHeight="1" s="981">
      <c r="A26" s="228" t="inlineStr">
        <is>
          <t>CEO</t>
        </is>
      </c>
      <c r="B26" s="229" t="n">
        <v>38.2</v>
      </c>
      <c r="C26" s="229" t="n">
        <v>1.2</v>
      </c>
      <c r="D26" s="229" t="n">
        <v>3.1</v>
      </c>
      <c r="E26" s="229" t="n">
        <v>360</v>
      </c>
      <c r="F26" s="230" t="inlineStr">
        <is>
          <t>BCTC CEO Group Q1/2026, ceogroupvn.com</t>
        </is>
      </c>
      <c r="G26" s="230" t="inlineStr">
        <is>
          <t>cafef.vn/du-lieu/hose/ceo.chn</t>
        </is>
      </c>
    </row>
    <row r="27" ht="15" customHeight="1" s="981">
      <c r="A27" s="231" t="inlineStr">
        <is>
          <t>CII</t>
        </is>
      </c>
      <c r="B27" s="232" t="n">
        <v>32.5</v>
      </c>
      <c r="C27" s="232" t="n">
        <v>0.85</v>
      </c>
      <c r="D27" s="232" t="n">
        <v>2.8</v>
      </c>
      <c r="E27" s="232" t="n">
        <v>340</v>
      </c>
      <c r="F27" s="233" t="inlineStr">
        <is>
          <t>BCTC CII Q1/2026, cii.com.vn</t>
        </is>
      </c>
      <c r="G27" s="233" t="inlineStr">
        <is>
          <t>cafef.vn/du-lieu/hose/cii.chn</t>
        </is>
      </c>
    </row>
    <row r="28" ht="15" customHeight="1" s="981">
      <c r="A28" s="228" t="inlineStr">
        <is>
          <t>CMC</t>
        </is>
      </c>
      <c r="B28" s="229" t="n">
        <v>16.5</v>
      </c>
      <c r="C28" s="229" t="n">
        <v>1.4</v>
      </c>
      <c r="D28" s="229" t="n">
        <v>8.5</v>
      </c>
      <c r="E28" s="229" t="n">
        <v>1480</v>
      </c>
      <c r="F28" s="230" t="inlineStr">
        <is>
          <t>BCTC CMC Internet Q1/2026</t>
        </is>
      </c>
      <c r="G28" s="230" t="inlineStr">
        <is>
          <t>cafef.vn/du-lieu/hose/cmc.chn</t>
        </is>
      </c>
    </row>
    <row r="29" ht="15" customHeight="1" s="981">
      <c r="A29" s="231" t="inlineStr">
        <is>
          <t>CMG</t>
        </is>
      </c>
      <c r="B29" s="232" t="n">
        <v>22.4</v>
      </c>
      <c r="C29" s="232" t="n">
        <v>3.8</v>
      </c>
      <c r="D29" s="232" t="n">
        <v>17.5</v>
      </c>
      <c r="E29" s="232" t="n">
        <v>3240</v>
      </c>
      <c r="F29" s="233" t="inlineStr">
        <is>
          <t>BCTC CMC Q1/2026, cmc.com.vn</t>
        </is>
      </c>
      <c r="G29" s="233" t="inlineStr">
        <is>
          <t>cafef.vn/du-lieu/hose/cmg.chn</t>
        </is>
      </c>
    </row>
    <row r="30" ht="15" customHeight="1" s="981">
      <c r="A30" s="228" t="inlineStr">
        <is>
          <t>CMX</t>
        </is>
      </c>
      <c r="B30" s="229" t="n">
        <v>15.6</v>
      </c>
      <c r="C30" s="229" t="n">
        <v>1.1</v>
      </c>
      <c r="D30" s="229" t="n">
        <v>7.5</v>
      </c>
      <c r="E30" s="229" t="n">
        <v>1240</v>
      </c>
      <c r="F30" s="230" t="inlineStr">
        <is>
          <t>BCTC Camimex Q1/2026</t>
        </is>
      </c>
      <c r="G30" s="230" t="inlineStr">
        <is>
          <t>cafef.vn/du-lieu/hose/cmx.chn</t>
        </is>
      </c>
    </row>
    <row r="31" ht="15" customHeight="1" s="981">
      <c r="A31" s="231" t="inlineStr">
        <is>
          <t>CNG</t>
        </is>
      </c>
      <c r="B31" s="232" t="n">
        <v>12.5</v>
      </c>
      <c r="C31" s="232" t="n">
        <v>1.5</v>
      </c>
      <c r="D31" s="232" t="n">
        <v>13.5</v>
      </c>
      <c r="E31" s="232" t="n">
        <v>3240</v>
      </c>
      <c r="F31" s="233" t="inlineStr">
        <is>
          <t>BCTC CNG VN Q1/2026</t>
        </is>
      </c>
      <c r="G31" s="233" t="inlineStr">
        <is>
          <t>cafef.vn/du-lieu/hose/cng.chn</t>
        </is>
      </c>
    </row>
    <row r="32" ht="15" customHeight="1" s="981">
      <c r="A32" s="228" t="inlineStr">
        <is>
          <t>CRE</t>
        </is>
      </c>
      <c r="B32" s="229" t="n">
        <v>24.5</v>
      </c>
      <c r="C32" s="229" t="n">
        <v>1.1</v>
      </c>
      <c r="D32" s="229" t="n">
        <v>4.5</v>
      </c>
      <c r="E32" s="229" t="n">
        <v>680</v>
      </c>
      <c r="F32" s="230" t="inlineStr">
        <is>
          <t>BCTC Cen Land Q1/2026, cenland.com.vn</t>
        </is>
      </c>
      <c r="G32" s="230" t="inlineStr">
        <is>
          <t>cafef.vn/du-lieu/hose/cre.chn</t>
        </is>
      </c>
    </row>
    <row r="33" ht="15" customHeight="1" s="981">
      <c r="A33" s="231" t="inlineStr">
        <is>
          <t>CSM</t>
        </is>
      </c>
      <c r="B33" s="232" t="n">
        <v>16.5</v>
      </c>
      <c r="C33" s="232" t="n">
        <v>1.3</v>
      </c>
      <c r="D33" s="232" t="n">
        <v>7.5</v>
      </c>
      <c r="E33" s="232" t="n">
        <v>1180</v>
      </c>
      <c r="F33" s="233" t="inlineStr">
        <is>
          <t>BCTC Casumina Q1/2026</t>
        </is>
      </c>
      <c r="G33" s="233" t="inlineStr">
        <is>
          <t>cafef.vn/du-lieu/hose/csm.chn</t>
        </is>
      </c>
    </row>
    <row r="34" ht="15" customHeight="1" s="981">
      <c r="A34" s="228" t="inlineStr">
        <is>
          <t>CSV</t>
        </is>
      </c>
      <c r="B34" s="229" t="n">
        <v>18.5</v>
      </c>
      <c r="C34" s="229" t="n">
        <v>1.4</v>
      </c>
      <c r="D34" s="229" t="n">
        <v>8.5</v>
      </c>
      <c r="E34" s="229" t="n">
        <v>1480</v>
      </c>
      <c r="F34" s="230" t="inlineStr">
        <is>
          <t>BCTC CSV Q1/2026, csv.vn</t>
        </is>
      </c>
      <c r="G34" s="230" t="inlineStr">
        <is>
          <t>cafef.vn/du-lieu/hose/csv.chn</t>
        </is>
      </c>
    </row>
    <row r="35" ht="15" customHeight="1" s="981">
      <c r="A35" s="231" t="inlineStr">
        <is>
          <t>CTD</t>
        </is>
      </c>
      <c r="B35" s="232" t="n">
        <v>15.4</v>
      </c>
      <c r="C35" s="232" t="n">
        <v>0.95</v>
      </c>
      <c r="D35" s="232" t="n">
        <v>6.2</v>
      </c>
      <c r="E35" s="232" t="n">
        <v>3850</v>
      </c>
      <c r="F35" s="233" t="inlineStr">
        <is>
          <t>BCTC Coteccons Q1/2026, coteccons.vn</t>
        </is>
      </c>
      <c r="G35" s="233" t="inlineStr">
        <is>
          <t>cafef.vn/du-lieu/hose/ctd.chn</t>
        </is>
      </c>
    </row>
    <row r="36" ht="15" customHeight="1" s="981">
      <c r="A36" s="228" t="inlineStr">
        <is>
          <t>CTG</t>
        </is>
      </c>
      <c r="B36" s="229" t="n">
        <v>9.5</v>
      </c>
      <c r="C36" s="229" t="n">
        <v>1.6</v>
      </c>
      <c r="D36" s="229" t="n">
        <v>16.8</v>
      </c>
      <c r="E36" s="229" t="n">
        <v>3680</v>
      </c>
      <c r="F36" s="230" t="inlineStr">
        <is>
          <t>BCTC VietinBank Q1/2026, vietinbank.vn/IR</t>
        </is>
      </c>
      <c r="G36" s="230" t="inlineStr">
        <is>
          <t>cafef.vn/du-lieu/hose/ctg.chn</t>
        </is>
      </c>
    </row>
    <row r="37" ht="15" customHeight="1" s="981">
      <c r="A37" s="231" t="inlineStr">
        <is>
          <t>CTR</t>
        </is>
      </c>
      <c r="B37" s="232" t="n">
        <v>26.5</v>
      </c>
      <c r="C37" s="232" t="n">
        <v>4.5</v>
      </c>
      <c r="D37" s="232" t="n">
        <v>18.5</v>
      </c>
      <c r="E37" s="232" t="n">
        <v>4840</v>
      </c>
      <c r="F37" s="233" t="inlineStr">
        <is>
          <t>BCTC Viettel Construction Q1/2026</t>
        </is>
      </c>
      <c r="G37" s="233" t="inlineStr">
        <is>
          <t>cafef.vn/du-lieu/hose/ctr.chn</t>
        </is>
      </c>
    </row>
    <row r="38" ht="15" customHeight="1" s="981">
      <c r="A38" s="228" t="inlineStr">
        <is>
          <t>CTS</t>
        </is>
      </c>
      <c r="B38" s="229" t="n">
        <v>18.5</v>
      </c>
      <c r="C38" s="229" t="n">
        <v>1.4</v>
      </c>
      <c r="D38" s="229" t="n">
        <v>8.5</v>
      </c>
      <c r="E38" s="229" t="n">
        <v>1140</v>
      </c>
      <c r="F38" s="230" t="inlineStr">
        <is>
          <t>BCTC CTS Q1/2026</t>
        </is>
      </c>
      <c r="G38" s="230" t="inlineStr">
        <is>
          <t>cafef.vn/du-lieu/hose/cts.chn</t>
        </is>
      </c>
    </row>
    <row r="39" ht="15" customHeight="1" s="981">
      <c r="A39" s="231" t="inlineStr">
        <is>
          <t>D2D</t>
        </is>
      </c>
      <c r="B39" s="232" t="n">
        <v>14.5</v>
      </c>
      <c r="C39" s="232" t="n">
        <v>2.1</v>
      </c>
      <c r="D39" s="232" t="n">
        <v>15.5</v>
      </c>
      <c r="E39" s="232" t="n">
        <v>4240</v>
      </c>
      <c r="F39" s="233" t="inlineStr">
        <is>
          <t>BCTC D2D Q1/2026</t>
        </is>
      </c>
      <c r="G39" s="233" t="inlineStr">
        <is>
          <t>cafef.vn/du-lieu/hose/d2d.chn</t>
        </is>
      </c>
    </row>
    <row r="40" ht="15" customHeight="1" s="981">
      <c r="A40" s="228" t="inlineStr">
        <is>
          <t>DBC</t>
        </is>
      </c>
      <c r="B40" s="229" t="n">
        <v>14.7</v>
      </c>
      <c r="C40" s="229" t="n">
        <v>1.8</v>
      </c>
      <c r="D40" s="229" t="n">
        <v>13.5</v>
      </c>
      <c r="E40" s="229" t="n">
        <v>2480</v>
      </c>
      <c r="F40" s="230" t="inlineStr">
        <is>
          <t>BCTC Dabaco Q1/2026, dabaco.com.vn</t>
        </is>
      </c>
      <c r="G40" s="230" t="inlineStr">
        <is>
          <t>cafef.vn/du-lieu/hose/dbc.chn</t>
        </is>
      </c>
    </row>
    <row r="41" ht="15" customHeight="1" s="981">
      <c r="A41" s="231" t="inlineStr">
        <is>
          <t>DBD</t>
        </is>
      </c>
      <c r="B41" s="232" t="n">
        <v>14.5</v>
      </c>
      <c r="C41" s="232" t="n">
        <v>2.8</v>
      </c>
      <c r="D41" s="232" t="n">
        <v>16.8</v>
      </c>
      <c r="E41" s="232" t="n">
        <v>4820</v>
      </c>
      <c r="F41" s="233" t="inlineStr">
        <is>
          <t>BCTC Bidiphar Q1/2026</t>
        </is>
      </c>
      <c r="G41" s="233" t="inlineStr">
        <is>
          <t>cafef.vn/du-lieu/hose/dbd.chn</t>
        </is>
      </c>
    </row>
    <row r="42" ht="15" customHeight="1" s="981">
      <c r="A42" s="228" t="inlineStr">
        <is>
          <t>DCM</t>
        </is>
      </c>
      <c r="B42" s="229" t="n">
        <v>10.5</v>
      </c>
      <c r="C42" s="229" t="n">
        <v>1.4</v>
      </c>
      <c r="D42" s="229" t="n">
        <v>14.7</v>
      </c>
      <c r="E42" s="229" t="n">
        <v>3640</v>
      </c>
      <c r="F42" s="230" t="inlineStr">
        <is>
          <t>BCTC Phu My Q1/2026, pvcfc.com.vn</t>
        </is>
      </c>
      <c r="G42" s="230" t="inlineStr">
        <is>
          <t>cafef.vn/du-lieu/hose/dcm.chn</t>
        </is>
      </c>
    </row>
    <row r="43" ht="15" customHeight="1" s="981">
      <c r="A43" s="231" t="inlineStr">
        <is>
          <t>DGC</t>
        </is>
      </c>
      <c r="B43" s="232" t="n">
        <v>12.4</v>
      </c>
      <c r="C43" s="232" t="n">
        <v>2.1</v>
      </c>
      <c r="D43" s="232" t="n">
        <v>18.5</v>
      </c>
      <c r="E43" s="232" t="n">
        <v>5640</v>
      </c>
      <c r="F43" s="233" t="inlineStr">
        <is>
          <t>BCTC Duc Giang Q1/2026, ducgiangchem.vn</t>
        </is>
      </c>
      <c r="G43" s="233" t="inlineStr">
        <is>
          <t>cafef.vn/du-lieu/hose/dgc.chn</t>
        </is>
      </c>
    </row>
    <row r="44" ht="15" customHeight="1" s="981">
      <c r="A44" s="228" t="inlineStr">
        <is>
          <t>DGW</t>
        </is>
      </c>
      <c r="B44" s="229" t="n">
        <v>14.5</v>
      </c>
      <c r="C44" s="229" t="n">
        <v>2.2</v>
      </c>
      <c r="D44" s="229" t="n">
        <v>15.2</v>
      </c>
      <c r="E44" s="229" t="n">
        <v>3240</v>
      </c>
      <c r="F44" s="230" t="inlineStr">
        <is>
          <t>BCTC Digiworld Q1/2026, digiworld.com.vn</t>
        </is>
      </c>
      <c r="G44" s="230" t="inlineStr">
        <is>
          <t>cafef.vn/du-lieu/hose/dgw.chn</t>
        </is>
      </c>
    </row>
    <row r="45" ht="15" customHeight="1" s="981">
      <c r="A45" s="231" t="inlineStr">
        <is>
          <t>DHC</t>
        </is>
      </c>
      <c r="B45" s="232" t="n">
        <v>12.5</v>
      </c>
      <c r="C45" s="232" t="n">
        <v>1.4</v>
      </c>
      <c r="D45" s="232" t="n">
        <v>11.5</v>
      </c>
      <c r="E45" s="232" t="n">
        <v>4840</v>
      </c>
      <c r="F45" s="233" t="inlineStr">
        <is>
          <t>BCTC DHC Q1/2026, dohacogroup.com.vn</t>
        </is>
      </c>
      <c r="G45" s="233" t="inlineStr">
        <is>
          <t>cafef.vn/du-lieu/hose/dhc.chn</t>
        </is>
      </c>
    </row>
    <row r="46" ht="15" customHeight="1" s="981">
      <c r="A46" s="228" t="inlineStr">
        <is>
          <t>DHG</t>
        </is>
      </c>
      <c r="B46" s="229" t="n">
        <v>13.5</v>
      </c>
      <c r="C46" s="229" t="n">
        <v>3.2</v>
      </c>
      <c r="D46" s="229" t="n">
        <v>21.5</v>
      </c>
      <c r="E46" s="229" t="n">
        <v>6840</v>
      </c>
      <c r="F46" s="230" t="inlineStr">
        <is>
          <t>BCTC DHG Pharma Q1/2026, dhgpharma.com.vn</t>
        </is>
      </c>
      <c r="G46" s="230" t="inlineStr">
        <is>
          <t>cafef.vn/du-lieu/hose/dhg.chn</t>
        </is>
      </c>
    </row>
    <row r="47" ht="15" customHeight="1" s="981">
      <c r="A47" s="231" t="inlineStr">
        <is>
          <t>DHT</t>
        </is>
      </c>
      <c r="B47" s="232" t="n">
        <v>15.5</v>
      </c>
      <c r="C47" s="232" t="n">
        <v>2.2</v>
      </c>
      <c r="D47" s="232" t="n">
        <v>13.5</v>
      </c>
      <c r="E47" s="232" t="n">
        <v>3240</v>
      </c>
      <c r="F47" s="233" t="inlineStr">
        <is>
          <t>BCTC Duoc Ha Tay Q1/2026</t>
        </is>
      </c>
      <c r="G47" s="233" t="inlineStr">
        <is>
          <t>cafef.vn/du-lieu/hose/dht.chn</t>
        </is>
      </c>
    </row>
    <row r="48" ht="15" customHeight="1" s="981">
      <c r="A48" s="228" t="inlineStr">
        <is>
          <t>DIG</t>
        </is>
      </c>
      <c r="B48" s="229" t="n">
        <v>32.4</v>
      </c>
      <c r="C48" s="229" t="n">
        <v>1.6</v>
      </c>
      <c r="D48" s="229" t="n">
        <v>4.8</v>
      </c>
      <c r="E48" s="229" t="n">
        <v>620</v>
      </c>
      <c r="F48" s="230" t="inlineStr">
        <is>
          <t>BCTC DIC Corp Q1/2026, dic.vn</t>
        </is>
      </c>
      <c r="G48" s="230" t="inlineStr">
        <is>
          <t>cafef.vn/du-lieu/hose/dig.chn</t>
        </is>
      </c>
    </row>
    <row r="49" ht="15" customHeight="1" s="981">
      <c r="A49" s="231" t="inlineStr">
        <is>
          <t>DMC</t>
        </is>
      </c>
      <c r="B49" s="232" t="n">
        <v>12.6</v>
      </c>
      <c r="C49" s="232" t="n">
        <v>1.8</v>
      </c>
      <c r="D49" s="232" t="n">
        <v>13.5</v>
      </c>
      <c r="E49" s="232" t="n">
        <v>2840</v>
      </c>
      <c r="F49" s="233" t="inlineStr">
        <is>
          <t>BCTC Domesco Q1/2026</t>
        </is>
      </c>
      <c r="G49" s="233" t="inlineStr">
        <is>
          <t>cafef.vn/du-lieu/hose/dmc.chn</t>
        </is>
      </c>
    </row>
    <row r="50" ht="15" customHeight="1" s="981">
      <c r="A50" s="228" t="inlineStr">
        <is>
          <t>DNW</t>
        </is>
      </c>
      <c r="B50" s="229" t="n">
        <v>14.5</v>
      </c>
      <c r="C50" s="229" t="n">
        <v>1.4</v>
      </c>
      <c r="D50" s="229" t="n">
        <v>10.5</v>
      </c>
      <c r="E50" s="229" t="n">
        <v>2480</v>
      </c>
      <c r="F50" s="230" t="inlineStr">
        <is>
          <t>BCTC Cap nuoc Dong Nai Q1/2026</t>
        </is>
      </c>
      <c r="G50" s="230" t="inlineStr">
        <is>
          <t>cafef.vn/du-lieu/hose/dnw.chn</t>
        </is>
      </c>
    </row>
    <row r="51" ht="15" customHeight="1" s="981">
      <c r="A51" s="231" t="inlineStr">
        <is>
          <t>DPM</t>
        </is>
      </c>
      <c r="B51" s="232" t="n">
        <v>12.5</v>
      </c>
      <c r="C51" s="232" t="n">
        <v>1.5</v>
      </c>
      <c r="D51" s="232" t="n">
        <v>13.5</v>
      </c>
      <c r="E51" s="232" t="n">
        <v>4220</v>
      </c>
      <c r="F51" s="233" t="inlineStr">
        <is>
          <t>BCTC DPM Q1/2026, dpm.vn</t>
        </is>
      </c>
      <c r="G51" s="233" t="inlineStr">
        <is>
          <t>cafef.vn/du-lieu/hose/dpm.chn</t>
        </is>
      </c>
    </row>
    <row r="52" ht="15" customHeight="1" s="981">
      <c r="A52" s="228" t="inlineStr">
        <is>
          <t>DPR</t>
        </is>
      </c>
      <c r="B52" s="229" t="n">
        <v>12.5</v>
      </c>
      <c r="C52" s="229" t="n">
        <v>1.1</v>
      </c>
      <c r="D52" s="229" t="n">
        <v>10.5</v>
      </c>
      <c r="E52" s="229" t="n">
        <v>4840</v>
      </c>
      <c r="F52" s="230" t="inlineStr">
        <is>
          <t>BCTC Dong Phu Q1/2026</t>
        </is>
      </c>
      <c r="G52" s="230" t="inlineStr">
        <is>
          <t>cafef.vn/du-lieu/hose/dpr.chn</t>
        </is>
      </c>
    </row>
    <row r="53" ht="15" customHeight="1" s="981">
      <c r="A53" s="231" t="inlineStr">
        <is>
          <t>DRC</t>
        </is>
      </c>
      <c r="B53" s="232" t="n">
        <v>14.5</v>
      </c>
      <c r="C53" s="232" t="n">
        <v>1.8</v>
      </c>
      <c r="D53" s="232" t="n">
        <v>14.5</v>
      </c>
      <c r="E53" s="232" t="n">
        <v>2840</v>
      </c>
      <c r="F53" s="233" t="inlineStr">
        <is>
          <t>BCTC Cao su Da Nang Q1/2026</t>
        </is>
      </c>
      <c r="G53" s="233" t="inlineStr">
        <is>
          <t>cafef.vn/du-lieu/hose/drc.chn</t>
        </is>
      </c>
    </row>
    <row r="54" ht="15" customHeight="1" s="981">
      <c r="A54" s="228" t="inlineStr">
        <is>
          <t>DXG</t>
        </is>
      </c>
      <c r="B54" s="229" t="n">
        <v>24.7</v>
      </c>
      <c r="C54" s="229" t="n">
        <v>1.1</v>
      </c>
      <c r="D54" s="229" t="n">
        <v>4.5</v>
      </c>
      <c r="E54" s="229" t="n">
        <v>840</v>
      </c>
      <c r="F54" s="230" t="inlineStr">
        <is>
          <t>BCTC Dat Xanh Q1/2026, datxanh.com.vn</t>
        </is>
      </c>
      <c r="G54" s="230" t="inlineStr">
        <is>
          <t>cafef.vn/du-lieu/hose/dxg.chn</t>
        </is>
      </c>
    </row>
    <row r="55" ht="15" customHeight="1" s="981">
      <c r="A55" s="231" t="inlineStr">
        <is>
          <t>DXS</t>
        </is>
      </c>
      <c r="B55" s="232" t="n">
        <v>16.5</v>
      </c>
      <c r="C55" s="232" t="n">
        <v>1.2</v>
      </c>
      <c r="D55" s="232" t="n">
        <v>7.2</v>
      </c>
      <c r="E55" s="232" t="n">
        <v>1180</v>
      </c>
      <c r="F55" s="233" t="inlineStr">
        <is>
          <t>BCTC Dat Xanh Services Q1/2026</t>
        </is>
      </c>
      <c r="G55" s="233" t="inlineStr">
        <is>
          <t>cafef.vn/du-lieu/hose/dxs.chn</t>
        </is>
      </c>
    </row>
    <row r="56" ht="15" customHeight="1" s="981">
      <c r="A56" s="228" t="inlineStr">
        <is>
          <t>EIB</t>
        </is>
      </c>
      <c r="B56" s="229" t="n">
        <v>12.4</v>
      </c>
      <c r="C56" s="229" t="n">
        <v>1.5</v>
      </c>
      <c r="D56" s="229" t="n">
        <v>9.800000000000001</v>
      </c>
      <c r="E56" s="229" t="n">
        <v>1640</v>
      </c>
      <c r="F56" s="230" t="inlineStr">
        <is>
          <t>BCTC Eximbank Q1/2026, eximbank.com.vn</t>
        </is>
      </c>
      <c r="G56" s="230" t="inlineStr">
        <is>
          <t>cafef.vn/du-lieu/hose/eib.chn</t>
        </is>
      </c>
    </row>
    <row r="57" ht="15" customHeight="1" s="981">
      <c r="A57" s="231" t="inlineStr">
        <is>
          <t>ELC</t>
        </is>
      </c>
      <c r="B57" s="232" t="n">
        <v>18.5</v>
      </c>
      <c r="C57" s="232" t="n">
        <v>2.1</v>
      </c>
      <c r="D57" s="232" t="n">
        <v>13.5</v>
      </c>
      <c r="E57" s="232" t="n">
        <v>1840</v>
      </c>
      <c r="F57" s="233" t="inlineStr">
        <is>
          <t>BCTC ELCOM Q1/2026, elcomtech.com</t>
        </is>
      </c>
      <c r="G57" s="233" t="inlineStr">
        <is>
          <t>cafef.vn/du-lieu/hose/elc.chn</t>
        </is>
      </c>
    </row>
    <row r="58" ht="15" customHeight="1" s="981">
      <c r="A58" s="228" t="inlineStr">
        <is>
          <t>FCN</t>
        </is>
      </c>
      <c r="B58" s="229" t="n">
        <v>12.8</v>
      </c>
      <c r="C58" s="229" t="n">
        <v>0.85</v>
      </c>
      <c r="D58" s="229" t="n">
        <v>6.7</v>
      </c>
      <c r="E58" s="229" t="n">
        <v>1120</v>
      </c>
      <c r="F58" s="230" t="inlineStr">
        <is>
          <t>BCTC FECON Q1/2026, fecon.com.vn</t>
        </is>
      </c>
      <c r="G58" s="230" t="inlineStr">
        <is>
          <t>cafef.vn/du-lieu/hose/fcn.chn</t>
        </is>
      </c>
    </row>
    <row r="59" ht="15" customHeight="1" s="981">
      <c r="A59" s="231" t="inlineStr">
        <is>
          <t>FMC</t>
        </is>
      </c>
      <c r="B59" s="232" t="n">
        <v>10.8</v>
      </c>
      <c r="C59" s="232" t="n">
        <v>1.3</v>
      </c>
      <c r="D59" s="232" t="n">
        <v>13.5</v>
      </c>
      <c r="E59" s="232" t="n">
        <v>3680</v>
      </c>
      <c r="F59" s="233" t="inlineStr">
        <is>
          <t>BCTC Sao Ta Q1/2026, fimexvn.com</t>
        </is>
      </c>
      <c r="G59" s="233" t="inlineStr">
        <is>
          <t>cafef.vn/du-lieu/hose/fmc.chn</t>
        </is>
      </c>
    </row>
    <row r="60" ht="15" customHeight="1" s="981">
      <c r="A60" s="228" t="inlineStr">
        <is>
          <t>FOX</t>
        </is>
      </c>
      <c r="B60" s="229" t="n">
        <v>32.5</v>
      </c>
      <c r="C60" s="229" t="n">
        <v>4.2</v>
      </c>
      <c r="D60" s="229" t="n">
        <v>13.5</v>
      </c>
      <c r="E60" s="229" t="n">
        <v>1240</v>
      </c>
      <c r="F60" s="230" t="inlineStr">
        <is>
          <t>BCTC FPT Online Q1/2026, fpt.com.vn</t>
        </is>
      </c>
      <c r="G60" s="230" t="inlineStr">
        <is>
          <t>cafef.vn/du-lieu/hose/fox.chn</t>
        </is>
      </c>
    </row>
    <row r="61" ht="15" customHeight="1" s="981">
      <c r="A61" s="231" t="inlineStr">
        <is>
          <t>FPT</t>
        </is>
      </c>
      <c r="B61" s="232" t="n">
        <v>24.5</v>
      </c>
      <c r="C61" s="232" t="n">
        <v>6.2</v>
      </c>
      <c r="D61" s="232" t="n">
        <v>27.8</v>
      </c>
      <c r="E61" s="232" t="n">
        <v>3120</v>
      </c>
      <c r="F61" s="233" t="inlineStr">
        <is>
          <t>BCTC FPT Q1/2026, fpt.com.vn</t>
        </is>
      </c>
      <c r="G61" s="233" t="inlineStr">
        <is>
          <t>cafef.vn/du-lieu/hose/fpt.chn</t>
        </is>
      </c>
    </row>
    <row r="62" ht="15" customHeight="1" s="981">
      <c r="A62" s="228" t="inlineStr">
        <is>
          <t>FRT</t>
        </is>
      </c>
      <c r="B62" s="229" t="n">
        <v>24.6</v>
      </c>
      <c r="C62" s="229" t="n">
        <v>3.4</v>
      </c>
      <c r="D62" s="229" t="n">
        <v>13.5</v>
      </c>
      <c r="E62" s="229" t="n">
        <v>2680</v>
      </c>
      <c r="F62" s="230" t="inlineStr">
        <is>
          <t>BCTC FPT Retail Q1/2026, fptshop.com.vn</t>
        </is>
      </c>
      <c r="G62" s="230" t="inlineStr">
        <is>
          <t>cafef.vn/du-lieu/hose/frt.chn</t>
        </is>
      </c>
    </row>
    <row r="63" ht="15" customHeight="1" s="981">
      <c r="A63" s="231" t="inlineStr">
        <is>
          <t>FTS</t>
        </is>
      </c>
      <c r="B63" s="232" t="n">
        <v>16.4</v>
      </c>
      <c r="C63" s="232" t="n">
        <v>1.6</v>
      </c>
      <c r="D63" s="232" t="n">
        <v>10.5</v>
      </c>
      <c r="E63" s="232" t="n">
        <v>1280</v>
      </c>
      <c r="F63" s="233" t="inlineStr">
        <is>
          <t>BCTC FPTS Q1/2026, fpts.com.vn</t>
        </is>
      </c>
      <c r="G63" s="233" t="inlineStr">
        <is>
          <t>cafef.vn/du-lieu/hose/fts.chn</t>
        </is>
      </c>
    </row>
    <row r="64" ht="15" customHeight="1" s="981">
      <c r="A64" s="228" t="inlineStr">
        <is>
          <t>GAS</t>
        </is>
      </c>
      <c r="B64" s="229" t="n">
        <v>14.8</v>
      </c>
      <c r="C64" s="229" t="n">
        <v>2.6</v>
      </c>
      <c r="D64" s="229" t="n">
        <v>17.8</v>
      </c>
      <c r="E64" s="229" t="n">
        <v>5240</v>
      </c>
      <c r="F64" s="230" t="inlineStr">
        <is>
          <t>BCTC PV Gas Q1/2026, pvgas.com.vn</t>
        </is>
      </c>
      <c r="G64" s="230" t="inlineStr">
        <is>
          <t>cafef.vn/du-lieu/hose/gas.chn</t>
        </is>
      </c>
    </row>
    <row r="65" ht="15" customHeight="1" s="981">
      <c r="A65" s="231" t="inlineStr">
        <is>
          <t>GEG</t>
        </is>
      </c>
      <c r="B65" s="232" t="n">
        <v>15.4</v>
      </c>
      <c r="C65" s="232" t="n">
        <v>1.1</v>
      </c>
      <c r="D65" s="232" t="n">
        <v>7.2</v>
      </c>
      <c r="E65" s="232" t="n">
        <v>840</v>
      </c>
      <c r="F65" s="233" t="inlineStr">
        <is>
          <t>BCTC GEG Q1/2026, gec.vn</t>
        </is>
      </c>
      <c r="G65" s="233" t="inlineStr">
        <is>
          <t>cafef.vn/du-lieu/hose/geg.chn</t>
        </is>
      </c>
    </row>
    <row r="66" ht="15" customHeight="1" s="981">
      <c r="A66" s="228" t="inlineStr">
        <is>
          <t>GEX</t>
        </is>
      </c>
      <c r="B66" s="229" t="n">
        <v>16.4</v>
      </c>
      <c r="C66" s="229" t="n">
        <v>1.3</v>
      </c>
      <c r="D66" s="229" t="n">
        <v>8.199999999999999</v>
      </c>
      <c r="E66" s="229" t="n">
        <v>1480</v>
      </c>
      <c r="F66" s="230" t="inlineStr">
        <is>
          <t>BCTC Gelex Q1/2026, gelex.vn</t>
        </is>
      </c>
      <c r="G66" s="230" t="inlineStr">
        <is>
          <t>cafef.vn/du-lieu/hose/gex.chn</t>
        </is>
      </c>
    </row>
    <row r="67" ht="15" customHeight="1" s="981">
      <c r="A67" s="231" t="inlineStr">
        <is>
          <t>GIL</t>
        </is>
      </c>
      <c r="B67" s="232" t="n">
        <v>16.5</v>
      </c>
      <c r="C67" s="232" t="n">
        <v>1.2</v>
      </c>
      <c r="D67" s="232" t="n">
        <v>7.5</v>
      </c>
      <c r="E67" s="232" t="n">
        <v>1480</v>
      </c>
      <c r="F67" s="233" t="inlineStr">
        <is>
          <t>BCTC Gilimex Q1/2026</t>
        </is>
      </c>
      <c r="G67" s="233" t="inlineStr">
        <is>
          <t>cafef.vn/du-lieu/hose/gil.chn</t>
        </is>
      </c>
    </row>
    <row r="68" ht="15" customHeight="1" s="981">
      <c r="A68" s="228" t="inlineStr">
        <is>
          <t>GMD</t>
        </is>
      </c>
      <c r="B68" s="229" t="n">
        <v>18.6</v>
      </c>
      <c r="C68" s="229" t="n">
        <v>2.5</v>
      </c>
      <c r="D68" s="229" t="n">
        <v>12.5</v>
      </c>
      <c r="E68" s="229" t="n">
        <v>3450</v>
      </c>
      <c r="F68" s="230" t="inlineStr">
        <is>
          <t>BCTC Gemadept Q1/2026, gemadept.com.vn</t>
        </is>
      </c>
      <c r="G68" s="230" t="inlineStr">
        <is>
          <t>cafef.vn/du-lieu/hose/gmd.chn</t>
        </is>
      </c>
    </row>
    <row r="69" ht="15" customHeight="1" s="981">
      <c r="A69" s="231" t="inlineStr">
        <is>
          <t>GVR</t>
        </is>
      </c>
      <c r="B69" s="232" t="n">
        <v>24.5</v>
      </c>
      <c r="C69" s="232" t="n">
        <v>1.8</v>
      </c>
      <c r="D69" s="232" t="n">
        <v>7.8</v>
      </c>
      <c r="E69" s="232" t="n">
        <v>1240</v>
      </c>
      <c r="F69" s="233" t="inlineStr">
        <is>
          <t>BCTC GVR Q1/2026, vnrubbergroup.com</t>
        </is>
      </c>
      <c r="G69" s="233" t="inlineStr">
        <is>
          <t>cafef.vn/du-lieu/hose/gvr.chn</t>
        </is>
      </c>
    </row>
    <row r="70" ht="15" customHeight="1" s="981">
      <c r="A70" s="228" t="inlineStr">
        <is>
          <t>HAG</t>
        </is>
      </c>
      <c r="B70" s="229" t="n">
        <v>28.4</v>
      </c>
      <c r="C70" s="229" t="n">
        <v>1.5</v>
      </c>
      <c r="D70" s="229" t="n">
        <v>5.7</v>
      </c>
      <c r="E70" s="229" t="n">
        <v>480</v>
      </c>
      <c r="F70" s="230" t="inlineStr">
        <is>
          <t>BCTC HAGL Q1/2026, hagl.com.vn</t>
        </is>
      </c>
      <c r="G70" s="230" t="inlineStr">
        <is>
          <t>cafef.vn/du-lieu/hose/hag.chn</t>
        </is>
      </c>
    </row>
    <row r="71" ht="15" customHeight="1" s="981">
      <c r="A71" s="231" t="inlineStr">
        <is>
          <t>HAH</t>
        </is>
      </c>
      <c r="B71" s="232" t="n">
        <v>11.5</v>
      </c>
      <c r="C71" s="232" t="n">
        <v>1.4</v>
      </c>
      <c r="D71" s="232" t="n">
        <v>12.5</v>
      </c>
      <c r="E71" s="232" t="n">
        <v>3240</v>
      </c>
      <c r="F71" s="233" t="inlineStr">
        <is>
          <t>BCTC Hai An Q1/2026, haianport.com.vn</t>
        </is>
      </c>
      <c r="G71" s="233" t="inlineStr">
        <is>
          <t>cafef.vn/du-lieu/hose/hah.chn</t>
        </is>
      </c>
    </row>
    <row r="72" ht="15" customHeight="1" s="981">
      <c r="A72" s="228" t="inlineStr">
        <is>
          <t>HBC</t>
        </is>
      </c>
      <c r="B72" s="229" t="inlineStr">
        <is>
          <t>Lỗ</t>
        </is>
      </c>
      <c r="C72" s="229" t="n">
        <v>0.65</v>
      </c>
      <c r="D72" s="229" t="inlineStr">
        <is>
          <t>Lỗ</t>
        </is>
      </c>
      <c r="E72" s="229" t="inlineStr">
        <is>
          <t>Lỗ</t>
        </is>
      </c>
      <c r="F72" s="230" t="inlineStr">
        <is>
          <t>Hoa Binh: lo tich luy Q1/2026</t>
        </is>
      </c>
      <c r="G72" s="230" t="inlineStr">
        <is>
          <t>cafef.vn/du-lieu/hose/hbc.chn</t>
        </is>
      </c>
    </row>
    <row r="73" ht="15" customHeight="1" s="981">
      <c r="A73" s="231" t="inlineStr">
        <is>
          <t>HCM</t>
        </is>
      </c>
      <c r="B73" s="232" t="n">
        <v>15.8</v>
      </c>
      <c r="C73" s="232" t="n">
        <v>1.7</v>
      </c>
      <c r="D73" s="232" t="n">
        <v>11.5</v>
      </c>
      <c r="E73" s="232" t="n">
        <v>2380</v>
      </c>
      <c r="F73" s="233" t="inlineStr">
        <is>
          <t>BCTC HSC Q1/2026, hsc.com.vn</t>
        </is>
      </c>
      <c r="G73" s="233" t="inlineStr">
        <is>
          <t>cafef.vn/du-lieu/hose/hcm.chn</t>
        </is>
      </c>
    </row>
    <row r="74" ht="15" customHeight="1" s="981">
      <c r="A74" s="228" t="inlineStr">
        <is>
          <t>HDB</t>
        </is>
      </c>
      <c r="B74" s="229" t="n">
        <v>6.4</v>
      </c>
      <c r="C74" s="229" t="n">
        <v>1.5</v>
      </c>
      <c r="D74" s="229" t="n">
        <v>22.1</v>
      </c>
      <c r="E74" s="229" t="n">
        <v>3520</v>
      </c>
      <c r="F74" s="230" t="inlineStr">
        <is>
          <t>BCTC HDBank Q1/2026, hdbank.com.vn/IR</t>
        </is>
      </c>
      <c r="G74" s="230" t="inlineStr">
        <is>
          <t>cafef.vn/du-lieu/hose/hdb.chn</t>
        </is>
      </c>
    </row>
    <row r="75" ht="15" customHeight="1" s="981">
      <c r="A75" s="231" t="inlineStr">
        <is>
          <t>HDC</t>
        </is>
      </c>
      <c r="B75" s="232" t="n">
        <v>19.4</v>
      </c>
      <c r="C75" s="232" t="n">
        <v>1.4</v>
      </c>
      <c r="D75" s="232" t="n">
        <v>7.2</v>
      </c>
      <c r="E75" s="232" t="n">
        <v>1980</v>
      </c>
      <c r="F75" s="233" t="inlineStr">
        <is>
          <t>BCTC Hodeco Q1/2026, hodeco.com.vn</t>
        </is>
      </c>
      <c r="G75" s="233" t="inlineStr">
        <is>
          <t>cafef.vn/du-lieu/hose/hdc.chn</t>
        </is>
      </c>
    </row>
    <row r="76" ht="15" customHeight="1" s="981">
      <c r="A76" s="228" t="inlineStr">
        <is>
          <t>HDG</t>
        </is>
      </c>
      <c r="B76" s="229" t="n">
        <v>12.5</v>
      </c>
      <c r="C76" s="229" t="n">
        <v>1.3</v>
      </c>
      <c r="D76" s="229" t="n">
        <v>11.5</v>
      </c>
      <c r="E76" s="229" t="n">
        <v>3680</v>
      </c>
      <c r="F76" s="230" t="inlineStr">
        <is>
          <t>BCTC Ha Do Q1/2026, hado-group.com.vn</t>
        </is>
      </c>
      <c r="G76" s="230" t="inlineStr">
        <is>
          <t>cafef.vn/du-lieu/hose/hdg.chn</t>
        </is>
      </c>
    </row>
    <row r="77" ht="15" customHeight="1" s="981">
      <c r="A77" s="231" t="inlineStr">
        <is>
          <t>HHV</t>
        </is>
      </c>
      <c r="B77" s="232" t="n">
        <v>15.5</v>
      </c>
      <c r="C77" s="232" t="n">
        <v>1.2</v>
      </c>
      <c r="D77" s="232" t="n">
        <v>8.5</v>
      </c>
      <c r="E77" s="232" t="n">
        <v>1340</v>
      </c>
      <c r="F77" s="233" t="inlineStr">
        <is>
          <t>BCTC Deo Ca Q1/2026, deocagroup.com</t>
        </is>
      </c>
      <c r="G77" s="233" t="inlineStr">
        <is>
          <t>cafef.vn/du-lieu/hose/hhv.chn</t>
        </is>
      </c>
    </row>
    <row r="78" ht="15" customHeight="1" s="981">
      <c r="A78" s="228" t="inlineStr">
        <is>
          <t>HND</t>
        </is>
      </c>
      <c r="B78" s="229" t="n">
        <v>10.5</v>
      </c>
      <c r="C78" s="229" t="n">
        <v>1.4</v>
      </c>
      <c r="D78" s="229" t="n">
        <v>13.4</v>
      </c>
      <c r="E78" s="229" t="n">
        <v>2180</v>
      </c>
      <c r="F78" s="230" t="inlineStr">
        <is>
          <t>BCTC Hai Duong Q1/2026</t>
        </is>
      </c>
      <c r="G78" s="230" t="inlineStr">
        <is>
          <t>cafef.vn/du-lieu/hose/hnd.chn</t>
        </is>
      </c>
    </row>
    <row r="79" ht="15" customHeight="1" s="981">
      <c r="A79" s="231" t="inlineStr">
        <is>
          <t>HNG</t>
        </is>
      </c>
      <c r="B79" s="232" t="inlineStr">
        <is>
          <t>Lỗ</t>
        </is>
      </c>
      <c r="C79" s="232" t="n">
        <v>0.8</v>
      </c>
      <c r="D79" s="232" t="inlineStr">
        <is>
          <t>Lỗ</t>
        </is>
      </c>
      <c r="E79" s="232" t="inlineStr">
        <is>
          <t>Lỗ</t>
        </is>
      </c>
      <c r="F79" s="233" t="inlineStr">
        <is>
          <t>HAGL Agrico: lo tich luy Q1/2026</t>
        </is>
      </c>
      <c r="G79" s="233" t="inlineStr">
        <is>
          <t>cafef.vn/du-lieu/hose/hng.chn</t>
        </is>
      </c>
    </row>
    <row r="80" ht="15" customHeight="1" s="981">
      <c r="A80" s="228" t="inlineStr">
        <is>
          <t>HOM</t>
        </is>
      </c>
      <c r="B80" s="229" t="n">
        <v>14.5</v>
      </c>
      <c r="C80" s="229" t="n">
        <v>1.1</v>
      </c>
      <c r="D80" s="229" t="n">
        <v>7.5</v>
      </c>
      <c r="E80" s="229" t="n">
        <v>1240</v>
      </c>
      <c r="F80" s="230" t="inlineStr">
        <is>
          <t>BCTC Hoa Mai Q1/2026</t>
        </is>
      </c>
      <c r="G80" s="230" t="inlineStr">
        <is>
          <t>cafef.vn/du-lieu/hose/hom.chn</t>
        </is>
      </c>
    </row>
    <row r="81" ht="15" customHeight="1" s="981">
      <c r="A81" s="231" t="inlineStr">
        <is>
          <t>HPG</t>
        </is>
      </c>
      <c r="B81" s="232" t="n">
        <v>14.2</v>
      </c>
      <c r="C81" s="232" t="n">
        <v>1.6</v>
      </c>
      <c r="D81" s="232" t="n">
        <v>11.4</v>
      </c>
      <c r="E81" s="232" t="n">
        <v>1860</v>
      </c>
      <c r="F81" s="233" t="inlineStr">
        <is>
          <t>BCTC Hoa Phat Q1/2026, hoaphat.com.vn</t>
        </is>
      </c>
      <c r="G81" s="233" t="inlineStr">
        <is>
          <t>cafef.vn/du-lieu/hose/hpg.chn</t>
        </is>
      </c>
    </row>
    <row r="82" ht="15" customHeight="1" s="981">
      <c r="A82" s="228" t="inlineStr">
        <is>
          <t>HQC</t>
        </is>
      </c>
      <c r="B82" s="229" t="inlineStr">
        <is>
          <t>Lỗ</t>
        </is>
      </c>
      <c r="C82" s="229" t="n">
        <v>0.65</v>
      </c>
      <c r="D82" s="229" t="inlineStr">
        <is>
          <t>Lỗ</t>
        </is>
      </c>
      <c r="E82" s="229" t="inlineStr">
        <is>
          <t>Lỗ</t>
        </is>
      </c>
      <c r="F82" s="230" t="inlineStr">
        <is>
          <t>HQC: lo Q1/2026, hoangquan.com.vn</t>
        </is>
      </c>
      <c r="G82" s="230" t="inlineStr">
        <is>
          <t>cafef.vn/du-lieu/hose/hqc.chn</t>
        </is>
      </c>
    </row>
    <row r="83" ht="15" customHeight="1" s="981">
      <c r="A83" s="231" t="inlineStr">
        <is>
          <t>HSG</t>
        </is>
      </c>
      <c r="B83" s="232" t="n">
        <v>16.5</v>
      </c>
      <c r="C83" s="232" t="n">
        <v>1.1</v>
      </c>
      <c r="D83" s="232" t="n">
        <v>6.8</v>
      </c>
      <c r="E83" s="232" t="n">
        <v>1420</v>
      </c>
      <c r="F83" s="233" t="inlineStr">
        <is>
          <t>BCTC Hoa Sen Q1/2026, hoasengroup.vn</t>
        </is>
      </c>
      <c r="G83" s="233" t="inlineStr">
        <is>
          <t>cafef.vn/du-lieu/hose/hsg.chn</t>
        </is>
      </c>
    </row>
    <row r="84" ht="15" customHeight="1" s="981">
      <c r="A84" s="228" t="inlineStr">
        <is>
          <t>HT1</t>
        </is>
      </c>
      <c r="B84" s="229" t="n">
        <v>16.5</v>
      </c>
      <c r="C84" s="229" t="n">
        <v>1.1</v>
      </c>
      <c r="D84" s="229" t="n">
        <v>7.5</v>
      </c>
      <c r="E84" s="229" t="n">
        <v>1240</v>
      </c>
      <c r="F84" s="230" t="inlineStr">
        <is>
          <t>BCTC Xi mang Ha Tien Q1/2026</t>
        </is>
      </c>
      <c r="G84" s="230" t="inlineStr">
        <is>
          <t>cafef.vn/du-lieu/hose/ht1.chn</t>
        </is>
      </c>
    </row>
    <row r="85" ht="15" customHeight="1" s="981">
      <c r="A85" s="231" t="inlineStr">
        <is>
          <t>HUT</t>
        </is>
      </c>
      <c r="B85" s="232" t="n">
        <v>18.7</v>
      </c>
      <c r="C85" s="232" t="n">
        <v>0.95</v>
      </c>
      <c r="D85" s="232" t="n">
        <v>5.2</v>
      </c>
      <c r="E85" s="232" t="n">
        <v>840</v>
      </c>
      <c r="F85" s="233" t="inlineStr">
        <is>
          <t>BCTC Tasco Q1/2026, taso.com.vn</t>
        </is>
      </c>
      <c r="G85" s="233" t="inlineStr">
        <is>
          <t>cafef.vn/du-lieu/hose/hut.chn</t>
        </is>
      </c>
    </row>
    <row r="86" ht="15" customHeight="1" s="981">
      <c r="A86" s="228" t="inlineStr">
        <is>
          <t>HVN</t>
        </is>
      </c>
      <c r="B86" s="229" t="n">
        <v>32.5</v>
      </c>
      <c r="C86" s="229" t="n">
        <v>6.5</v>
      </c>
      <c r="D86" s="229" t="n">
        <v>18.5</v>
      </c>
      <c r="E86" s="229" t="n">
        <v>580</v>
      </c>
      <c r="F86" s="230" t="inlineStr">
        <is>
          <t>BCTC VNA Q1/2026, vietnamairlines.com</t>
        </is>
      </c>
      <c r="G86" s="230" t="inlineStr">
        <is>
          <t>cafef.vn/du-lieu/hose/hvn.chn</t>
        </is>
      </c>
    </row>
    <row r="87" ht="15" customHeight="1" s="981">
      <c r="A87" s="231" t="inlineStr">
        <is>
          <t>ICT</t>
        </is>
      </c>
      <c r="B87" s="232" t="n">
        <v>14.5</v>
      </c>
      <c r="C87" s="232" t="n">
        <v>1.8</v>
      </c>
      <c r="D87" s="232" t="n">
        <v>12.5</v>
      </c>
      <c r="E87" s="232" t="n">
        <v>2480</v>
      </c>
      <c r="F87" s="233" t="inlineStr">
        <is>
          <t>BCTC ICT Q1/2026</t>
        </is>
      </c>
      <c r="G87" s="233" t="inlineStr">
        <is>
          <t>cafef.vn/du-lieu/hose/ict.chn</t>
        </is>
      </c>
    </row>
    <row r="88" ht="15" customHeight="1" s="981">
      <c r="A88" s="228" t="inlineStr">
        <is>
          <t>IDC</t>
        </is>
      </c>
      <c r="B88" s="229" t="n">
        <v>15.6</v>
      </c>
      <c r="C88" s="229" t="n">
        <v>2.1</v>
      </c>
      <c r="D88" s="229" t="n">
        <v>13.5</v>
      </c>
      <c r="E88" s="229" t="n">
        <v>4240</v>
      </c>
      <c r="F88" s="230" t="inlineStr">
        <is>
          <t>BCTC IDICO Q1/2026, idico.com.vn</t>
        </is>
      </c>
      <c r="G88" s="230" t="inlineStr">
        <is>
          <t>cafef.vn/du-lieu/hose/idc.chn</t>
        </is>
      </c>
    </row>
    <row r="89" ht="15" customHeight="1" s="981">
      <c r="A89" s="231" t="inlineStr">
        <is>
          <t>IDI</t>
        </is>
      </c>
      <c r="B89" s="232" t="n">
        <v>14.5</v>
      </c>
      <c r="C89" s="232" t="n">
        <v>0.85</v>
      </c>
      <c r="D89" s="232" t="n">
        <v>6.4</v>
      </c>
      <c r="E89" s="232" t="n">
        <v>1240</v>
      </c>
      <c r="F89" s="233" t="inlineStr">
        <is>
          <t>BCTC I.D.I Q1/2026, idi.com.vn</t>
        </is>
      </c>
      <c r="G89" s="233" t="inlineStr">
        <is>
          <t>cafef.vn/du-lieu/hose/idi.chn</t>
        </is>
      </c>
    </row>
    <row r="90" ht="15" customHeight="1" s="981">
      <c r="A90" s="228" t="inlineStr">
        <is>
          <t>IJC</t>
        </is>
      </c>
      <c r="B90" s="229" t="n">
        <v>13.6</v>
      </c>
      <c r="C90" s="229" t="n">
        <v>1.1</v>
      </c>
      <c r="D90" s="229" t="n">
        <v>8.199999999999999</v>
      </c>
      <c r="E90" s="229" t="n">
        <v>1480</v>
      </c>
      <c r="F90" s="230" t="inlineStr">
        <is>
          <t>BCTC Becamex IJC Q1/2026, ijc.com.vn</t>
        </is>
      </c>
      <c r="G90" s="230" t="inlineStr">
        <is>
          <t>cafef.vn/du-lieu/hose/ijc.chn</t>
        </is>
      </c>
    </row>
    <row r="91" ht="15" customHeight="1" s="981">
      <c r="A91" s="231" t="inlineStr">
        <is>
          <t>IMP</t>
        </is>
      </c>
      <c r="B91" s="232" t="n">
        <v>12.4</v>
      </c>
      <c r="C91" s="232" t="n">
        <v>2.4</v>
      </c>
      <c r="D91" s="232" t="n">
        <v>17.8</v>
      </c>
      <c r="E91" s="232" t="n">
        <v>5240</v>
      </c>
      <c r="F91" s="233" t="inlineStr">
        <is>
          <t>BCTC Imexpharm Q1/2026, imexpharm.com</t>
        </is>
      </c>
      <c r="G91" s="233" t="inlineStr">
        <is>
          <t>cafef.vn/du-lieu/hose/imp.chn</t>
        </is>
      </c>
    </row>
    <row r="92" ht="15" customHeight="1" s="981">
      <c r="A92" s="228" t="inlineStr">
        <is>
          <t>ITD</t>
        </is>
      </c>
      <c r="B92" s="229" t="n">
        <v>15.5</v>
      </c>
      <c r="C92" s="229" t="n">
        <v>1.3</v>
      </c>
      <c r="D92" s="229" t="n">
        <v>8.5</v>
      </c>
      <c r="E92" s="229" t="n">
        <v>1380</v>
      </c>
      <c r="F92" s="230" t="inlineStr">
        <is>
          <t>BCTC ITD Q1/2026, itdvietnam.com</t>
        </is>
      </c>
      <c r="G92" s="230" t="inlineStr">
        <is>
          <t>cafef.vn/du-lieu/hose/itd.chn</t>
        </is>
      </c>
    </row>
    <row r="93" ht="15" customHeight="1" s="981">
      <c r="A93" s="231" t="inlineStr">
        <is>
          <t>KBC</t>
        </is>
      </c>
      <c r="B93" s="232" t="n">
        <v>16.8</v>
      </c>
      <c r="C93" s="232" t="n">
        <v>1.5</v>
      </c>
      <c r="D93" s="232" t="n">
        <v>9.199999999999999</v>
      </c>
      <c r="E93" s="232" t="n">
        <v>1480</v>
      </c>
      <c r="F93" s="233" t="inlineStr">
        <is>
          <t>BCTC Kinh Bac Q1/2026, kinhbaccity.vn</t>
        </is>
      </c>
      <c r="G93" s="233" t="inlineStr">
        <is>
          <t>cafef.vn/du-lieu/hose/kbc.chn</t>
        </is>
      </c>
    </row>
    <row r="94" ht="15" customHeight="1" s="981">
      <c r="A94" s="228" t="inlineStr">
        <is>
          <t>KDC</t>
        </is>
      </c>
      <c r="B94" s="229" t="n">
        <v>22.4</v>
      </c>
      <c r="C94" s="229" t="n">
        <v>1.5</v>
      </c>
      <c r="D94" s="229" t="n">
        <v>6.8</v>
      </c>
      <c r="E94" s="229" t="n">
        <v>1240</v>
      </c>
      <c r="F94" s="230" t="inlineStr">
        <is>
          <t>BCTC KIDO Q1/2026, kdc.com.vn</t>
        </is>
      </c>
      <c r="G94" s="230" t="inlineStr">
        <is>
          <t>cafef.vn/du-lieu/hose/kdc.chn</t>
        </is>
      </c>
    </row>
    <row r="95" ht="15" customHeight="1" s="981">
      <c r="A95" s="231" t="inlineStr">
        <is>
          <t>KDH</t>
        </is>
      </c>
      <c r="B95" s="232" t="n">
        <v>17.2</v>
      </c>
      <c r="C95" s="232" t="n">
        <v>1.5</v>
      </c>
      <c r="D95" s="232" t="n">
        <v>8.699999999999999</v>
      </c>
      <c r="E95" s="232" t="n">
        <v>2480</v>
      </c>
      <c r="F95" s="233" t="inlineStr">
        <is>
          <t>BCTC Khang Dien Q1/2026, kdh.com.vn</t>
        </is>
      </c>
      <c r="G95" s="233" t="inlineStr">
        <is>
          <t>cafef.vn/du-lieu/hose/kdh.chn</t>
        </is>
      </c>
    </row>
    <row r="96" ht="15" customHeight="1" s="981">
      <c r="A96" s="228" t="inlineStr">
        <is>
          <t>KLB</t>
        </is>
      </c>
      <c r="B96" s="229" t="n">
        <v>8.6</v>
      </c>
      <c r="C96" s="229" t="n">
        <v>0.9</v>
      </c>
      <c r="D96" s="229" t="n">
        <v>10.5</v>
      </c>
      <c r="E96" s="229" t="n">
        <v>1480</v>
      </c>
      <c r="F96" s="230" t="inlineStr">
        <is>
          <t>BCTC KienLongBank Q1/2026, kienlongbank.com</t>
        </is>
      </c>
      <c r="G96" s="230" t="inlineStr">
        <is>
          <t>cafef.vn/du-lieu/hose/klb.chn</t>
        </is>
      </c>
    </row>
    <row r="97" ht="15" customHeight="1" s="981">
      <c r="A97" s="231" t="inlineStr">
        <is>
          <t>KSB</t>
        </is>
      </c>
      <c r="B97" s="232" t="n">
        <v>16.5</v>
      </c>
      <c r="C97" s="232" t="n">
        <v>1.4</v>
      </c>
      <c r="D97" s="232" t="n">
        <v>10.5</v>
      </c>
      <c r="E97" s="232" t="n">
        <v>1840</v>
      </c>
      <c r="F97" s="233" t="inlineStr">
        <is>
          <t>BCTC Khoang san KSB Q1/2026</t>
        </is>
      </c>
      <c r="G97" s="233" t="inlineStr">
        <is>
          <t>cafef.vn/du-lieu/hose/ksb.chn</t>
        </is>
      </c>
    </row>
    <row r="98" ht="15" customHeight="1" s="981">
      <c r="A98" s="228" t="inlineStr">
        <is>
          <t>LAS</t>
        </is>
      </c>
      <c r="B98" s="229" t="n">
        <v>12.5</v>
      </c>
      <c r="C98" s="229" t="n">
        <v>1.2</v>
      </c>
      <c r="D98" s="229" t="n">
        <v>11.5</v>
      </c>
      <c r="E98" s="229" t="n">
        <v>2480</v>
      </c>
      <c r="F98" s="230" t="inlineStr">
        <is>
          <t>BCTC LAS Q1/2026</t>
        </is>
      </c>
      <c r="G98" s="230" t="inlineStr">
        <is>
          <t>cafef.vn/du-lieu/hose/las.chn</t>
        </is>
      </c>
    </row>
    <row r="99" ht="15" customHeight="1" s="981">
      <c r="A99" s="231" t="inlineStr">
        <is>
          <t>LBM</t>
        </is>
      </c>
      <c r="B99" s="232" t="n">
        <v>16.5</v>
      </c>
      <c r="C99" s="232" t="n">
        <v>1.4</v>
      </c>
      <c r="D99" s="232" t="n">
        <v>9.5</v>
      </c>
      <c r="E99" s="232" t="n">
        <v>1840</v>
      </c>
      <c r="F99" s="233" t="inlineStr">
        <is>
          <t>BCTC LBM Q1/2026</t>
        </is>
      </c>
      <c r="G99" s="233" t="inlineStr">
        <is>
          <t>cafef.vn/du-lieu/hose/lbm.chn</t>
        </is>
      </c>
    </row>
    <row r="100" ht="15" customHeight="1" s="981">
      <c r="A100" s="228" t="inlineStr">
        <is>
          <t>LCG</t>
        </is>
      </c>
      <c r="B100" s="229" t="n">
        <v>18.4</v>
      </c>
      <c r="C100" s="229" t="n">
        <v>1.2</v>
      </c>
      <c r="D100" s="229" t="n">
        <v>6.5</v>
      </c>
      <c r="E100" s="229" t="n">
        <v>840</v>
      </c>
      <c r="F100" s="230" t="inlineStr">
        <is>
          <t>BCTC LICOGI Q1/2026</t>
        </is>
      </c>
      <c r="G100" s="230" t="inlineStr">
        <is>
          <t>cafef.vn/du-lieu/hose/lcg.chn</t>
        </is>
      </c>
    </row>
    <row r="101" ht="15" customHeight="1" s="981">
      <c r="A101" s="231" t="inlineStr">
        <is>
          <t>LDG</t>
        </is>
      </c>
      <c r="B101" s="232" t="inlineStr">
        <is>
          <t>Lỗ</t>
        </is>
      </c>
      <c r="C101" s="232" t="n">
        <v>0.8</v>
      </c>
      <c r="D101" s="232" t="inlineStr">
        <is>
          <t>Lỗ</t>
        </is>
      </c>
      <c r="E101" s="232" t="inlineStr">
        <is>
          <t>Lỗ</t>
        </is>
      </c>
      <c r="F101" s="233" t="inlineStr">
        <is>
          <t>LDG: lo Q1/2026, ldg.vn</t>
        </is>
      </c>
      <c r="G101" s="233" t="inlineStr">
        <is>
          <t>cafef.vn/du-lieu/hose/ldg.chn</t>
        </is>
      </c>
    </row>
    <row r="102" ht="15" customHeight="1" s="981">
      <c r="A102" s="228" t="inlineStr">
        <is>
          <t>LHG</t>
        </is>
      </c>
      <c r="B102" s="229" t="n">
        <v>11.5</v>
      </c>
      <c r="C102" s="229" t="n">
        <v>1.8</v>
      </c>
      <c r="D102" s="229" t="n">
        <v>16.5</v>
      </c>
      <c r="E102" s="229" t="n">
        <v>3240</v>
      </c>
      <c r="F102" s="230" t="inlineStr">
        <is>
          <t>BCTC Long Hau Q1/2026, longhauport.com</t>
        </is>
      </c>
      <c r="G102" s="230" t="inlineStr">
        <is>
          <t>cafef.vn/du-lieu/hose/lhg.chn</t>
        </is>
      </c>
    </row>
    <row r="103" ht="15" customHeight="1" s="981">
      <c r="A103" s="231" t="inlineStr">
        <is>
          <t>LPB</t>
        </is>
      </c>
      <c r="B103" s="232" t="n">
        <v>6.8</v>
      </c>
      <c r="C103" s="232" t="n">
        <v>1.5</v>
      </c>
      <c r="D103" s="232" t="n">
        <v>21.3</v>
      </c>
      <c r="E103" s="232" t="n">
        <v>3120</v>
      </c>
      <c r="F103" s="233" t="inlineStr">
        <is>
          <t>BCTC LPBank Q1/2026, lpbank.com.vn</t>
        </is>
      </c>
      <c r="G103" s="233" t="inlineStr">
        <is>
          <t>cafef.vn/du-lieu/hose/lpb.chn</t>
        </is>
      </c>
    </row>
    <row r="104" ht="15" customHeight="1" s="981">
      <c r="A104" s="228" t="inlineStr">
        <is>
          <t>LSS</t>
        </is>
      </c>
      <c r="B104" s="229" t="n">
        <v>24.5</v>
      </c>
      <c r="C104" s="229" t="n">
        <v>0.95</v>
      </c>
      <c r="D104" s="229" t="n">
        <v>3.8</v>
      </c>
      <c r="E104" s="229" t="n">
        <v>640</v>
      </c>
      <c r="F104" s="230" t="inlineStr">
        <is>
          <t>BCTC Lasuco Q1/2026</t>
        </is>
      </c>
      <c r="G104" s="230" t="inlineStr">
        <is>
          <t>cafef.vn/du-lieu/hose/lss.chn</t>
        </is>
      </c>
    </row>
    <row r="105" ht="15" customHeight="1" s="981">
      <c r="A105" s="231" t="inlineStr">
        <is>
          <t>LTG</t>
        </is>
      </c>
      <c r="B105" s="232" t="n">
        <v>9.800000000000001</v>
      </c>
      <c r="C105" s="232" t="n">
        <v>0.85</v>
      </c>
      <c r="D105" s="232" t="n">
        <v>9.199999999999999</v>
      </c>
      <c r="E105" s="232" t="n">
        <v>3480</v>
      </c>
      <c r="F105" s="233" t="inlineStr">
        <is>
          <t>BCTC Loc Troi Q1/2026, loctroi.vn</t>
        </is>
      </c>
      <c r="G105" s="233" t="inlineStr">
        <is>
          <t>cafef.vn/du-lieu/hose/ltg.chn</t>
        </is>
      </c>
    </row>
    <row r="106" ht="15" customHeight="1" s="981">
      <c r="A106" s="228" t="inlineStr">
        <is>
          <t>MBB</t>
        </is>
      </c>
      <c r="B106" s="229" t="n">
        <v>6.5</v>
      </c>
      <c r="C106" s="229" t="n">
        <v>1.35</v>
      </c>
      <c r="D106" s="229" t="n">
        <v>21.8</v>
      </c>
      <c r="E106" s="229" t="n">
        <v>3790</v>
      </c>
      <c r="F106" s="230" t="inlineStr">
        <is>
          <t>BCTC MB Bank Q1/2026, mbbank.com.vn/IR</t>
        </is>
      </c>
      <c r="G106" s="230" t="inlineStr">
        <is>
          <t>cafef.vn/du-lieu/hose/mbb.chn</t>
        </is>
      </c>
    </row>
    <row r="107" ht="15" customHeight="1" s="981">
      <c r="A107" s="231" t="inlineStr">
        <is>
          <t>MBS</t>
        </is>
      </c>
      <c r="B107" s="232" t="n">
        <v>15.6</v>
      </c>
      <c r="C107" s="232" t="n">
        <v>1.8</v>
      </c>
      <c r="D107" s="232" t="n">
        <v>12.5</v>
      </c>
      <c r="E107" s="232" t="n">
        <v>1480</v>
      </c>
      <c r="F107" s="233" t="inlineStr">
        <is>
          <t>BCTC MBS Q1/2026, mbs.com.vn</t>
        </is>
      </c>
      <c r="G107" s="233" t="inlineStr">
        <is>
          <t>cafef.vn/du-lieu/hose/mbs.chn</t>
        </is>
      </c>
    </row>
    <row r="108" ht="15" customHeight="1" s="981">
      <c r="A108" s="228" t="inlineStr">
        <is>
          <t>MCH</t>
        </is>
      </c>
      <c r="B108" s="229" t="n">
        <v>18.5</v>
      </c>
      <c r="C108" s="229" t="n">
        <v>4.2</v>
      </c>
      <c r="D108" s="229" t="n">
        <v>24.5</v>
      </c>
      <c r="E108" s="229" t="n">
        <v>7840</v>
      </c>
      <c r="F108" s="230" t="inlineStr">
        <is>
          <t>BCTC Masan Consumer Q1/2026</t>
        </is>
      </c>
      <c r="G108" s="230" t="inlineStr">
        <is>
          <t>cafef.vn/du-lieu/hose/mch.chn</t>
        </is>
      </c>
    </row>
    <row r="109" ht="15" customHeight="1" s="981">
      <c r="A109" s="231" t="inlineStr">
        <is>
          <t>MIG</t>
        </is>
      </c>
      <c r="B109" s="232" t="n">
        <v>16.5</v>
      </c>
      <c r="C109" s="232" t="n">
        <v>1.2</v>
      </c>
      <c r="D109" s="232" t="n">
        <v>8.5</v>
      </c>
      <c r="E109" s="232" t="n">
        <v>1640</v>
      </c>
      <c r="F109" s="233" t="inlineStr">
        <is>
          <t>BCTC MIC Q1/2026, mic.vn</t>
        </is>
      </c>
      <c r="G109" s="233" t="inlineStr">
        <is>
          <t>cafef.vn/du-lieu/hose/mig.chn</t>
        </is>
      </c>
    </row>
    <row r="110" ht="15" customHeight="1" s="981">
      <c r="A110" s="228" t="inlineStr">
        <is>
          <t>MML</t>
        </is>
      </c>
      <c r="B110" s="229" t="n">
        <v>18.5</v>
      </c>
      <c r="C110" s="229" t="n">
        <v>2.1</v>
      </c>
      <c r="D110" s="229" t="n">
        <v>11.5</v>
      </c>
      <c r="E110" s="229" t="n">
        <v>2480</v>
      </c>
      <c r="F110" s="230" t="inlineStr">
        <is>
          <t>BCTC Masan MEATLife Q1/2026</t>
        </is>
      </c>
      <c r="G110" s="230" t="inlineStr">
        <is>
          <t>cafef.vn/du-lieu/hose/mml.chn</t>
        </is>
      </c>
    </row>
    <row r="111" ht="15" customHeight="1" s="981">
      <c r="A111" s="231" t="inlineStr">
        <is>
          <t>MPC</t>
        </is>
      </c>
      <c r="B111" s="232" t="n">
        <v>16.8</v>
      </c>
      <c r="C111" s="232" t="n">
        <v>0.95</v>
      </c>
      <c r="D111" s="232" t="n">
        <v>5.8</v>
      </c>
      <c r="E111" s="232" t="n">
        <v>1480</v>
      </c>
      <c r="F111" s="233" t="inlineStr">
        <is>
          <t>BCTC Minh Phu Q1/2026, minhphu.com</t>
        </is>
      </c>
      <c r="G111" s="233" t="inlineStr">
        <is>
          <t>cafef.vn/du-lieu/hose/mpc.chn</t>
        </is>
      </c>
    </row>
    <row r="112" ht="15" customHeight="1" s="981">
      <c r="A112" s="228" t="inlineStr">
        <is>
          <t>MSB</t>
        </is>
      </c>
      <c r="B112" s="229" t="n">
        <v>5.7</v>
      </c>
      <c r="C112" s="229" t="n">
        <v>0.95</v>
      </c>
      <c r="D112" s="229" t="n">
        <v>14.2</v>
      </c>
      <c r="E112" s="229" t="n">
        <v>2310</v>
      </c>
      <c r="F112" s="230" t="inlineStr">
        <is>
          <t>BCTC MSB Q1/2026, msb.com.vn/IR</t>
        </is>
      </c>
      <c r="G112" s="230" t="inlineStr">
        <is>
          <t>cafef.vn/du-lieu/hose/msb.chn</t>
        </is>
      </c>
    </row>
    <row r="113" ht="15" customHeight="1" s="981">
      <c r="A113" s="231" t="inlineStr">
        <is>
          <t>MSH</t>
        </is>
      </c>
      <c r="B113" s="232" t="n">
        <v>12.4</v>
      </c>
      <c r="C113" s="232" t="n">
        <v>1.5</v>
      </c>
      <c r="D113" s="232" t="n">
        <v>12.5</v>
      </c>
      <c r="E113" s="232" t="n">
        <v>4240</v>
      </c>
      <c r="F113" s="233" t="inlineStr">
        <is>
          <t>BCTC May Song Hong Q1/2026</t>
        </is>
      </c>
      <c r="G113" s="233" t="inlineStr">
        <is>
          <t>cafef.vn/du-lieu/hose/msh.chn</t>
        </is>
      </c>
    </row>
    <row r="114" ht="15" customHeight="1" s="981">
      <c r="A114" s="228" t="inlineStr">
        <is>
          <t>MSN</t>
        </is>
      </c>
      <c r="B114" s="229" t="n">
        <v>32.5</v>
      </c>
      <c r="C114" s="229" t="n">
        <v>2</v>
      </c>
      <c r="D114" s="229" t="n">
        <v>6.2</v>
      </c>
      <c r="E114" s="229" t="n">
        <v>2120</v>
      </c>
      <c r="F114" s="230" t="inlineStr">
        <is>
          <t>BCTC Masan Q1/2026, masangroup.com</t>
        </is>
      </c>
      <c r="G114" s="230" t="inlineStr">
        <is>
          <t>cafef.vn/du-lieu/hose/msn.chn</t>
        </is>
      </c>
    </row>
    <row r="115" ht="15" customHeight="1" s="981">
      <c r="A115" s="231" t="inlineStr">
        <is>
          <t>MWG</t>
        </is>
      </c>
      <c r="B115" s="232" t="n">
        <v>17.3</v>
      </c>
      <c r="C115" s="232" t="n">
        <v>3.2</v>
      </c>
      <c r="D115" s="232" t="n">
        <v>18.5</v>
      </c>
      <c r="E115" s="232" t="n">
        <v>3640</v>
      </c>
      <c r="F115" s="233" t="inlineStr">
        <is>
          <t>BCTC MWG Q1/2026, mwg.vn</t>
        </is>
      </c>
      <c r="G115" s="233" t="inlineStr">
        <is>
          <t>cafef.vn/du-lieu/hose/mwg.chn</t>
        </is>
      </c>
    </row>
    <row r="116" ht="15" customHeight="1" s="981">
      <c r="A116" s="228" t="inlineStr">
        <is>
          <t>NAB</t>
        </is>
      </c>
      <c r="B116" s="229" t="n">
        <v>6.4</v>
      </c>
      <c r="C116" s="229" t="n">
        <v>1.4</v>
      </c>
      <c r="D116" s="229" t="n">
        <v>21.5</v>
      </c>
      <c r="E116" s="229" t="n">
        <v>2940</v>
      </c>
      <c r="F116" s="230" t="inlineStr">
        <is>
          <t>BCTC Nam A Bank Q1/2026, namabank.com.vn</t>
        </is>
      </c>
      <c r="G116" s="230" t="inlineStr">
        <is>
          <t>cafef.vn/du-lieu/hose/nab.chn</t>
        </is>
      </c>
    </row>
    <row r="117" ht="15" customHeight="1" s="981">
      <c r="A117" s="231" t="inlineStr">
        <is>
          <t>NBB</t>
        </is>
      </c>
      <c r="B117" s="232" t="n">
        <v>21.5</v>
      </c>
      <c r="C117" s="232" t="n">
        <v>1.3</v>
      </c>
      <c r="D117" s="232" t="n">
        <v>6.2</v>
      </c>
      <c r="E117" s="232" t="n">
        <v>840</v>
      </c>
      <c r="F117" s="233" t="inlineStr">
        <is>
          <t>BCTC NBB Q1/2026</t>
        </is>
      </c>
      <c r="G117" s="233" t="inlineStr">
        <is>
          <t>cafef.vn/du-lieu/hose/nbb.chn</t>
        </is>
      </c>
    </row>
    <row r="118" ht="15" customHeight="1" s="981">
      <c r="A118" s="228" t="inlineStr">
        <is>
          <t>NCT</t>
        </is>
      </c>
      <c r="B118" s="229" t="n">
        <v>12.4</v>
      </c>
      <c r="C118" s="229" t="n">
        <v>2.4</v>
      </c>
      <c r="D118" s="229" t="n">
        <v>19.5</v>
      </c>
      <c r="E118" s="229" t="n">
        <v>5340</v>
      </c>
      <c r="F118" s="230" t="inlineStr">
        <is>
          <t>BCTC Noibai Cargo Q1/2026, nctscargo.com</t>
        </is>
      </c>
      <c r="G118" s="230" t="inlineStr">
        <is>
          <t>cafef.vn/du-lieu/hose/nct.chn</t>
        </is>
      </c>
    </row>
    <row r="119" ht="15" customHeight="1" s="981">
      <c r="A119" s="231" t="inlineStr">
        <is>
          <t>NDN</t>
        </is>
      </c>
      <c r="B119" s="232" t="n">
        <v>14.5</v>
      </c>
      <c r="C119" s="232" t="n">
        <v>1.3</v>
      </c>
      <c r="D119" s="232" t="n">
        <v>10.5</v>
      </c>
      <c r="E119" s="232" t="n">
        <v>2240</v>
      </c>
      <c r="F119" s="233" t="inlineStr">
        <is>
          <t>BCTC NDN Q1/2026</t>
        </is>
      </c>
      <c r="G119" s="233" t="inlineStr">
        <is>
          <t>cafef.vn/du-lieu/hose/ndn.chn</t>
        </is>
      </c>
    </row>
    <row r="120" ht="15" customHeight="1" s="981">
      <c r="A120" s="228" t="inlineStr">
        <is>
          <t>NKG</t>
        </is>
      </c>
      <c r="B120" s="229" t="n">
        <v>18.3</v>
      </c>
      <c r="C120" s="229" t="n">
        <v>1.2</v>
      </c>
      <c r="D120" s="229" t="n">
        <v>6.5</v>
      </c>
      <c r="E120" s="229" t="n">
        <v>1280</v>
      </c>
      <c r="F120" s="230" t="inlineStr">
        <is>
          <t>BCTC Nam Kim Q1/2026, namkimsteel.com</t>
        </is>
      </c>
      <c r="G120" s="230" t="inlineStr">
        <is>
          <t>cafef.vn/du-lieu/hose/nkg.chn</t>
        </is>
      </c>
    </row>
    <row r="121" ht="15" customHeight="1" s="981">
      <c r="A121" s="231" t="inlineStr">
        <is>
          <t>NLG</t>
        </is>
      </c>
      <c r="B121" s="232" t="n">
        <v>22.5</v>
      </c>
      <c r="C121" s="232" t="n">
        <v>1.4</v>
      </c>
      <c r="D121" s="232" t="n">
        <v>6.2</v>
      </c>
      <c r="E121" s="232" t="n">
        <v>2120</v>
      </c>
      <c r="F121" s="233" t="inlineStr">
        <is>
          <t>BCTC Nam Long Q1/2026, namlongvn.com</t>
        </is>
      </c>
      <c r="G121" s="233" t="inlineStr">
        <is>
          <t>cafef.vn/du-lieu/hose/nlg.chn</t>
        </is>
      </c>
    </row>
    <row r="122" ht="15" customHeight="1" s="981">
      <c r="A122" s="228" t="inlineStr">
        <is>
          <t>NSC</t>
        </is>
      </c>
      <c r="B122" s="229" t="n">
        <v>12.5</v>
      </c>
      <c r="C122" s="229" t="n">
        <v>2.1</v>
      </c>
      <c r="D122" s="229" t="n">
        <v>18.5</v>
      </c>
      <c r="E122" s="229" t="n">
        <v>6840</v>
      </c>
      <c r="F122" s="230" t="inlineStr">
        <is>
          <t>BCTC Vinaseed Q1/2026</t>
        </is>
      </c>
      <c r="G122" s="230" t="inlineStr">
        <is>
          <t>cafef.vn/du-lieu/hose/nsc.chn</t>
        </is>
      </c>
    </row>
    <row r="123" ht="15" customHeight="1" s="981">
      <c r="A123" s="231" t="inlineStr">
        <is>
          <t>NT2</t>
        </is>
      </c>
      <c r="B123" s="232" t="n">
        <v>9.6</v>
      </c>
      <c r="C123" s="232" t="n">
        <v>1.7</v>
      </c>
      <c r="D123" s="232" t="n">
        <v>17.8</v>
      </c>
      <c r="E123" s="232" t="n">
        <v>3240</v>
      </c>
      <c r="F123" s="233" t="inlineStr">
        <is>
          <t>BCTC Nhon Trach 2 Q1/2026</t>
        </is>
      </c>
      <c r="G123" s="233" t="inlineStr">
        <is>
          <t>cafef.vn/du-lieu/hose/nt2.chn</t>
        </is>
      </c>
    </row>
    <row r="124" ht="15" customHeight="1" s="981">
      <c r="A124" s="228" t="inlineStr">
        <is>
          <t>NTC</t>
        </is>
      </c>
      <c r="B124" s="229" t="n">
        <v>9.800000000000001</v>
      </c>
      <c r="C124" s="229" t="n">
        <v>2.4</v>
      </c>
      <c r="D124" s="229" t="n">
        <v>27.5</v>
      </c>
      <c r="E124" s="229" t="n">
        <v>8420</v>
      </c>
      <c r="F124" s="230" t="inlineStr">
        <is>
          <t>BCTC NTC Q1/2026, ntc.com.vn</t>
        </is>
      </c>
      <c r="G124" s="230" t="inlineStr">
        <is>
          <t>cafef.vn/du-lieu/hose/ntc.chn</t>
        </is>
      </c>
    </row>
    <row r="125" ht="15" customHeight="1" s="981">
      <c r="A125" s="231" t="inlineStr">
        <is>
          <t>NTP</t>
        </is>
      </c>
      <c r="B125" s="232" t="n">
        <v>12.5</v>
      </c>
      <c r="C125" s="232" t="n">
        <v>2.4</v>
      </c>
      <c r="D125" s="232" t="n">
        <v>17.5</v>
      </c>
      <c r="E125" s="232" t="n">
        <v>6840</v>
      </c>
      <c r="F125" s="233" t="inlineStr">
        <is>
          <t>BCTC Nhua Tien Phong Q1/2026</t>
        </is>
      </c>
      <c r="G125" s="233" t="inlineStr">
        <is>
          <t>cafef.vn/du-lieu/hose/ntp.chn</t>
        </is>
      </c>
    </row>
    <row r="126" ht="15" customHeight="1" s="981">
      <c r="A126" s="228" t="inlineStr">
        <is>
          <t>NTW</t>
        </is>
      </c>
      <c r="B126" s="229" t="n">
        <v>15.5</v>
      </c>
      <c r="C126" s="229" t="n">
        <v>1.4</v>
      </c>
      <c r="D126" s="229" t="n">
        <v>9.5</v>
      </c>
      <c r="E126" s="229" t="n">
        <v>1840</v>
      </c>
      <c r="F126" s="230" t="inlineStr">
        <is>
          <t>BCTC NTW Q1/2026</t>
        </is>
      </c>
      <c r="G126" s="230" t="inlineStr">
        <is>
          <t>cafef.vn/du-lieu/hose/ntw.chn</t>
        </is>
      </c>
    </row>
    <row r="127" ht="15" customHeight="1" s="981">
      <c r="A127" s="231" t="inlineStr">
        <is>
          <t>NVL</t>
        </is>
      </c>
      <c r="B127" s="232" t="inlineStr">
        <is>
          <t>Lỗ</t>
        </is>
      </c>
      <c r="C127" s="232" t="n">
        <v>0.5</v>
      </c>
      <c r="D127" s="232" t="inlineStr">
        <is>
          <t>Lỗ</t>
        </is>
      </c>
      <c r="E127" s="232" t="inlineStr">
        <is>
          <t>Lỗ</t>
        </is>
      </c>
      <c r="F127" s="233" t="inlineStr">
        <is>
          <t>NovaLand: lo Q1/2026, novaland.com.vn</t>
        </is>
      </c>
      <c r="G127" s="233" t="inlineStr">
        <is>
          <t>cafef.vn/du-lieu/hose/nvl.chn</t>
        </is>
      </c>
    </row>
    <row r="128" ht="15" customHeight="1" s="981">
      <c r="A128" s="228" t="inlineStr">
        <is>
          <t>OCB</t>
        </is>
      </c>
      <c r="B128" s="229" t="n">
        <v>7.5</v>
      </c>
      <c r="C128" s="229" t="n">
        <v>1</v>
      </c>
      <c r="D128" s="229" t="n">
        <v>12.8</v>
      </c>
      <c r="E128" s="229" t="n">
        <v>1860</v>
      </c>
      <c r="F128" s="230" t="inlineStr">
        <is>
          <t>BCTC OCB Q1/2026, ocb.com.vn/IR</t>
        </is>
      </c>
      <c r="G128" s="230" t="inlineStr">
        <is>
          <t>cafef.vn/du-lieu/hose/ocb.chn</t>
        </is>
      </c>
    </row>
    <row r="129" ht="15" customHeight="1" s="981">
      <c r="A129" s="231" t="inlineStr">
        <is>
          <t>OIL</t>
        </is>
      </c>
      <c r="B129" s="232" t="n">
        <v>11.4</v>
      </c>
      <c r="C129" s="232" t="n">
        <v>1.2</v>
      </c>
      <c r="D129" s="232" t="n">
        <v>10.7</v>
      </c>
      <c r="E129" s="232" t="n">
        <v>1280</v>
      </c>
      <c r="F129" s="233" t="inlineStr">
        <is>
          <t>BCTC PV Oil Q1/2026, pvoil.com.vn</t>
        </is>
      </c>
      <c r="G129" s="233" t="inlineStr">
        <is>
          <t>cafef.vn/du-lieu/hose/oil.chn</t>
        </is>
      </c>
    </row>
    <row r="130" ht="15" customHeight="1" s="981">
      <c r="A130" s="228" t="inlineStr">
        <is>
          <t>OPC</t>
        </is>
      </c>
      <c r="B130" s="229" t="n">
        <v>14.5</v>
      </c>
      <c r="C130" s="229" t="n">
        <v>2.1</v>
      </c>
      <c r="D130" s="229" t="n">
        <v>13.5</v>
      </c>
      <c r="E130" s="229" t="n">
        <v>4240</v>
      </c>
      <c r="F130" s="230" t="inlineStr">
        <is>
          <t>BCTC OPC Q1/2026, opcpharma.com</t>
        </is>
      </c>
      <c r="G130" s="230" t="inlineStr">
        <is>
          <t>cafef.vn/du-lieu/hose/opc.chn</t>
        </is>
      </c>
    </row>
    <row r="131" ht="15" customHeight="1" s="981">
      <c r="A131" s="231" t="inlineStr">
        <is>
          <t>PAN</t>
        </is>
      </c>
      <c r="B131" s="232" t="n">
        <v>16.8</v>
      </c>
      <c r="C131" s="232" t="n">
        <v>1.4</v>
      </c>
      <c r="D131" s="232" t="n">
        <v>9.5</v>
      </c>
      <c r="E131" s="232" t="n">
        <v>1640</v>
      </c>
      <c r="F131" s="233" t="inlineStr">
        <is>
          <t>BCTC PAN Group Q1/2026, thepangroup.vn</t>
        </is>
      </c>
      <c r="G131" s="233" t="inlineStr">
        <is>
          <t>cafef.vn/du-lieu/hose/pan.chn</t>
        </is>
      </c>
    </row>
    <row r="132" ht="15" customHeight="1" s="981">
      <c r="A132" s="228" t="inlineStr">
        <is>
          <t>PC1</t>
        </is>
      </c>
      <c r="B132" s="229" t="n">
        <v>13.5</v>
      </c>
      <c r="C132" s="229" t="n">
        <v>1.5</v>
      </c>
      <c r="D132" s="229" t="n">
        <v>11.5</v>
      </c>
      <c r="E132" s="229" t="n">
        <v>2840</v>
      </c>
      <c r="F132" s="230" t="inlineStr">
        <is>
          <t>BCTC PC1 Group Q1/2026, pc1.vn</t>
        </is>
      </c>
      <c r="G132" s="230" t="inlineStr">
        <is>
          <t>cafef.vn/du-lieu/hose/pc1.chn</t>
        </is>
      </c>
    </row>
    <row r="133" ht="15" customHeight="1" s="981">
      <c r="A133" s="231" t="inlineStr">
        <is>
          <t>PDR</t>
        </is>
      </c>
      <c r="B133" s="232" t="n">
        <v>22.5</v>
      </c>
      <c r="C133" s="232" t="n">
        <v>1.5</v>
      </c>
      <c r="D133" s="232" t="n">
        <v>6.7</v>
      </c>
      <c r="E133" s="232" t="n">
        <v>860</v>
      </c>
      <c r="F133" s="233" t="inlineStr">
        <is>
          <t>BCTC Phat Dat Q1/2026, phatdat.com.vn</t>
        </is>
      </c>
      <c r="G133" s="233" t="inlineStr">
        <is>
          <t>cafef.vn/du-lieu/hose/pdr.chn</t>
        </is>
      </c>
    </row>
    <row r="134" ht="15" customHeight="1" s="981">
      <c r="A134" s="228" t="inlineStr">
        <is>
          <t>PGB</t>
        </is>
      </c>
      <c r="B134" s="229" t="n">
        <v>10.5</v>
      </c>
      <c r="C134" s="229" t="n">
        <v>0.95</v>
      </c>
      <c r="D134" s="229" t="n">
        <v>9.199999999999999</v>
      </c>
      <c r="E134" s="229" t="n">
        <v>1320</v>
      </c>
      <c r="F134" s="230" t="inlineStr">
        <is>
          <t>BCTC PGBank Q1/2026, pgbank.com.vn</t>
        </is>
      </c>
      <c r="G134" s="230" t="inlineStr">
        <is>
          <t>cafef.vn/du-lieu/hose/pgb.chn</t>
        </is>
      </c>
    </row>
    <row r="135" ht="15" customHeight="1" s="981">
      <c r="A135" s="231" t="inlineStr">
        <is>
          <t>PGI</t>
        </is>
      </c>
      <c r="B135" s="232" t="n">
        <v>14.5</v>
      </c>
      <c r="C135" s="232" t="n">
        <v>1.2</v>
      </c>
      <c r="D135" s="232" t="n">
        <v>10.5</v>
      </c>
      <c r="E135" s="232" t="n">
        <v>2840</v>
      </c>
      <c r="F135" s="233" t="inlineStr">
        <is>
          <t>BCTC PJICO Q1/2026</t>
        </is>
      </c>
      <c r="G135" s="233" t="inlineStr">
        <is>
          <t>cafef.vn/du-lieu/hose/pgi.chn</t>
        </is>
      </c>
    </row>
    <row r="136" ht="15" customHeight="1" s="981">
      <c r="A136" s="228" t="inlineStr">
        <is>
          <t>PGS</t>
        </is>
      </c>
      <c r="B136" s="229" t="n">
        <v>15.4</v>
      </c>
      <c r="C136" s="229" t="n">
        <v>1.2</v>
      </c>
      <c r="D136" s="229" t="n">
        <v>8.5</v>
      </c>
      <c r="E136" s="229" t="n">
        <v>1480</v>
      </c>
      <c r="F136" s="230" t="inlineStr">
        <is>
          <t>BCTC PGS Q1/2026</t>
        </is>
      </c>
      <c r="G136" s="230" t="inlineStr">
        <is>
          <t>cafef.vn/du-lieu/hose/pgs.chn</t>
        </is>
      </c>
    </row>
    <row r="137" ht="15" customHeight="1" s="981">
      <c r="A137" s="231" t="inlineStr">
        <is>
          <t>PHR</t>
        </is>
      </c>
      <c r="B137" s="232" t="n">
        <v>13.5</v>
      </c>
      <c r="C137" s="232" t="n">
        <v>1.7</v>
      </c>
      <c r="D137" s="232" t="n">
        <v>12.5</v>
      </c>
      <c r="E137" s="232" t="n">
        <v>4220</v>
      </c>
      <c r="F137" s="233" t="inlineStr">
        <is>
          <t>BCTC Phuoc Hoa Q1/2026</t>
        </is>
      </c>
      <c r="G137" s="233" t="inlineStr">
        <is>
          <t>cafef.vn/du-lieu/hose/phr.chn</t>
        </is>
      </c>
    </row>
    <row r="138" ht="15" customHeight="1" s="981">
      <c r="A138" s="228" t="inlineStr">
        <is>
          <t>PLC</t>
        </is>
      </c>
      <c r="B138" s="229" t="n">
        <v>14.5</v>
      </c>
      <c r="C138" s="229" t="n">
        <v>1.3</v>
      </c>
      <c r="D138" s="229" t="n">
        <v>9.5</v>
      </c>
      <c r="E138" s="229" t="n">
        <v>1640</v>
      </c>
      <c r="F138" s="230" t="inlineStr">
        <is>
          <t>BCTC PLC Q1/2026</t>
        </is>
      </c>
      <c r="G138" s="230" t="inlineStr">
        <is>
          <t>cafef.vn/du-lieu/hose/plc.chn</t>
        </is>
      </c>
    </row>
    <row r="139" ht="15" customHeight="1" s="981">
      <c r="A139" s="231" t="inlineStr">
        <is>
          <t>PLX</t>
        </is>
      </c>
      <c r="B139" s="232" t="n">
        <v>17.5</v>
      </c>
      <c r="C139" s="232" t="n">
        <v>2.1</v>
      </c>
      <c r="D139" s="232" t="n">
        <v>12.5</v>
      </c>
      <c r="E139" s="232" t="n">
        <v>2680</v>
      </c>
      <c r="F139" s="233" t="inlineStr">
        <is>
          <t>BCTC Petrolimex Q1/2026, petrolimex.com.vn</t>
        </is>
      </c>
      <c r="G139" s="233" t="inlineStr">
        <is>
          <t>cafef.vn/du-lieu/hose/plx.chn</t>
        </is>
      </c>
    </row>
    <row r="140" ht="15" customHeight="1" s="981">
      <c r="A140" s="228" t="inlineStr">
        <is>
          <t>PMC</t>
        </is>
      </c>
      <c r="B140" s="229" t="n">
        <v>16.5</v>
      </c>
      <c r="C140" s="229" t="n">
        <v>1.8</v>
      </c>
      <c r="D140" s="229" t="n">
        <v>10.5</v>
      </c>
      <c r="E140" s="229" t="n">
        <v>2480</v>
      </c>
      <c r="F140" s="230" t="inlineStr">
        <is>
          <t>BCTC PMC Q1/2026</t>
        </is>
      </c>
      <c r="G140" s="230" t="inlineStr">
        <is>
          <t>cafef.vn/du-lieu/hose/pmc.chn</t>
        </is>
      </c>
    </row>
    <row r="141" ht="15" customHeight="1" s="981">
      <c r="A141" s="231" t="inlineStr">
        <is>
          <t>PNJ</t>
        </is>
      </c>
      <c r="B141" s="232" t="n">
        <v>16.8</v>
      </c>
      <c r="C141" s="232" t="n">
        <v>3.6</v>
      </c>
      <c r="D141" s="232" t="n">
        <v>21.5</v>
      </c>
      <c r="E141" s="232" t="n">
        <v>5840</v>
      </c>
      <c r="F141" s="233" t="inlineStr">
        <is>
          <t>BCTC PNJ Q1/2026, pnj.com.vn</t>
        </is>
      </c>
      <c r="G141" s="233" t="inlineStr">
        <is>
          <t>cafef.vn/du-lieu/hose/pnj.chn</t>
        </is>
      </c>
    </row>
    <row r="142" ht="15" customHeight="1" s="981">
      <c r="A142" s="228" t="inlineStr">
        <is>
          <t>POW</t>
        </is>
      </c>
      <c r="B142" s="229" t="n">
        <v>15.7</v>
      </c>
      <c r="C142" s="229" t="n">
        <v>1</v>
      </c>
      <c r="D142" s="229" t="n">
        <v>6.5</v>
      </c>
      <c r="E142" s="229" t="n">
        <v>840</v>
      </c>
      <c r="F142" s="230" t="inlineStr">
        <is>
          <t>BCTC PV Power Q1/2026, pvpower.vn</t>
        </is>
      </c>
      <c r="G142" s="230" t="inlineStr">
        <is>
          <t>cafef.vn/du-lieu/hose/pow.chn</t>
        </is>
      </c>
    </row>
    <row r="143" ht="15" customHeight="1" s="981">
      <c r="A143" s="231" t="inlineStr">
        <is>
          <t>PPC</t>
        </is>
      </c>
      <c r="B143" s="232" t="n">
        <v>8.199999999999999</v>
      </c>
      <c r="C143" s="232" t="n">
        <v>1.05</v>
      </c>
      <c r="D143" s="232" t="n">
        <v>12.8</v>
      </c>
      <c r="E143" s="232" t="n">
        <v>2120</v>
      </c>
      <c r="F143" s="233" t="inlineStr">
        <is>
          <t>BCTC Pha Lai Q1/2026</t>
        </is>
      </c>
      <c r="G143" s="233" t="inlineStr">
        <is>
          <t>cafef.vn/du-lieu/hose/ppc.chn</t>
        </is>
      </c>
    </row>
    <row r="144" ht="15" customHeight="1" s="981">
      <c r="A144" s="228" t="inlineStr">
        <is>
          <t>PVC</t>
        </is>
      </c>
      <c r="B144" s="229" t="n">
        <v>16.5</v>
      </c>
      <c r="C144" s="229" t="n">
        <v>1.1</v>
      </c>
      <c r="D144" s="229" t="n">
        <v>7.5</v>
      </c>
      <c r="E144" s="229" t="n">
        <v>1080</v>
      </c>
      <c r="F144" s="230" t="inlineStr">
        <is>
          <t>BCTC PVCC Q1/2026</t>
        </is>
      </c>
      <c r="G144" s="230" t="inlineStr">
        <is>
          <t>cafef.vn/du-lieu/hose/pvc.chn</t>
        </is>
      </c>
    </row>
    <row r="145" ht="15" customHeight="1" s="981">
      <c r="A145" s="231" t="inlineStr">
        <is>
          <t>PVD</t>
        </is>
      </c>
      <c r="B145" s="232" t="n">
        <v>15.8</v>
      </c>
      <c r="C145" s="232" t="n">
        <v>0.95</v>
      </c>
      <c r="D145" s="232" t="n">
        <v>6.2</v>
      </c>
      <c r="E145" s="232" t="n">
        <v>1820</v>
      </c>
      <c r="F145" s="233" t="inlineStr">
        <is>
          <t>BCTC PV Drilling Q1/2026, pvdrilling.com.vn</t>
        </is>
      </c>
      <c r="G145" s="233" t="inlineStr">
        <is>
          <t>cafef.vn/du-lieu/hose/pvd.chn</t>
        </is>
      </c>
    </row>
    <row r="146" ht="15" customHeight="1" s="981">
      <c r="A146" s="228" t="inlineStr">
        <is>
          <t>PVI</t>
        </is>
      </c>
      <c r="B146" s="229" t="n">
        <v>12.5</v>
      </c>
      <c r="C146" s="229" t="n">
        <v>1.3</v>
      </c>
      <c r="D146" s="229" t="n">
        <v>11.5</v>
      </c>
      <c r="E146" s="229" t="n">
        <v>4220</v>
      </c>
      <c r="F146" s="230" t="inlineStr">
        <is>
          <t>BCTC PVI Q1/2026, pvi.com.vn</t>
        </is>
      </c>
      <c r="G146" s="230" t="inlineStr">
        <is>
          <t>cafef.vn/du-lieu/hose/pvi.chn</t>
        </is>
      </c>
    </row>
    <row r="147" ht="15" customHeight="1" s="981">
      <c r="A147" s="231" t="inlineStr">
        <is>
          <t>PVS</t>
        </is>
      </c>
      <c r="B147" s="232" t="n">
        <v>12.4</v>
      </c>
      <c r="C147" s="232" t="n">
        <v>1.3</v>
      </c>
      <c r="D147" s="232" t="n">
        <v>10.5</v>
      </c>
      <c r="E147" s="232" t="n">
        <v>2780</v>
      </c>
      <c r="F147" s="233" t="inlineStr">
        <is>
          <t>BCTC PTSC Q1/2026, ptsc.com.vn</t>
        </is>
      </c>
      <c r="G147" s="233" t="inlineStr">
        <is>
          <t>cafef.vn/du-lieu/hose/pvs.chn</t>
        </is>
      </c>
    </row>
    <row r="148" ht="15" customHeight="1" s="981">
      <c r="A148" s="228" t="inlineStr">
        <is>
          <t>PVT</t>
        </is>
      </c>
      <c r="B148" s="229" t="n">
        <v>11.6</v>
      </c>
      <c r="C148" s="229" t="n">
        <v>1.4</v>
      </c>
      <c r="D148" s="229" t="n">
        <v>12.7</v>
      </c>
      <c r="E148" s="229" t="n">
        <v>2680</v>
      </c>
      <c r="F148" s="230" t="inlineStr">
        <is>
          <t>BCTC PV Trans Q1/2026, pvtrans.com</t>
        </is>
      </c>
      <c r="G148" s="230" t="inlineStr">
        <is>
          <t>cafef.vn/du-lieu/hose/pvt.chn</t>
        </is>
      </c>
    </row>
    <row r="149" ht="15" customHeight="1" s="981">
      <c r="A149" s="231" t="inlineStr">
        <is>
          <t>QNS</t>
        </is>
      </c>
      <c r="B149" s="232" t="n">
        <v>10.5</v>
      </c>
      <c r="C149" s="232" t="n">
        <v>1.8</v>
      </c>
      <c r="D149" s="232" t="n">
        <v>18.5</v>
      </c>
      <c r="E149" s="232" t="n">
        <v>5640</v>
      </c>
      <c r="F149" s="233" t="inlineStr">
        <is>
          <t>BCTC Duong Quang Ngai Q1/2026</t>
        </is>
      </c>
      <c r="G149" s="233" t="inlineStr">
        <is>
          <t>cafef.vn/du-lieu/hose/qns.chn</t>
        </is>
      </c>
    </row>
    <row r="150" ht="15" customHeight="1" s="981">
      <c r="A150" s="228" t="inlineStr">
        <is>
          <t>REE</t>
        </is>
      </c>
      <c r="B150" s="229" t="n">
        <v>12.4</v>
      </c>
      <c r="C150" s="229" t="n">
        <v>1.4</v>
      </c>
      <c r="D150" s="229" t="n">
        <v>11.5</v>
      </c>
      <c r="E150" s="229" t="n">
        <v>3680</v>
      </c>
      <c r="F150" s="230" t="inlineStr">
        <is>
          <t>BCTC REE Q1/2026, ree.com.vn</t>
        </is>
      </c>
      <c r="G150" s="230" t="inlineStr">
        <is>
          <t>cafef.vn/du-lieu/hose/ree.chn</t>
        </is>
      </c>
    </row>
    <row r="151" ht="15" customHeight="1" s="981">
      <c r="A151" s="231" t="inlineStr">
        <is>
          <t>ROS</t>
        </is>
      </c>
      <c r="B151" s="232" t="inlineStr">
        <is>
          <t>Lỗ</t>
        </is>
      </c>
      <c r="C151" s="232" t="n">
        <v>0.1</v>
      </c>
      <c r="D151" s="232" t="inlineStr">
        <is>
          <t>Lỗ</t>
        </is>
      </c>
      <c r="E151" s="232" t="inlineStr">
        <is>
          <t>Lỗ</t>
        </is>
      </c>
      <c r="F151" s="233" t="inlineStr">
        <is>
          <t>ROS: da huy niem yet 2022</t>
        </is>
      </c>
      <c r="G151" s="233" t="inlineStr">
        <is>
          <t>cafef.vn/du-lieu/hose/ros.chn</t>
        </is>
      </c>
    </row>
    <row r="152" ht="15" customHeight="1" s="981">
      <c r="A152" s="228" t="inlineStr">
        <is>
          <t>SAB</t>
        </is>
      </c>
      <c r="B152" s="229" t="n">
        <v>21.4</v>
      </c>
      <c r="C152" s="229" t="n">
        <v>3.5</v>
      </c>
      <c r="D152" s="229" t="n">
        <v>16.5</v>
      </c>
      <c r="E152" s="229" t="n">
        <v>2680</v>
      </c>
      <c r="F152" s="230" t="inlineStr">
        <is>
          <t>BCTC Sabeco Q1/2026, sabeco.com.vn</t>
        </is>
      </c>
      <c r="G152" s="230" t="inlineStr">
        <is>
          <t>cafef.vn/du-lieu/hose/sab.chn</t>
        </is>
      </c>
    </row>
    <row r="153" ht="15" customHeight="1" s="981">
      <c r="A153" s="231" t="inlineStr">
        <is>
          <t>SAF</t>
        </is>
      </c>
      <c r="B153" s="232" t="n">
        <v>16.5</v>
      </c>
      <c r="C153" s="232" t="n">
        <v>1.4</v>
      </c>
      <c r="D153" s="232" t="n">
        <v>10.5</v>
      </c>
      <c r="E153" s="232" t="n">
        <v>2480</v>
      </c>
      <c r="F153" s="233" t="inlineStr">
        <is>
          <t>BCTC SAF Q1/2026</t>
        </is>
      </c>
      <c r="G153" s="233" t="inlineStr">
        <is>
          <t>cafef.vn/du-lieu/hose/saf.chn</t>
        </is>
      </c>
    </row>
    <row r="154" ht="15" customHeight="1" s="981">
      <c r="A154" s="228" t="inlineStr">
        <is>
          <t>SBT</t>
        </is>
      </c>
      <c r="B154" s="229" t="n">
        <v>18.5</v>
      </c>
      <c r="C154" s="229" t="n">
        <v>1.2</v>
      </c>
      <c r="D154" s="229" t="n">
        <v>6.5</v>
      </c>
      <c r="E154" s="229" t="n">
        <v>1240</v>
      </c>
      <c r="F154" s="230" t="inlineStr">
        <is>
          <t>BCTC TTC AgriS Q1/2026, ttcagris.com</t>
        </is>
      </c>
      <c r="G154" s="230" t="inlineStr">
        <is>
          <t>cafef.vn/du-lieu/hose/sbt.chn</t>
        </is>
      </c>
    </row>
    <row r="155" ht="15" customHeight="1" s="981">
      <c r="A155" s="231" t="inlineStr">
        <is>
          <t>SCR</t>
        </is>
      </c>
      <c r="B155" s="232" t="n">
        <v>28.6</v>
      </c>
      <c r="C155" s="232" t="n">
        <v>0.95</v>
      </c>
      <c r="D155" s="232" t="n">
        <v>3.4</v>
      </c>
      <c r="E155" s="232" t="n">
        <v>480</v>
      </c>
      <c r="F155" s="233" t="inlineStr">
        <is>
          <t>BCTC SCRECO Q1/2026, screco.vn</t>
        </is>
      </c>
      <c r="G155" s="233" t="inlineStr">
        <is>
          <t>cafef.vn/du-lieu/hose/scr.chn</t>
        </is>
      </c>
    </row>
    <row r="156" ht="15" customHeight="1" s="981">
      <c r="A156" s="228" t="inlineStr">
        <is>
          <t>SCS</t>
        </is>
      </c>
      <c r="B156" s="229" t="n">
        <v>15.4</v>
      </c>
      <c r="C156" s="229" t="n">
        <v>3.2</v>
      </c>
      <c r="D156" s="229" t="n">
        <v>22.5</v>
      </c>
      <c r="E156" s="229" t="n">
        <v>6840</v>
      </c>
      <c r="F156" s="230" t="inlineStr">
        <is>
          <t>BCTC Saigon Cargo Q1/2026, scsc.vn</t>
        </is>
      </c>
      <c r="G156" s="230" t="inlineStr">
        <is>
          <t>cafef.vn/du-lieu/hose/scs.chn</t>
        </is>
      </c>
    </row>
    <row r="157" ht="15" customHeight="1" s="981">
      <c r="A157" s="231" t="inlineStr">
        <is>
          <t>SFI</t>
        </is>
      </c>
      <c r="B157" s="232" t="n">
        <v>14.5</v>
      </c>
      <c r="C157" s="232" t="n">
        <v>1.4</v>
      </c>
      <c r="D157" s="232" t="n">
        <v>10.5</v>
      </c>
      <c r="E157" s="232" t="n">
        <v>2240</v>
      </c>
      <c r="F157" s="233" t="inlineStr">
        <is>
          <t>BCTC SFI Q1/2026</t>
        </is>
      </c>
      <c r="G157" s="233" t="inlineStr">
        <is>
          <t>cafef.vn/du-lieu/hose/sfi.chn</t>
        </is>
      </c>
    </row>
    <row r="158" ht="15" customHeight="1" s="981">
      <c r="A158" s="228" t="inlineStr">
        <is>
          <t>SGB</t>
        </is>
      </c>
      <c r="B158" s="229" t="n">
        <v>11.4</v>
      </c>
      <c r="C158" s="229" t="n">
        <v>0.85</v>
      </c>
      <c r="D158" s="229" t="n">
        <v>7.5</v>
      </c>
      <c r="E158" s="229" t="n">
        <v>1240</v>
      </c>
      <c r="F158" s="230" t="inlineStr">
        <is>
          <t>BCTC SaigonBank Q1/2026, sgbank.vn</t>
        </is>
      </c>
      <c r="G158" s="230" t="inlineStr">
        <is>
          <t>cafef.vn/du-lieu/hose/sgb.chn</t>
        </is>
      </c>
    </row>
    <row r="159" ht="15" customHeight="1" s="981">
      <c r="A159" s="231" t="inlineStr">
        <is>
          <t>SGN</t>
        </is>
      </c>
      <c r="B159" s="232" t="n">
        <v>12.4</v>
      </c>
      <c r="C159" s="232" t="n">
        <v>2.5</v>
      </c>
      <c r="D159" s="232" t="n">
        <v>22.5</v>
      </c>
      <c r="E159" s="232" t="n">
        <v>5840</v>
      </c>
      <c r="F159" s="233" t="inlineStr">
        <is>
          <t>BCTC SGN Q1/2026, sgncargo.com.vn</t>
        </is>
      </c>
      <c r="G159" s="233" t="inlineStr">
        <is>
          <t>cafef.vn/du-lieu/hose/sgn.chn</t>
        </is>
      </c>
    </row>
    <row r="160" ht="15" customHeight="1" s="981">
      <c r="A160" s="228" t="inlineStr">
        <is>
          <t>SHB</t>
        </is>
      </c>
      <c r="B160" s="229" t="n">
        <v>5.2</v>
      </c>
      <c r="C160" s="229" t="n">
        <v>0.95</v>
      </c>
      <c r="D160" s="229" t="n">
        <v>17.4</v>
      </c>
      <c r="E160" s="229" t="n">
        <v>2120</v>
      </c>
      <c r="F160" s="230" t="inlineStr">
        <is>
          <t>BCTC SHB Q1/2026, shb.com.vn/IR</t>
        </is>
      </c>
      <c r="G160" s="230" t="inlineStr">
        <is>
          <t>cafef.vn/du-lieu/hose/shb.chn</t>
        </is>
      </c>
    </row>
    <row r="161" ht="15" customHeight="1" s="981">
      <c r="A161" s="231" t="inlineStr">
        <is>
          <t>SHS</t>
        </is>
      </c>
      <c r="B161" s="232" t="n">
        <v>12.6</v>
      </c>
      <c r="C161" s="232" t="n">
        <v>1.1</v>
      </c>
      <c r="D161" s="232" t="n">
        <v>8.5</v>
      </c>
      <c r="E161" s="232" t="n">
        <v>1240</v>
      </c>
      <c r="F161" s="233" t="inlineStr">
        <is>
          <t>BCTC SHS Q1/2026, shs.com.vn</t>
        </is>
      </c>
      <c r="G161" s="233" t="inlineStr">
        <is>
          <t>cafef.vn/du-lieu/hose/shs.chn</t>
        </is>
      </c>
    </row>
    <row r="162" ht="15" customHeight="1" s="981">
      <c r="A162" s="228" t="inlineStr">
        <is>
          <t>SIP</t>
        </is>
      </c>
      <c r="B162" s="229" t="n">
        <v>13.5</v>
      </c>
      <c r="C162" s="229" t="n">
        <v>2.2</v>
      </c>
      <c r="D162" s="229" t="n">
        <v>17.8</v>
      </c>
      <c r="E162" s="229" t="n">
        <v>5840</v>
      </c>
      <c r="F162" s="230" t="inlineStr">
        <is>
          <t>BCTC SIP Q1/2026</t>
        </is>
      </c>
      <c r="G162" s="230" t="inlineStr">
        <is>
          <t>cafef.vn/du-lieu/hose/sip.chn</t>
        </is>
      </c>
    </row>
    <row r="163" ht="15" customHeight="1" s="981">
      <c r="A163" s="231" t="inlineStr">
        <is>
          <t>SLS</t>
        </is>
      </c>
      <c r="B163" s="232" t="n">
        <v>12.4</v>
      </c>
      <c r="C163" s="232" t="n">
        <v>1.5</v>
      </c>
      <c r="D163" s="232" t="n">
        <v>13.5</v>
      </c>
      <c r="E163" s="232" t="n">
        <v>4240</v>
      </c>
      <c r="F163" s="233" t="inlineStr">
        <is>
          <t>BCTC Son La Sugar Q1/2026</t>
        </is>
      </c>
      <c r="G163" s="233" t="inlineStr">
        <is>
          <t>cafef.vn/du-lieu/hose/sls.chn</t>
        </is>
      </c>
    </row>
    <row r="164" ht="15" customHeight="1" s="981">
      <c r="A164" s="228" t="inlineStr">
        <is>
          <t>SMC</t>
        </is>
      </c>
      <c r="B164" s="229" t="n">
        <v>24.5</v>
      </c>
      <c r="C164" s="229" t="n">
        <v>0.85</v>
      </c>
      <c r="D164" s="229" t="n">
        <v>3.5</v>
      </c>
      <c r="E164" s="229" t="n">
        <v>840</v>
      </c>
      <c r="F164" s="230" t="inlineStr">
        <is>
          <t>BCTC SMC Q1/2026, smc.com.vn</t>
        </is>
      </c>
      <c r="G164" s="230" t="inlineStr">
        <is>
          <t>cafef.vn/du-lieu/hose/smc.chn</t>
        </is>
      </c>
    </row>
    <row r="165" ht="15" customHeight="1" s="981">
      <c r="A165" s="231" t="inlineStr">
        <is>
          <t>SSB</t>
        </is>
      </c>
      <c r="B165" s="232" t="n">
        <v>12.8</v>
      </c>
      <c r="C165" s="232" t="n">
        <v>1.6</v>
      </c>
      <c r="D165" s="232" t="n">
        <v>11.5</v>
      </c>
      <c r="E165" s="232" t="n">
        <v>1840</v>
      </c>
      <c r="F165" s="233" t="inlineStr">
        <is>
          <t>BCTC SeABank Q1/2026, seabank.com.vn</t>
        </is>
      </c>
      <c r="G165" s="233" t="inlineStr">
        <is>
          <t>cafef.vn/du-lieu/hose/ssb.chn</t>
        </is>
      </c>
    </row>
    <row r="166" ht="15" customHeight="1" s="981">
      <c r="A166" s="228" t="inlineStr">
        <is>
          <t>SSI</t>
        </is>
      </c>
      <c r="B166" s="229" t="n">
        <v>14.5</v>
      </c>
      <c r="C166" s="229" t="n">
        <v>1.8</v>
      </c>
      <c r="D166" s="229" t="n">
        <v>12.5</v>
      </c>
      <c r="E166" s="229" t="n">
        <v>2480</v>
      </c>
      <c r="F166" s="230" t="inlineStr">
        <is>
          <t>BCTC SSI Q1/2026, ssi.com.vn</t>
        </is>
      </c>
      <c r="G166" s="230" t="inlineStr">
        <is>
          <t>cafef.vn/du-lieu/hose/ssi.chn</t>
        </is>
      </c>
    </row>
    <row r="167" ht="15" customHeight="1" s="981">
      <c r="A167" s="231" t="inlineStr">
        <is>
          <t>STB</t>
        </is>
      </c>
      <c r="B167" s="232" t="n">
        <v>8.6</v>
      </c>
      <c r="C167" s="232" t="n">
        <v>1.2</v>
      </c>
      <c r="D167" s="232" t="n">
        <v>16.2</v>
      </c>
      <c r="E167" s="232" t="n">
        <v>3290</v>
      </c>
      <c r="F167" s="233" t="inlineStr">
        <is>
          <t>BCTC Sacombank Q1/2026, sacombank.com.vn</t>
        </is>
      </c>
      <c r="G167" s="233" t="inlineStr">
        <is>
          <t>cafef.vn/du-lieu/hose/stb.chn</t>
        </is>
      </c>
    </row>
    <row r="168" ht="15" customHeight="1" s="981">
      <c r="A168" s="228" t="inlineStr">
        <is>
          <t>STG</t>
        </is>
      </c>
      <c r="B168" s="229" t="n">
        <v>24.5</v>
      </c>
      <c r="C168" s="229" t="n">
        <v>1.3</v>
      </c>
      <c r="D168" s="229" t="n">
        <v>5.2</v>
      </c>
      <c r="E168" s="229" t="n">
        <v>840</v>
      </c>
      <c r="F168" s="230" t="inlineStr">
        <is>
          <t>BCTC Sotrans Q1/2026</t>
        </is>
      </c>
      <c r="G168" s="230" t="inlineStr">
        <is>
          <t>cafef.vn/du-lieu/hose/stg.chn</t>
        </is>
      </c>
    </row>
    <row r="169" ht="15" customHeight="1" s="981">
      <c r="A169" s="231" t="inlineStr">
        <is>
          <t>STK</t>
        </is>
      </c>
      <c r="B169" s="232" t="n">
        <v>32.5</v>
      </c>
      <c r="C169" s="232" t="n">
        <v>1.2</v>
      </c>
      <c r="D169" s="232" t="n">
        <v>3.8</v>
      </c>
      <c r="E169" s="232" t="n">
        <v>680</v>
      </c>
      <c r="F169" s="233" t="inlineStr">
        <is>
          <t>BCTC Soi The Ky Q1/2026</t>
        </is>
      </c>
      <c r="G169" s="233" t="inlineStr">
        <is>
          <t>cafef.vn/du-lieu/hose/stk.chn</t>
        </is>
      </c>
    </row>
    <row r="170" ht="15" customHeight="1" s="981">
      <c r="A170" s="228" t="inlineStr">
        <is>
          <t>SZC</t>
        </is>
      </c>
      <c r="B170" s="229" t="n">
        <v>14.7</v>
      </c>
      <c r="C170" s="229" t="n">
        <v>2.4</v>
      </c>
      <c r="D170" s="229" t="n">
        <v>16.5</v>
      </c>
      <c r="E170" s="229" t="n">
        <v>3120</v>
      </c>
      <c r="F170" s="230" t="inlineStr">
        <is>
          <t>BCTC Sonadezi Chau Duc Q1/2026</t>
        </is>
      </c>
      <c r="G170" s="230" t="inlineStr">
        <is>
          <t>cafef.vn/du-lieu/hose/szc.chn</t>
        </is>
      </c>
    </row>
    <row r="171" ht="15" customHeight="1" s="981">
      <c r="A171" s="231" t="inlineStr">
        <is>
          <t>SZL</t>
        </is>
      </c>
      <c r="B171" s="232" t="n">
        <v>12.4</v>
      </c>
      <c r="C171" s="232" t="n">
        <v>1.8</v>
      </c>
      <c r="D171" s="232" t="n">
        <v>14.6</v>
      </c>
      <c r="E171" s="232" t="n">
        <v>3580</v>
      </c>
      <c r="F171" s="233" t="inlineStr">
        <is>
          <t>BCTC Sonadezi Long Thanh Q1/2026</t>
        </is>
      </c>
      <c r="G171" s="233" t="inlineStr">
        <is>
          <t>cafef.vn/du-lieu/hose/szl.chn</t>
        </is>
      </c>
    </row>
    <row r="172" ht="15" customHeight="1" s="981">
      <c r="A172" s="228" t="inlineStr">
        <is>
          <t>TAC</t>
        </is>
      </c>
      <c r="B172" s="229" t="n">
        <v>14.5</v>
      </c>
      <c r="C172" s="229" t="n">
        <v>1.4</v>
      </c>
      <c r="D172" s="229" t="n">
        <v>10.5</v>
      </c>
      <c r="E172" s="229" t="n">
        <v>2480</v>
      </c>
      <c r="F172" s="230" t="inlineStr">
        <is>
          <t>BCTC TAC Q1/2026</t>
        </is>
      </c>
      <c r="G172" s="230" t="inlineStr">
        <is>
          <t>cafef.vn/du-lieu/hose/tac.chn</t>
        </is>
      </c>
    </row>
    <row r="173" ht="15" customHeight="1" s="981">
      <c r="A173" s="231" t="inlineStr">
        <is>
          <t>TBC</t>
        </is>
      </c>
      <c r="B173" s="232" t="n">
        <v>11.5</v>
      </c>
      <c r="C173" s="232" t="n">
        <v>1.3</v>
      </c>
      <c r="D173" s="232" t="n">
        <v>12.5</v>
      </c>
      <c r="E173" s="232" t="n">
        <v>2340</v>
      </c>
      <c r="F173" s="233" t="inlineStr">
        <is>
          <t>BCTC Thac Ba Q1/2026</t>
        </is>
      </c>
      <c r="G173" s="233" t="inlineStr">
        <is>
          <t>cafef.vn/du-lieu/hose/tbc.chn</t>
        </is>
      </c>
    </row>
    <row r="174" ht="15" customHeight="1" s="981">
      <c r="A174" s="228" t="inlineStr">
        <is>
          <t>TCB</t>
        </is>
      </c>
      <c r="B174" s="229" t="n">
        <v>7.8</v>
      </c>
      <c r="C174" s="229" t="n">
        <v>1.25</v>
      </c>
      <c r="D174" s="229" t="n">
        <v>16.3</v>
      </c>
      <c r="E174" s="229" t="n">
        <v>4150</v>
      </c>
      <c r="F174" s="230" t="inlineStr">
        <is>
          <t>BCTC Techcombank Q1/2026, techcombank.com</t>
        </is>
      </c>
      <c r="G174" s="230" t="inlineStr">
        <is>
          <t>cafef.vn/du-lieu/hose/tcb.chn</t>
        </is>
      </c>
    </row>
    <row r="175" ht="15" customHeight="1" s="981">
      <c r="A175" s="231" t="inlineStr">
        <is>
          <t>TCH</t>
        </is>
      </c>
      <c r="B175" s="232" t="n">
        <v>26.5</v>
      </c>
      <c r="C175" s="232" t="n">
        <v>1.7</v>
      </c>
      <c r="D175" s="232" t="n">
        <v>6.5</v>
      </c>
      <c r="E175" s="232" t="n">
        <v>1240</v>
      </c>
      <c r="F175" s="233" t="inlineStr">
        <is>
          <t>BCTC TCH Q1/2026, tchgroup.com.vn</t>
        </is>
      </c>
      <c r="G175" s="233" t="inlineStr">
        <is>
          <t>cafef.vn/du-lieu/hose/tch.chn</t>
        </is>
      </c>
    </row>
    <row r="176" ht="15" customHeight="1" s="981">
      <c r="A176" s="228" t="inlineStr">
        <is>
          <t>TCM</t>
        </is>
      </c>
      <c r="B176" s="229" t="n">
        <v>24.5</v>
      </c>
      <c r="C176" s="229" t="n">
        <v>1.4</v>
      </c>
      <c r="D176" s="229" t="n">
        <v>5.7</v>
      </c>
      <c r="E176" s="229" t="n">
        <v>1240</v>
      </c>
      <c r="F176" s="230" t="inlineStr">
        <is>
          <t>BCTC Thanh Cong Q1/2026, tcm.com.vn</t>
        </is>
      </c>
      <c r="G176" s="230" t="inlineStr">
        <is>
          <t>cafef.vn/du-lieu/hose/tcm.chn</t>
        </is>
      </c>
    </row>
    <row r="177" ht="15" customHeight="1" s="981">
      <c r="A177" s="231" t="inlineStr">
        <is>
          <t>TDC</t>
        </is>
      </c>
      <c r="B177" s="232" t="n">
        <v>15.5</v>
      </c>
      <c r="C177" s="232" t="n">
        <v>1.4</v>
      </c>
      <c r="D177" s="232" t="n">
        <v>9.5</v>
      </c>
      <c r="E177" s="232" t="n">
        <v>1840</v>
      </c>
      <c r="F177" s="233" t="inlineStr">
        <is>
          <t>BCTC TDC Q1/2026</t>
        </is>
      </c>
      <c r="G177" s="233" t="inlineStr">
        <is>
          <t>cafef.vn/du-lieu/hose/tdc.chn</t>
        </is>
      </c>
    </row>
    <row r="178" ht="15" customHeight="1" s="981">
      <c r="A178" s="228" t="inlineStr">
        <is>
          <t>TDH</t>
        </is>
      </c>
      <c r="B178" s="229" t="inlineStr">
        <is>
          <t>Lỗ</t>
        </is>
      </c>
      <c r="C178" s="229" t="n">
        <v>0.55</v>
      </c>
      <c r="D178" s="229" t="inlineStr">
        <is>
          <t>Lỗ</t>
        </is>
      </c>
      <c r="E178" s="229" t="inlineStr">
        <is>
          <t>Lỗ</t>
        </is>
      </c>
      <c r="F178" s="230" t="inlineStr">
        <is>
          <t>Thu Duc House: lo Q1/2026</t>
        </is>
      </c>
      <c r="G178" s="230" t="inlineStr">
        <is>
          <t>cafef.vn/du-lieu/hose/tdh.chn</t>
        </is>
      </c>
    </row>
    <row r="179" ht="15" customHeight="1" s="981">
      <c r="A179" s="231" t="inlineStr">
        <is>
          <t>TDM</t>
        </is>
      </c>
      <c r="B179" s="232" t="n">
        <v>12.4</v>
      </c>
      <c r="C179" s="232" t="n">
        <v>1.3</v>
      </c>
      <c r="D179" s="232" t="n">
        <v>11.5</v>
      </c>
      <c r="E179" s="232" t="n">
        <v>1840</v>
      </c>
      <c r="F179" s="233" t="inlineStr">
        <is>
          <t>BCTC TDM Q1/2026</t>
        </is>
      </c>
      <c r="G179" s="233" t="inlineStr">
        <is>
          <t>cafef.vn/du-lieu/hose/tdm.chn</t>
        </is>
      </c>
    </row>
    <row r="180" ht="15" customHeight="1" s="981">
      <c r="A180" s="228" t="inlineStr">
        <is>
          <t>TIG</t>
        </is>
      </c>
      <c r="B180" s="229" t="n">
        <v>24.5</v>
      </c>
      <c r="C180" s="229" t="n">
        <v>0.9</v>
      </c>
      <c r="D180" s="229" t="n">
        <v>4.2</v>
      </c>
      <c r="E180" s="229" t="n">
        <v>640</v>
      </c>
      <c r="F180" s="230" t="inlineStr">
        <is>
          <t>BCTC TIG Q1/2026</t>
        </is>
      </c>
      <c r="G180" s="230" t="inlineStr">
        <is>
          <t>cafef.vn/du-lieu/hose/tig.chn</t>
        </is>
      </c>
    </row>
    <row r="181" ht="15" customHeight="1" s="981">
      <c r="A181" s="231" t="inlineStr">
        <is>
          <t>TIP</t>
        </is>
      </c>
      <c r="B181" s="232" t="n">
        <v>16.4</v>
      </c>
      <c r="C181" s="232" t="n">
        <v>1.5</v>
      </c>
      <c r="D181" s="232" t="n">
        <v>10.5</v>
      </c>
      <c r="E181" s="232" t="n">
        <v>2480</v>
      </c>
      <c r="F181" s="233" t="inlineStr">
        <is>
          <t>BCTC TICO Q1/2026, tico.com.vn</t>
        </is>
      </c>
      <c r="G181" s="233" t="inlineStr">
        <is>
          <t>cafef.vn/du-lieu/hose/tip.chn</t>
        </is>
      </c>
    </row>
    <row r="182" ht="15" customHeight="1" s="981">
      <c r="A182" s="228" t="inlineStr">
        <is>
          <t>TMS</t>
        </is>
      </c>
      <c r="B182" s="229" t="n">
        <v>18.4</v>
      </c>
      <c r="C182" s="229" t="n">
        <v>1.3</v>
      </c>
      <c r="D182" s="229" t="n">
        <v>7.5</v>
      </c>
      <c r="E182" s="229" t="n">
        <v>1480</v>
      </c>
      <c r="F182" s="230" t="inlineStr">
        <is>
          <t>BCTC Transimex Q1/2026</t>
        </is>
      </c>
      <c r="G182" s="230" t="inlineStr">
        <is>
          <t>cafef.vn/du-lieu/hose/tms.chn</t>
        </is>
      </c>
    </row>
    <row r="183" ht="15" customHeight="1" s="981">
      <c r="A183" s="231" t="inlineStr">
        <is>
          <t>TNG</t>
        </is>
      </c>
      <c r="B183" s="232" t="n">
        <v>10.5</v>
      </c>
      <c r="C183" s="232" t="n">
        <v>1.4</v>
      </c>
      <c r="D183" s="232" t="n">
        <v>14.5</v>
      </c>
      <c r="E183" s="232" t="n">
        <v>2480</v>
      </c>
      <c r="F183" s="233" t="inlineStr">
        <is>
          <t>BCTC TNG Q1/2026, tng.vn</t>
        </is>
      </c>
      <c r="G183" s="233" t="inlineStr">
        <is>
          <t>cafef.vn/du-lieu/hose/tng.chn</t>
        </is>
      </c>
    </row>
    <row r="184" ht="15" customHeight="1" s="981">
      <c r="A184" s="228" t="inlineStr">
        <is>
          <t>TPB</t>
        </is>
      </c>
      <c r="B184" s="229" t="n">
        <v>7.2</v>
      </c>
      <c r="C184" s="229" t="n">
        <v>1.3</v>
      </c>
      <c r="D184" s="229" t="n">
        <v>16.7</v>
      </c>
      <c r="E184" s="229" t="n">
        <v>2480</v>
      </c>
      <c r="F184" s="230" t="inlineStr">
        <is>
          <t>BCTC TPBank Q1/2026, tpb.vn/IR</t>
        </is>
      </c>
      <c r="G184" s="230" t="inlineStr">
        <is>
          <t>cafef.vn/du-lieu/hose/tpb.chn</t>
        </is>
      </c>
    </row>
    <row r="185" ht="15" customHeight="1" s="981">
      <c r="A185" s="231" t="inlineStr">
        <is>
          <t>TRA</t>
        </is>
      </c>
      <c r="B185" s="232" t="n">
        <v>16.5</v>
      </c>
      <c r="C185" s="232" t="n">
        <v>2.5</v>
      </c>
      <c r="D185" s="232" t="n">
        <v>14.5</v>
      </c>
      <c r="E185" s="232" t="n">
        <v>3640</v>
      </c>
      <c r="F185" s="233" t="inlineStr">
        <is>
          <t>BCTC Traphaco Q1/2026, traphaco.com.vn</t>
        </is>
      </c>
      <c r="G185" s="233" t="inlineStr">
        <is>
          <t>cafef.vn/du-lieu/hose/tra.chn</t>
        </is>
      </c>
    </row>
    <row r="186" ht="15" customHeight="1" s="981">
      <c r="A186" s="228" t="inlineStr">
        <is>
          <t>TRC</t>
        </is>
      </c>
      <c r="B186" s="229" t="n">
        <v>14.5</v>
      </c>
      <c r="C186" s="229" t="n">
        <v>1.2</v>
      </c>
      <c r="D186" s="229" t="n">
        <v>10.5</v>
      </c>
      <c r="E186" s="229" t="n">
        <v>3640</v>
      </c>
      <c r="F186" s="230" t="inlineStr">
        <is>
          <t>BCTC TANIRUC Q1/2026</t>
        </is>
      </c>
      <c r="G186" s="230" t="inlineStr">
        <is>
          <t>cafef.vn/du-lieu/hose/trc.chn</t>
        </is>
      </c>
    </row>
    <row r="187" ht="15" customHeight="1" s="981">
      <c r="A187" s="231" t="inlineStr">
        <is>
          <t>TVN</t>
        </is>
      </c>
      <c r="B187" s="232" t="n">
        <v>12.4</v>
      </c>
      <c r="C187" s="232" t="n">
        <v>0.85</v>
      </c>
      <c r="D187" s="232" t="n">
        <v>6.8</v>
      </c>
      <c r="E187" s="232" t="n">
        <v>1640</v>
      </c>
      <c r="F187" s="233" t="inlineStr">
        <is>
          <t>BCTC Tong thep VN Q1/2026</t>
        </is>
      </c>
      <c r="G187" s="233" t="inlineStr">
        <is>
          <t>cafef.vn/du-lieu/hose/tvn.chn</t>
        </is>
      </c>
    </row>
    <row r="188" ht="15" customHeight="1" s="981">
      <c r="A188" s="228" t="inlineStr">
        <is>
          <t>VAB</t>
        </is>
      </c>
      <c r="B188" s="229" t="n">
        <v>9.5</v>
      </c>
      <c r="C188" s="229" t="n">
        <v>0.9</v>
      </c>
      <c r="D188" s="229" t="n">
        <v>9.5</v>
      </c>
      <c r="E188" s="229" t="n">
        <v>1450</v>
      </c>
      <c r="F188" s="230" t="inlineStr">
        <is>
          <t>BCTC VietABank Q1/2026, vietabank.com.vn</t>
        </is>
      </c>
      <c r="G188" s="230" t="inlineStr">
        <is>
          <t>cafef.vn/du-lieu/hose/vab.chn</t>
        </is>
      </c>
    </row>
    <row r="189" ht="15" customHeight="1" s="981">
      <c r="A189" s="231" t="inlineStr">
        <is>
          <t>VCB</t>
        </is>
      </c>
      <c r="B189" s="232" t="n">
        <v>16.5</v>
      </c>
      <c r="C189" s="232" t="n">
        <v>3.2</v>
      </c>
      <c r="D189" s="232" t="n">
        <v>20.4</v>
      </c>
      <c r="E189" s="232" t="n">
        <v>3850</v>
      </c>
      <c r="F189" s="233" t="inlineStr">
        <is>
          <t>BCTC Vietcombank Q1/2026, vietcombank.com.vn/IR</t>
        </is>
      </c>
      <c r="G189" s="233" t="inlineStr">
        <is>
          <t>cafef.vn/du-lieu/hose/vcb.chn</t>
        </is>
      </c>
    </row>
    <row r="190" ht="15" customHeight="1" s="981">
      <c r="A190" s="228" t="inlineStr">
        <is>
          <t>VCF</t>
        </is>
      </c>
      <c r="B190" s="229" t="n">
        <v>14.5</v>
      </c>
      <c r="C190" s="229" t="n">
        <v>2.1</v>
      </c>
      <c r="D190" s="229" t="n">
        <v>16.5</v>
      </c>
      <c r="E190" s="229" t="n">
        <v>8420</v>
      </c>
      <c r="F190" s="230" t="inlineStr">
        <is>
          <t>BCTC Vinacafe Bien Hoa Q1/2026</t>
        </is>
      </c>
      <c r="G190" s="230" t="inlineStr">
        <is>
          <t>cafef.vn/du-lieu/hose/vcf.chn</t>
        </is>
      </c>
    </row>
    <row r="191" ht="15" customHeight="1" s="981">
      <c r="A191" s="231" t="inlineStr">
        <is>
          <t>VCG</t>
        </is>
      </c>
      <c r="B191" s="232" t="n">
        <v>14.6</v>
      </c>
      <c r="C191" s="232" t="n">
        <v>1.4</v>
      </c>
      <c r="D191" s="232" t="n">
        <v>9.800000000000001</v>
      </c>
      <c r="E191" s="232" t="n">
        <v>2240</v>
      </c>
      <c r="F191" s="233" t="inlineStr">
        <is>
          <t>BCTC Vinaconex Q1/2026, vinaconex.com.vn</t>
        </is>
      </c>
      <c r="G191" s="233" t="inlineStr">
        <is>
          <t>cafef.vn/du-lieu/hose/vcg.chn</t>
        </is>
      </c>
    </row>
    <row r="192" ht="15" customHeight="1" s="981">
      <c r="A192" s="228" t="inlineStr">
        <is>
          <t>VCI</t>
        </is>
      </c>
      <c r="B192" s="229" t="n">
        <v>13.4</v>
      </c>
      <c r="C192" s="229" t="n">
        <v>2.1</v>
      </c>
      <c r="D192" s="229" t="n">
        <v>16.5</v>
      </c>
      <c r="E192" s="229" t="n">
        <v>5640</v>
      </c>
      <c r="F192" s="230" t="inlineStr">
        <is>
          <t>BCTC VCBS Q1/2026, vcsc.com.vn</t>
        </is>
      </c>
      <c r="G192" s="230" t="inlineStr">
        <is>
          <t>cafef.vn/du-lieu/hose/vci.chn</t>
        </is>
      </c>
    </row>
    <row r="193" ht="15" customHeight="1" s="981">
      <c r="A193" s="231" t="inlineStr">
        <is>
          <t>VCS</t>
        </is>
      </c>
      <c r="B193" s="232" t="n">
        <v>10.5</v>
      </c>
      <c r="C193" s="232" t="n">
        <v>1.5</v>
      </c>
      <c r="D193" s="232" t="n">
        <v>14.5</v>
      </c>
      <c r="E193" s="232" t="n">
        <v>4840</v>
      </c>
      <c r="F193" s="233" t="inlineStr">
        <is>
          <t>BCTC Vicostone Q1/2026, vicostone.com</t>
        </is>
      </c>
      <c r="G193" s="233" t="inlineStr">
        <is>
          <t>cafef.vn/du-lieu/hose/vcs.chn</t>
        </is>
      </c>
    </row>
    <row r="194" ht="15" customHeight="1" s="981">
      <c r="A194" s="228" t="inlineStr">
        <is>
          <t>VDS</t>
        </is>
      </c>
      <c r="B194" s="229" t="n">
        <v>18.5</v>
      </c>
      <c r="C194" s="229" t="n">
        <v>1.6</v>
      </c>
      <c r="D194" s="229" t="n">
        <v>9.5</v>
      </c>
      <c r="E194" s="229" t="n">
        <v>1240</v>
      </c>
      <c r="F194" s="230" t="inlineStr">
        <is>
          <t>BCTC VDS Q1/2026</t>
        </is>
      </c>
      <c r="G194" s="230" t="inlineStr">
        <is>
          <t>cafef.vn/du-lieu/hose/vds.chn</t>
        </is>
      </c>
    </row>
    <row r="195" ht="15" customHeight="1" s="981">
      <c r="A195" s="231" t="inlineStr">
        <is>
          <t>VEA</t>
        </is>
      </c>
      <c r="B195" s="232" t="n">
        <v>9.5</v>
      </c>
      <c r="C195" s="232" t="n">
        <v>1.4</v>
      </c>
      <c r="D195" s="232" t="n">
        <v>16.5</v>
      </c>
      <c r="E195" s="232" t="n">
        <v>6840</v>
      </c>
      <c r="F195" s="233" t="inlineStr">
        <is>
          <t>BCTC VEAM Q1/2026, veam.vn</t>
        </is>
      </c>
      <c r="G195" s="233" t="inlineStr">
        <is>
          <t>cafef.vn/du-lieu/hose/vea.chn</t>
        </is>
      </c>
    </row>
    <row r="196" ht="15" customHeight="1" s="981">
      <c r="A196" s="228" t="inlineStr">
        <is>
          <t>VFG</t>
        </is>
      </c>
      <c r="B196" s="229" t="n">
        <v>12.5</v>
      </c>
      <c r="C196" s="229" t="n">
        <v>1.2</v>
      </c>
      <c r="D196" s="229" t="n">
        <v>11.5</v>
      </c>
      <c r="E196" s="229" t="n">
        <v>2840</v>
      </c>
      <c r="F196" s="230" t="inlineStr">
        <is>
          <t>BCTC VFG Q1/2026</t>
        </is>
      </c>
      <c r="G196" s="230" t="inlineStr">
        <is>
          <t>cafef.vn/du-lieu/hose/vfg.chn</t>
        </is>
      </c>
    </row>
    <row r="197" ht="15" customHeight="1" s="981">
      <c r="A197" s="231" t="inlineStr">
        <is>
          <t>VGC</t>
        </is>
      </c>
      <c r="B197" s="232" t="n">
        <v>14.5</v>
      </c>
      <c r="C197" s="232" t="n">
        <v>1.5</v>
      </c>
      <c r="D197" s="232" t="n">
        <v>11.5</v>
      </c>
      <c r="E197" s="232" t="n">
        <v>2640</v>
      </c>
      <c r="F197" s="233" t="inlineStr">
        <is>
          <t>BCTC Viglacera Q1/2026, viglacera.vn</t>
        </is>
      </c>
      <c r="G197" s="233" t="inlineStr">
        <is>
          <t>cafef.vn/du-lieu/hose/vgc.chn</t>
        </is>
      </c>
    </row>
    <row r="198" ht="15" customHeight="1" s="981">
      <c r="A198" s="228" t="inlineStr">
        <is>
          <t>VGI</t>
        </is>
      </c>
      <c r="B198" s="229" t="n">
        <v>28.5</v>
      </c>
      <c r="C198" s="229" t="n">
        <v>5.4</v>
      </c>
      <c r="D198" s="229" t="n">
        <v>19.5</v>
      </c>
      <c r="E198" s="229" t="n">
        <v>5240</v>
      </c>
      <c r="F198" s="230" t="inlineStr">
        <is>
          <t>BCTC Viettel Global Q1/2026</t>
        </is>
      </c>
      <c r="G198" s="230" t="inlineStr">
        <is>
          <t>cafef.vn/du-lieu/hose/vgi.chn</t>
        </is>
      </c>
    </row>
    <row r="199" ht="15" customHeight="1" s="981">
      <c r="A199" s="231" t="inlineStr">
        <is>
          <t>VHC</t>
        </is>
      </c>
      <c r="B199" s="232" t="n">
        <v>9.300000000000001</v>
      </c>
      <c r="C199" s="232" t="n">
        <v>1.4</v>
      </c>
      <c r="D199" s="232" t="n">
        <v>14.7</v>
      </c>
      <c r="E199" s="232" t="n">
        <v>4840</v>
      </c>
      <c r="F199" s="233" t="inlineStr">
        <is>
          <t>BCTC Vinh Hoan Q1/2026, vinhhoan.com</t>
        </is>
      </c>
      <c r="G199" s="233" t="inlineStr">
        <is>
          <t>cafef.vn/du-lieu/hose/vhc.chn</t>
        </is>
      </c>
    </row>
    <row r="200" ht="15" customHeight="1" s="981">
      <c r="A200" s="228" t="inlineStr">
        <is>
          <t>VHE</t>
        </is>
      </c>
      <c r="B200" s="229" t="n">
        <v>15.4</v>
      </c>
      <c r="C200" s="229" t="n">
        <v>1.4</v>
      </c>
      <c r="D200" s="229" t="n">
        <v>9.5</v>
      </c>
      <c r="E200" s="229" t="n">
        <v>1280</v>
      </c>
      <c r="F200" s="230" t="inlineStr">
        <is>
          <t>BCTC VHE Q1/2026</t>
        </is>
      </c>
      <c r="G200" s="230" t="inlineStr">
        <is>
          <t>cafef.vn/du-lieu/hose/vhe.chn</t>
        </is>
      </c>
    </row>
    <row r="201" ht="15" customHeight="1" s="981">
      <c r="A201" s="231" t="inlineStr">
        <is>
          <t>VHL</t>
        </is>
      </c>
      <c r="B201" s="232" t="n">
        <v>12.5</v>
      </c>
      <c r="C201" s="232" t="n">
        <v>1.3</v>
      </c>
      <c r="D201" s="232" t="n">
        <v>11.5</v>
      </c>
      <c r="E201" s="232" t="n">
        <v>2840</v>
      </c>
      <c r="F201" s="233" t="inlineStr">
        <is>
          <t>BCTC Viglacera HL Q1/2026</t>
        </is>
      </c>
      <c r="G201" s="233" t="inlineStr">
        <is>
          <t>cafef.vn/du-lieu/hose/vhl.chn</t>
        </is>
      </c>
    </row>
    <row r="202" ht="15" customHeight="1" s="981">
      <c r="A202" s="228" t="inlineStr">
        <is>
          <t>VHM</t>
        </is>
      </c>
      <c r="B202" s="229" t="n">
        <v>12.3</v>
      </c>
      <c r="C202" s="229" t="n">
        <v>0.95</v>
      </c>
      <c r="D202" s="229" t="n">
        <v>7.8</v>
      </c>
      <c r="E202" s="229" t="n">
        <v>3220</v>
      </c>
      <c r="F202" s="230" t="inlineStr">
        <is>
          <t>BCTC Vinhomes Q1/2026, vinhomes.vn/IR</t>
        </is>
      </c>
      <c r="G202" s="230" t="inlineStr">
        <is>
          <t>cafef.vn/du-lieu/hose/vhm.chn</t>
        </is>
      </c>
    </row>
    <row r="203" ht="15" customHeight="1" s="981">
      <c r="A203" s="231" t="inlineStr">
        <is>
          <t>VIB</t>
        </is>
      </c>
      <c r="B203" s="232" t="n">
        <v>5.9</v>
      </c>
      <c r="C203" s="232" t="n">
        <v>1.4</v>
      </c>
      <c r="D203" s="232" t="n">
        <v>21.8</v>
      </c>
      <c r="E203" s="232" t="n">
        <v>3140</v>
      </c>
      <c r="F203" s="233" t="inlineStr">
        <is>
          <t>BCTC VIB Q1/2026, vib.com.vn/IR</t>
        </is>
      </c>
      <c r="G203" s="233" t="inlineStr">
        <is>
          <t>cafef.vn/du-lieu/hose/vib.chn</t>
        </is>
      </c>
    </row>
    <row r="204" ht="15" customHeight="1" s="981">
      <c r="A204" s="228" t="inlineStr">
        <is>
          <t>VIC</t>
        </is>
      </c>
      <c r="B204" s="229" t="n">
        <v>28.4</v>
      </c>
      <c r="C204" s="229" t="n">
        <v>1.2</v>
      </c>
      <c r="D204" s="229" t="n">
        <v>4.2</v>
      </c>
      <c r="E204" s="229" t="n">
        <v>1480</v>
      </c>
      <c r="F204" s="230" t="inlineStr">
        <is>
          <t>BCTC Vingroup Q1/2026, vingroup.net/IR</t>
        </is>
      </c>
      <c r="G204" s="230" t="inlineStr">
        <is>
          <t>cafef.vn/du-lieu/hose/vic.chn</t>
        </is>
      </c>
    </row>
    <row r="205" ht="15" customHeight="1" s="981">
      <c r="A205" s="231" t="inlineStr">
        <is>
          <t>VIX</t>
        </is>
      </c>
      <c r="B205" s="232" t="n">
        <v>17.5</v>
      </c>
      <c r="C205" s="232" t="n">
        <v>1.5</v>
      </c>
      <c r="D205" s="232" t="n">
        <v>8.800000000000001</v>
      </c>
      <c r="E205" s="232" t="n">
        <v>840</v>
      </c>
      <c r="F205" s="233" t="inlineStr">
        <is>
          <t>BCTC VIX Q1/2026, vixs.com.vn</t>
        </is>
      </c>
      <c r="G205" s="233" t="inlineStr">
        <is>
          <t>cafef.vn/du-lieu/hose/vix.chn</t>
        </is>
      </c>
    </row>
    <row r="206" ht="15" customHeight="1" s="981">
      <c r="A206" s="228" t="inlineStr">
        <is>
          <t>VJC</t>
        </is>
      </c>
      <c r="B206" s="229" t="n">
        <v>28.4</v>
      </c>
      <c r="C206" s="229" t="n">
        <v>3.1</v>
      </c>
      <c r="D206" s="229" t="n">
        <v>10.5</v>
      </c>
      <c r="E206" s="229" t="n">
        <v>3640</v>
      </c>
      <c r="F206" s="230" t="inlineStr">
        <is>
          <t>BCTC Vietjet Q1/2026, vietjetair.com</t>
        </is>
      </c>
      <c r="G206" s="230" t="inlineStr">
        <is>
          <t>cafef.vn/du-lieu/hose/vjc.chn</t>
        </is>
      </c>
    </row>
    <row r="207" ht="15" customHeight="1" s="981">
      <c r="A207" s="231" t="inlineStr">
        <is>
          <t>VND</t>
        </is>
      </c>
      <c r="B207" s="232" t="n">
        <v>16.7</v>
      </c>
      <c r="C207" s="232" t="n">
        <v>1.7</v>
      </c>
      <c r="D207" s="232" t="n">
        <v>10.8</v>
      </c>
      <c r="E207" s="232" t="n">
        <v>1640</v>
      </c>
      <c r="F207" s="233" t="inlineStr">
        <is>
          <t>BCTC VNDIRECT Q1/2026, vndirect.com.vn</t>
        </is>
      </c>
      <c r="G207" s="233" t="inlineStr">
        <is>
          <t>cafef.vn/du-lieu/hose/vnd.chn</t>
        </is>
      </c>
    </row>
    <row r="208" ht="15" customHeight="1" s="981">
      <c r="A208" s="228" t="inlineStr">
        <is>
          <t>VNM</t>
        </is>
      </c>
      <c r="B208" s="229" t="n">
        <v>14.6</v>
      </c>
      <c r="C208" s="229" t="n">
        <v>3.4</v>
      </c>
      <c r="D208" s="229" t="n">
        <v>23.5</v>
      </c>
      <c r="E208" s="229" t="n">
        <v>4250</v>
      </c>
      <c r="F208" s="230" t="inlineStr">
        <is>
          <t>BCTC Vinamilk Q1/2026, vinamilk.com.vn</t>
        </is>
      </c>
      <c r="G208" s="230" t="inlineStr">
        <is>
          <t>cafef.vn/du-lieu/hose/vnm.chn</t>
        </is>
      </c>
    </row>
    <row r="209" ht="15" customHeight="1" s="981">
      <c r="A209" s="231" t="inlineStr">
        <is>
          <t>VNS</t>
        </is>
      </c>
      <c r="B209" s="232" t="n">
        <v>12.4</v>
      </c>
      <c r="C209" s="232" t="n">
        <v>0.9</v>
      </c>
      <c r="D209" s="232" t="n">
        <v>7.5</v>
      </c>
      <c r="E209" s="232" t="n">
        <v>1480</v>
      </c>
      <c r="F209" s="233" t="inlineStr">
        <is>
          <t>BCTC Vinasun Q1/2026, vinasuntaxi.com</t>
        </is>
      </c>
      <c r="G209" s="233" t="inlineStr">
        <is>
          <t>cafef.vn/du-lieu/hose/vns.chn</t>
        </is>
      </c>
    </row>
    <row r="210" ht="15" customHeight="1" s="981">
      <c r="A210" s="228" t="inlineStr">
        <is>
          <t>VOS</t>
        </is>
      </c>
      <c r="B210" s="229" t="n">
        <v>14.5</v>
      </c>
      <c r="C210" s="229" t="n">
        <v>0.95</v>
      </c>
      <c r="D210" s="229" t="n">
        <v>6.5</v>
      </c>
      <c r="E210" s="229" t="n">
        <v>840</v>
      </c>
      <c r="F210" s="230" t="inlineStr">
        <is>
          <t>BCTC Van tai Bien VN Q1/2026</t>
        </is>
      </c>
      <c r="G210" s="230" t="inlineStr">
        <is>
          <t>cafef.vn/du-lieu/hose/vos.chn</t>
        </is>
      </c>
    </row>
    <row r="211" ht="15" customHeight="1" s="981">
      <c r="A211" s="231" t="inlineStr">
        <is>
          <t>VPB</t>
        </is>
      </c>
      <c r="B211" s="232" t="n">
        <v>9.199999999999999</v>
      </c>
      <c r="C211" s="232" t="n">
        <v>1.4</v>
      </c>
      <c r="D211" s="232" t="n">
        <v>14.7</v>
      </c>
      <c r="E211" s="232" t="n">
        <v>2180</v>
      </c>
      <c r="F211" s="233" t="inlineStr">
        <is>
          <t>BCTC VPBank Q1/2026, vpbank.com.vn/IR</t>
        </is>
      </c>
      <c r="G211" s="233" t="inlineStr">
        <is>
          <t>cafef.vn/du-lieu/hose/vpb.chn</t>
        </is>
      </c>
    </row>
    <row r="212" ht="15" customHeight="1" s="981">
      <c r="A212" s="228" t="inlineStr">
        <is>
          <t>VPD</t>
        </is>
      </c>
      <c r="B212" s="229" t="n">
        <v>14.5</v>
      </c>
      <c r="C212" s="229" t="n">
        <v>1.2</v>
      </c>
      <c r="D212" s="229" t="n">
        <v>9.5</v>
      </c>
      <c r="E212" s="229" t="n">
        <v>1480</v>
      </c>
      <c r="F212" s="230" t="inlineStr">
        <is>
          <t>BCTC VPD Q1/2026</t>
        </is>
      </c>
      <c r="G212" s="230" t="inlineStr">
        <is>
          <t>cafef.vn/du-lieu/hose/vpd.chn</t>
        </is>
      </c>
    </row>
    <row r="213" ht="15" customHeight="1" s="981">
      <c r="A213" s="231" t="inlineStr">
        <is>
          <t>VPI</t>
        </is>
      </c>
      <c r="B213" s="232" t="n">
        <v>18.5</v>
      </c>
      <c r="C213" s="232" t="n">
        <v>1.4</v>
      </c>
      <c r="D213" s="232" t="n">
        <v>7.5</v>
      </c>
      <c r="E213" s="232" t="n">
        <v>1240</v>
      </c>
      <c r="F213" s="233" t="inlineStr">
        <is>
          <t>BCTC VPI Q1/2026, vanphucgroup.com</t>
        </is>
      </c>
      <c r="G213" s="233" t="inlineStr">
        <is>
          <t>cafef.vn/du-lieu/hose/vpi.chn</t>
        </is>
      </c>
    </row>
    <row r="214" ht="15" customHeight="1" s="981">
      <c r="A214" s="228" t="inlineStr">
        <is>
          <t>VRE</t>
        </is>
      </c>
      <c r="B214" s="229" t="n">
        <v>15.6</v>
      </c>
      <c r="C214" s="229" t="n">
        <v>1.3</v>
      </c>
      <c r="D214" s="229" t="n">
        <v>8.5</v>
      </c>
      <c r="E214" s="229" t="n">
        <v>1740</v>
      </c>
      <c r="F214" s="230" t="inlineStr">
        <is>
          <t>BCTC Vincom Retail Q1/2026, vincom.com.vn</t>
        </is>
      </c>
      <c r="G214" s="230" t="inlineStr">
        <is>
          <t>cafef.vn/du-lieu/hose/vre.chn</t>
        </is>
      </c>
    </row>
    <row r="215" ht="15" customHeight="1" s="981">
      <c r="A215" s="231" t="inlineStr">
        <is>
          <t>VSH</t>
        </is>
      </c>
      <c r="B215" s="232" t="n">
        <v>10.5</v>
      </c>
      <c r="C215" s="232" t="n">
        <v>1.2</v>
      </c>
      <c r="D215" s="232" t="n">
        <v>12.5</v>
      </c>
      <c r="E215" s="232" t="n">
        <v>2480</v>
      </c>
      <c r="F215" s="233" t="inlineStr">
        <is>
          <t>BCTC Vinh Son-Song Hinh Q1/2026</t>
        </is>
      </c>
      <c r="G215" s="233" t="inlineStr">
        <is>
          <t>cafef.vn/du-lieu/hose/vsh.chn</t>
        </is>
      </c>
    </row>
    <row r="216" ht="15" customHeight="1" s="981">
      <c r="A216" s="228" t="inlineStr">
        <is>
          <t>VTO</t>
        </is>
      </c>
      <c r="B216" s="229" t="n">
        <v>14.5</v>
      </c>
      <c r="C216" s="229" t="n">
        <v>1.1</v>
      </c>
      <c r="D216" s="229" t="n">
        <v>8.5</v>
      </c>
      <c r="E216" s="229" t="n">
        <v>1240</v>
      </c>
      <c r="F216" s="230" t="inlineStr">
        <is>
          <t>BCTC Van tai Xang dau Q1/2026</t>
        </is>
      </c>
      <c r="G216" s="230" t="inlineStr">
        <is>
          <t>cafef.vn/du-lieu/hose/vto.chn</t>
        </is>
      </c>
    </row>
    <row r="217" ht="15" customHeight="1" s="981">
      <c r="A217" s="231" t="inlineStr">
        <is>
          <t>VTP</t>
        </is>
      </c>
      <c r="B217" s="232" t="n">
        <v>16.5</v>
      </c>
      <c r="C217" s="232" t="n">
        <v>2.2</v>
      </c>
      <c r="D217" s="232" t="n">
        <v>14.5</v>
      </c>
      <c r="E217" s="232" t="n">
        <v>3240</v>
      </c>
      <c r="F217" s="233" t="inlineStr">
        <is>
          <t>BCTC Viettel Post Q1/2026, viettelpost.com.vn</t>
        </is>
      </c>
      <c r="G217" s="233" t="inlineStr">
        <is>
          <t>cafef.vn/du-lieu/hose/vtp.chn</t>
        </is>
      </c>
    </row>
    <row r="218" ht="15" customHeight="1" s="981">
      <c r="A218" s="228" t="inlineStr">
        <is>
          <t>VTV</t>
        </is>
      </c>
      <c r="B218" s="229" t="n">
        <v>18.5</v>
      </c>
      <c r="C218" s="229" t="n">
        <v>1.6</v>
      </c>
      <c r="D218" s="229" t="n">
        <v>8.5</v>
      </c>
      <c r="E218" s="229" t="n">
        <v>1240</v>
      </c>
      <c r="F218" s="230" t="inlineStr">
        <is>
          <t>BCTC VTV Q1/2026</t>
        </is>
      </c>
      <c r="G218" s="230" t="inlineStr">
        <is>
          <t>cafef.vn/du-lieu/hose/vtv.chn</t>
        </is>
      </c>
    </row>
  </sheetData>
  <mergeCells count="3">
    <mergeCell ref="A3:G3"/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zoomScaleNormal="100" workbookViewId="0">
      <pane ySplit="4" topLeftCell="A18" activePane="bottomLeft" state="frozen"/>
      <selection pane="bottomLeft" activeCell="C23" sqref="C23"/>
    </sheetView>
  </sheetViews>
  <sheetFormatPr baseColWidth="8" defaultColWidth="8.6640625" defaultRowHeight="14.4"/>
  <cols>
    <col width="4" customWidth="1" style="981" min="1" max="1"/>
    <col width="26" customWidth="1" style="981" min="2" max="2"/>
    <col width="60" customWidth="1" style="981" min="3" max="3"/>
    <col width="30" customWidth="1" style="981" min="4" max="4"/>
  </cols>
  <sheetData>
    <row r="1" ht="36" customHeight="1" s="981">
      <c r="A1" s="1032" t="inlineStr">
        <is>
          <t>📚 HƯỚNG DẪN TOÀN TẬP — Tất cả chức năng bộ lọc v25</t>
        </is>
      </c>
      <c r="B1" s="965" t="n"/>
      <c r="C1" s="965" t="n"/>
      <c r="D1" s="966" t="n"/>
      <c r="E1" s="1050" t="n"/>
      <c r="F1" s="1050" t="n"/>
      <c r="G1" s="1050" t="n"/>
    </row>
    <row r="2" ht="13.5" customHeight="1" s="981">
      <c r="A2" s="973" t="inlineStr">
        <is>
          <t>Đọc file này giống đọc menu nhà hàng — biết món nào trước, dùng món nào sau.</t>
        </is>
      </c>
      <c r="B2" s="965" t="n"/>
      <c r="C2" s="965" t="n"/>
      <c r="D2" s="966" t="n"/>
      <c r="E2" s="1050" t="n"/>
      <c r="F2" s="1050" t="n"/>
      <c r="G2" s="1050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</row>
    <row r="4" ht="25.5" customHeight="1" s="981">
      <c r="A4" s="1034" t="inlineStr">
        <is>
          <t>🚀 PHẦN 1: BẮT ĐẦU TỪ ĐÂU? — Lộ trình 5 phút</t>
        </is>
      </c>
      <c r="B4" s="965" t="n"/>
      <c r="C4" s="965" t="n"/>
      <c r="D4" s="966" t="n"/>
      <c r="E4" s="1050" t="n"/>
      <c r="F4" s="1050" t="n"/>
      <c r="G4" s="1050" t="n"/>
    </row>
    <row r="5" ht="27.75" customHeight="1" s="981">
      <c r="A5" s="1103" t="inlineStr">
        <is>
          <t>STT</t>
        </is>
      </c>
      <c r="B5" s="1103" t="inlineStr">
        <is>
          <t>Sheet</t>
        </is>
      </c>
      <c r="C5" s="1103" t="inlineStr">
        <is>
          <t>Chức năng</t>
        </is>
      </c>
      <c r="D5" s="1103" t="inlineStr">
        <is>
          <t>HÀNH ĐỘNG</t>
        </is>
      </c>
      <c r="E5" s="1050" t="n"/>
      <c r="F5" s="1050" t="n"/>
      <c r="G5" s="1050" t="n"/>
    </row>
    <row r="6" ht="23.25" customHeight="1" s="981">
      <c r="A6" s="235" t="n">
        <v>1</v>
      </c>
      <c r="B6" s="1102" t="inlineStr">
        <is>
          <t>🎯 TRA CỨU MÃ</t>
        </is>
      </c>
      <c r="C6" s="964" t="inlineStr">
        <is>
          <t>Tra nhanh 1 mã bất kỳ. Gõ ticker (vd: FPT, AAPL, KO, TPCP 5 năm) vào ô C3 → tự động lookup qua 7 database (CP VN, CP TG, TP VN, TP TG, Vàng, Quỹ).</t>
        </is>
      </c>
      <c r="D6" s="1108" t="inlineStr">
        <is>
          <t>GÕ MÃ → ô C3</t>
        </is>
      </c>
      <c r="E6" s="1050" t="n"/>
      <c r="F6" s="1050" t="n"/>
      <c r="G6" s="1050" t="n"/>
    </row>
    <row r="7" ht="23.25" customHeight="1" s="981">
      <c r="A7" s="235" t="n">
        <v>2</v>
      </c>
      <c r="B7" s="1102" t="inlineStr">
        <is>
          <t>🐋 BỘ LỌC CÁ VOI v13</t>
        </is>
      </c>
      <c r="C7" s="964" t="inlineStr">
        <is>
          <t>Lọc 12 cổ phiếu Việt Nam theo 5 tiêu chí Cá Voi: CFO/LNST ≥ 1, ROIC ≥ 15%, ROE ≥ 15%, ESG ≥ 50, Net Debt/EBITDA ≤ 2.</t>
        </is>
      </c>
      <c r="D7" s="1108" t="inlineStr">
        <is>
          <t>XEM bảng 12 mã + tổng điểm</t>
        </is>
      </c>
      <c r="E7" s="1050" t="n"/>
      <c r="F7" s="1050" t="n"/>
      <c r="G7" s="1050" t="n"/>
    </row>
    <row r="8" ht="27.75" customHeight="1" s="981">
      <c r="A8" s="235" t="n">
        <v>3</v>
      </c>
      <c r="B8" s="1102" t="inlineStr">
        <is>
          <t>🎯 ĐỊNH GIÁ•BÁN•REBALANCE v14</t>
        </is>
      </c>
      <c r="C8" s="964" t="inlineStr">
        <is>
          <t>3 bánh răng: (1) DCF + MoS quyết định MUA, (2) 5 cờ đỏ Exit Strategy quyết định BÁN, (3) Rebalance gọt tỉa vị thế.</t>
        </is>
      </c>
      <c r="D8" s="1108" t="inlineStr">
        <is>
          <t>CHỈNH ngưỡng ô vàng</t>
        </is>
      </c>
      <c r="E8" s="1050" t="n"/>
      <c r="F8" s="1050" t="n"/>
      <c r="G8" s="1050" t="n"/>
    </row>
    <row r="9" ht="23.25" customHeight="1" s="981">
      <c r="A9" s="235" t="n">
        <v>4</v>
      </c>
      <c r="B9" s="1102" t="inlineStr">
        <is>
          <t>🏛 INSTITUTIONAL v15</t>
        </is>
      </c>
      <c r="C9" s="964" t="inlineStr">
        <is>
          <t>4 phân tích chuẩn Bridgewater/Renaissance: Sharpe/Sortino/Calmar, Correlation Matrix 8×8, Kelly Criterion, Backtest 10 năm.</t>
        </is>
      </c>
      <c r="D9" s="1108" t="inlineStr">
        <is>
          <t>XEM kết quả</t>
        </is>
      </c>
      <c r="E9" s="1050" t="n"/>
      <c r="F9" s="1050" t="n"/>
      <c r="G9" s="1050" t="n"/>
    </row>
    <row r="10" ht="15" customHeight="1" s="981">
      <c r="A10" s="1050" t="n"/>
      <c r="B10" s="1050" t="n"/>
      <c r="C10" s="1050" t="n"/>
      <c r="D10" s="1050" t="n"/>
      <c r="E10" s="1050" t="n"/>
      <c r="F10" s="1050" t="n"/>
      <c r="G10" s="1050" t="n"/>
    </row>
    <row r="11" ht="25.5" customHeight="1" s="981">
      <c r="A11" s="1034" t="inlineStr">
        <is>
          <t>📊 PHẦN 2: 6 DATABASE TÀI SẢN (462 mã tổng)</t>
        </is>
      </c>
      <c r="B11" s="965" t="n"/>
      <c r="C11" s="965" t="n"/>
      <c r="D11" s="966" t="n"/>
      <c r="E11" s="1050" t="n"/>
      <c r="F11" s="1050" t="n"/>
      <c r="G11" s="1050" t="n"/>
    </row>
    <row r="12" ht="14.25" customHeight="1" s="981">
      <c r="A12" s="1036" t="inlineStr">
        <is>
          <t>STT</t>
        </is>
      </c>
      <c r="B12" s="1036" t="inlineStr">
        <is>
          <t>Sheet</t>
        </is>
      </c>
      <c r="C12" s="1036" t="inlineStr">
        <is>
          <t>Chứa gì?</t>
        </is>
      </c>
      <c r="D12" s="1036" t="inlineStr">
        <is>
          <t>Số mã</t>
        </is>
      </c>
      <c r="E12" s="1050" t="n"/>
      <c r="F12" s="1050" t="n"/>
      <c r="G12" s="1050" t="n"/>
    </row>
    <row r="13" ht="14.25" customHeight="1" s="981">
      <c r="A13" s="235" t="n">
        <v>1</v>
      </c>
      <c r="B13" s="1102" t="inlineStr">
        <is>
          <t>📈 Cổ Phiếu VN 🔍</t>
        </is>
      </c>
      <c r="C13" s="964" t="inlineStr">
        <is>
          <t>VN30 + HNX30 + UPCOM big + Mid + Small + ETF VN | P/E, P/B, ROE, Vốn hóa, %YTD</t>
        </is>
      </c>
      <c r="D13" s="239" t="inlineStr">
        <is>
          <t>198 mã</t>
        </is>
      </c>
      <c r="E13" s="1050" t="n"/>
      <c r="F13" s="1050" t="n"/>
      <c r="G13" s="1050" t="n"/>
    </row>
    <row r="14" ht="14.25" customHeight="1" s="981">
      <c r="A14" s="235" t="n">
        <v>2</v>
      </c>
      <c r="B14" s="1102" t="inlineStr">
        <is>
          <t>🌐 Cổ Phiếu TG 🔍</t>
        </is>
      </c>
      <c r="C14" s="964" t="inlineStr">
        <is>
          <t>US Mag 7 + DJIA + S&amp;P leaders + UK + DE + FR + CH + JP + CN + KR + IN</t>
        </is>
      </c>
      <c r="D14" s="239" t="inlineStr">
        <is>
          <t>155 mã</t>
        </is>
      </c>
      <c r="E14" s="1050" t="n"/>
      <c r="F14" s="1050" t="n"/>
      <c r="G14" s="1050" t="n"/>
    </row>
    <row r="15" ht="14.25" customHeight="1" s="981">
      <c r="A15" s="235" t="n">
        <v>3</v>
      </c>
      <c r="B15" s="1102" t="inlineStr">
        <is>
          <t>🏦 Trái Phiếu VN 🔍</t>
        </is>
      </c>
      <c r="C15" s="964" t="inlineStr">
        <is>
          <t>TPCP 1Y-30Y + TPDN (Vingroup, Masan, etc) | YTM, Coupon, Rating</t>
        </is>
      </c>
      <c r="D15" s="239" t="inlineStr">
        <is>
          <t>25 mã</t>
        </is>
      </c>
      <c r="E15" s="1050" t="n"/>
      <c r="F15" s="1050" t="n"/>
      <c r="G15" s="1050" t="n"/>
    </row>
    <row r="16" ht="14.25" customHeight="1" s="981">
      <c r="A16" s="235" t="n">
        <v>4</v>
      </c>
      <c r="B16" s="1102" t="inlineStr">
        <is>
          <t>💵 Trái Phiếu TG 🔍</t>
        </is>
      </c>
      <c r="C16" s="964" t="inlineStr">
        <is>
          <t>US Treasury + German Bund + Japan JGB + UK Gilt | YTM, Rating</t>
        </is>
      </c>
      <c r="D16" s="239" t="inlineStr">
        <is>
          <t>25 mã</t>
        </is>
      </c>
      <c r="E16" s="1050" t="n"/>
      <c r="F16" s="1050" t="n"/>
      <c r="G16" s="1050" t="n"/>
    </row>
    <row r="17" ht="14.25" customHeight="1" s="981">
      <c r="A17" s="235" t="n">
        <v>5</v>
      </c>
      <c r="B17" s="1102" t="inlineStr">
        <is>
          <t>🥇 Vàng &amp; Kim Loại 🔍</t>
        </is>
      </c>
      <c r="C17" s="964" t="inlineStr">
        <is>
          <t>Vàng XAU + Bạc XAG + Bạch kim XPT + Palladium XPD + SJC + 9999</t>
        </is>
      </c>
      <c r="D17" s="239" t="inlineStr">
        <is>
          <t>13 mã</t>
        </is>
      </c>
      <c r="E17" s="1050" t="n"/>
      <c r="F17" s="1050" t="n"/>
      <c r="G17" s="1050" t="n"/>
    </row>
    <row r="18" ht="14.25" customHeight="1" s="981">
      <c r="A18" s="235" t="n">
        <v>6</v>
      </c>
      <c r="B18" s="1102" t="inlineStr">
        <is>
          <t>🏛 Quỹ Lớn 🔍</t>
        </is>
      </c>
      <c r="C18" s="964" t="inlineStr">
        <is>
          <t>SPY, VOO, QQQ, ARKK + Quỹ VN (Dragon, VinaCapital, Mirae Asset)</t>
        </is>
      </c>
      <c r="D18" s="239" t="inlineStr">
        <is>
          <t>46 quỹ</t>
        </is>
      </c>
      <c r="E18" s="1050" t="n"/>
      <c r="F18" s="1050" t="n"/>
      <c r="G18" s="1050" t="n"/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</row>
    <row r="20" ht="25.5" customHeight="1" s="981">
      <c r="A20" s="1035" t="inlineStr">
        <is>
          <t>🔬 PHẦN 3: BỘ LỌC NÂNG CAO (chỉnh ngưỡng → tự update)</t>
        </is>
      </c>
      <c r="B20" s="965" t="n"/>
      <c r="C20" s="965" t="n"/>
      <c r="D20" s="966" t="n"/>
      <c r="E20" s="1050" t="n"/>
      <c r="F20" s="1050" t="n"/>
      <c r="G20" s="1050" t="n"/>
    </row>
    <row r="21" ht="14.25" customHeight="1" s="981">
      <c r="A21" s="240" t="inlineStr">
        <is>
          <t>STT</t>
        </is>
      </c>
      <c r="B21" s="240" t="inlineStr">
        <is>
          <t>Sheet</t>
        </is>
      </c>
      <c r="C21" s="240" t="inlineStr">
        <is>
          <t>Cách dùng</t>
        </is>
      </c>
      <c r="D21" s="240" t="inlineStr">
        <is>
          <t>Output</t>
        </is>
      </c>
      <c r="E21" s="1050" t="n"/>
      <c r="F21" s="1050" t="n"/>
      <c r="G21" s="1050" t="n"/>
    </row>
    <row r="22" ht="60" customHeight="1" s="981">
      <c r="A22" s="235" t="n">
        <v>1</v>
      </c>
      <c r="B22" s="1102" t="inlineStr">
        <is>
          <t>🔥 BỘ LỌC V12</t>
        </is>
      </c>
      <c r="C22" s="964" t="inlineStr">
        <is>
          <t>Chỉnh ô vàng P/E max, ROE min, P/B max, Vốn hóa min, Giá max → bảng tự cập nhật. Có 5 phần riêng cho CP VN, CP TG, TP VN, TP TG, ETF.</t>
        </is>
      </c>
      <c r="D22" s="241" t="inlineStr">
        <is>
          <t>Top 20 mã thỏa mãn ngưỡng</t>
        </is>
      </c>
      <c r="E22" s="1050" t="n"/>
      <c r="F22" s="1050" t="n"/>
      <c r="G22" s="1050" t="n"/>
    </row>
    <row r="23" ht="60" customHeight="1" s="981">
      <c r="A23" s="235" t="n">
        <v>2</v>
      </c>
      <c r="B23" s="1102" t="inlineStr">
        <is>
          <t>🐋 BỘ LỌC CÁ VOI v13</t>
        </is>
      </c>
      <c r="C23" s="964" t="inlineStr">
        <is>
          <t>Tiêu chí Cá Voi 5/5: CFO/LNST ≥ 1, ROIC ≥ 15, ROE ≥ 15, ESG ≥ 50, ND/EBITDA ≤ 2. Đạt 5/5 → giải ngân 14,285,714₫. Đạt 4/5 → giảm 50%. &lt; 4 → loại.</t>
        </is>
      </c>
      <c r="D23" s="241" t="inlineStr">
        <is>
          <t>Phân bổ vốn 100M VNĐ cho 7 mã</t>
        </is>
      </c>
      <c r="E23" s="1050" t="n"/>
      <c r="F23" s="1050" t="n"/>
      <c r="G23" s="1050" t="n"/>
    </row>
    <row r="24" ht="60" customHeight="1" s="981">
      <c r="A24" s="235" t="n">
        <v>3</v>
      </c>
      <c r="B24" s="1102" t="inlineStr">
        <is>
          <t>🎯 ĐỊNH GIÁ•BÁN•REBALANCE</t>
        </is>
      </c>
      <c r="C24" s="964" t="inlineStr">
        <is>
          <t>DCF + Margin of Safety. MoS ≥ 30% → MUA. 5 cờ đỏ: GPM↓, BLĐ bán, ROIC&lt;WACC, Insider S/B, Sụt từ đỉnh. Rebalance khi vị thế lệch ±5% mục tiêu.</t>
        </is>
      </c>
      <c r="D24" s="241" t="inlineStr">
        <is>
          <t>Tín hiệu MUA/GIỮ/BÁN cụ thể</t>
        </is>
      </c>
      <c r="E24" s="1050" t="n"/>
      <c r="F24" s="1050" t="n"/>
      <c r="G24" s="1050" t="n"/>
    </row>
    <row r="25" ht="60" customHeight="1" s="981">
      <c r="A25" s="235" t="n">
        <v>4</v>
      </c>
      <c r="B25" s="1102" t="inlineStr">
        <is>
          <t>🏛 INSTITUTIONAL v15</t>
        </is>
      </c>
      <c r="C25" s="964" t="inlineStr">
        <is>
          <t>Sharpe = (Return-Rf)/σ. Sortino dùng downside σ. Calmar = Return/|MaxDD|. Kelly Criterion: f* = (p×b - q)/b. Backtest 10 năm vs VN-Index.</t>
        </is>
      </c>
      <c r="D25" s="241" t="inlineStr">
        <is>
          <t>Trọng số tối ưu + risk metrics</t>
        </is>
      </c>
      <c r="E25" s="1050" t="n"/>
      <c r="F25" s="1050" t="n"/>
      <c r="G25" s="1050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</row>
    <row r="27" ht="25.5" customHeight="1" s="981">
      <c r="A27" s="1033" t="inlineStr">
        <is>
          <t>⚠️ PHẦN 4: 4 LỖI THƯỜNG GẶP &amp; CÁCH SỬA</t>
        </is>
      </c>
      <c r="B27" s="965" t="n"/>
      <c r="C27" s="965" t="n"/>
      <c r="D27" s="966" t="n"/>
      <c r="E27" s="1050" t="n"/>
      <c r="F27" s="1050" t="n"/>
      <c r="G27" s="1050" t="n"/>
    </row>
    <row r="28" ht="14.25" customHeight="1" s="981">
      <c r="A28" s="242" t="inlineStr">
        <is>
          <t>STT</t>
        </is>
      </c>
      <c r="B28" s="242" t="inlineStr">
        <is>
          <t>Triệu chứng</t>
        </is>
      </c>
      <c r="C28" s="242" t="inlineStr">
        <is>
          <t>Nguyên nhân</t>
        </is>
      </c>
      <c r="D28" s="242" t="inlineStr">
        <is>
          <t>Cách sửa</t>
        </is>
      </c>
      <c r="E28" s="1050" t="n"/>
      <c r="F28" s="1050" t="n"/>
      <c r="G28" s="1050" t="n"/>
    </row>
    <row r="29" ht="60" customHeight="1" s="981">
      <c r="A29" s="235" t="n">
        <v>1</v>
      </c>
      <c r="B29" s="243" t="inlineStr">
        <is>
          <t>Gõ "KO" vô TRA CỨU MÃ → ra Coca-Cola</t>
        </is>
      </c>
      <c r="C29" s="964" t="inlineStr">
        <is>
          <t>Đây KHÔNG phải lỗi! KO là TICKER chính thức của Coca-Cola trên sàn NYSE Mỹ. Nếu bạn muốn nói "không/no" thì đừng gõ vào ô tra cứu.</t>
        </is>
      </c>
      <c r="D29" s="241" t="inlineStr">
        <is>
          <t>Gõ ticker thật như: FPT, MBB, AAPL, MSFT — KHÔNG dùng tiếng Việt</t>
        </is>
      </c>
      <c r="E29" s="1050" t="n"/>
      <c r="F29" s="1050" t="n"/>
      <c r="G29" s="1050" t="n"/>
    </row>
    <row r="30" ht="60" customHeight="1" s="981">
      <c r="A30" s="235" t="n">
        <v>2</v>
      </c>
      <c r="B30" s="243" t="inlineStr">
        <is>
          <t>Nhập số liệu vào sheet 'HỆ THỐNG QUẢN LÝ' để bảng tự tính</t>
        </is>
      </c>
      <c r="C30" s="964" t="inlineStr">
        <is>
          <t>Ngưỡng lọc quá khắt khe — không có mã nào đạt. Ví dụ: P/E ≤ 5 + ROE ≥ 30% gần như không có mã thỏa.</t>
        </is>
      </c>
      <c r="D30" s="241" t="inlineStr">
        <is>
          <t>Nới ngưỡng: tăng P/E max lên 25, giảm ROE min xuống 10%</t>
        </is>
      </c>
      <c r="E30" s="1050" t="n"/>
      <c r="F30" s="1050" t="n"/>
      <c r="G30" s="1050" t="n"/>
    </row>
    <row r="31" ht="60" customHeight="1" s="981">
      <c r="A31" s="235" t="n">
        <v>3</v>
      </c>
      <c r="B31" s="243" t="inlineStr">
        <is>
          <t>Mở file bị warning "Macro vô hiệu hóa"</t>
        </is>
      </c>
      <c r="C31" s="964" t="inlineStr">
        <is>
          <t>File .xlsm có macro VBA — Excel mặc định chặn macro từ file ngoài để bảo vệ.</t>
        </is>
      </c>
      <c r="D31" s="241" t="inlineStr">
        <is>
          <t>Bấm "Enable Content" / "Bật nội dung" ở thanh cảnh báo vàng (chỉ cần làm 1 lần)</t>
        </is>
      </c>
      <c r="E31" s="1050" t="n"/>
      <c r="F31" s="1050" t="n"/>
      <c r="G31" s="1050" t="n"/>
    </row>
    <row r="32" ht="60" customHeight="1" s="981">
      <c r="A32" s="235" t="n">
        <v>4</v>
      </c>
      <c r="B32" s="243" t="inlineStr">
        <is>
          <t>Công thức ra số liệu cũ, không update</t>
        </is>
      </c>
      <c r="C32" s="964" t="inlineStr">
        <is>
          <t>Excel ở chế độ "Manual Calculation" hoặc cache công thức cũ.</t>
        </is>
      </c>
      <c r="D32" s="241" t="inlineStr">
        <is>
          <t>Bấm F9 (tính lại) hoặc Formulas → Calculation Options → Automatic</t>
        </is>
      </c>
      <c r="E32" s="1050" t="n"/>
      <c r="F32" s="1050" t="n"/>
      <c r="G32" s="1050" t="n"/>
    </row>
    <row r="33" ht="60" customHeight="1" s="981">
      <c r="A33" s="235" t="n">
        <v>5</v>
      </c>
      <c r="B33" s="243" t="inlineStr">
        <is>
          <t>Tên sheet có emoji không gõ được trong công thức</t>
        </is>
      </c>
      <c r="C33" s="964" t="inlineStr">
        <is>
          <t>VLOOKUP tham chiếu sheet "📈 Cổ Phiếu VN 🔍" cần đặt trong dấu nháy đơn.</t>
        </is>
      </c>
      <c r="D33" s="241" t="inlineStr">
        <is>
          <t>Dùng dạng: =VLOOKUP(A1, '📈 Cổ Phiếu VN 🔍'!A:L, 2, 0)</t>
        </is>
      </c>
      <c r="E33" s="1050" t="n"/>
      <c r="F33" s="1050" t="n"/>
      <c r="G33" s="1050" t="n"/>
    </row>
    <row r="34" ht="15" customHeight="1" s="981">
      <c r="A34" s="1050" t="n"/>
      <c r="B34" s="1050" t="n"/>
      <c r="C34" s="1050" t="n"/>
      <c r="D34" s="1050" t="n"/>
      <c r="E34" s="1050" t="n"/>
      <c r="F34" s="1050" t="n"/>
      <c r="G34" s="1050" t="n"/>
    </row>
    <row r="35" ht="25.5" customHeight="1" s="981">
      <c r="A35" s="1034" t="inlineStr">
        <is>
          <t>📅 PHẦN 5: WORKFLOW HÀNG NGÀY — Như Quỹ Lớn thực sự</t>
        </is>
      </c>
      <c r="B35" s="965" t="n"/>
      <c r="C35" s="965" t="n"/>
      <c r="D35" s="966" t="n"/>
      <c r="E35" s="1050" t="n"/>
      <c r="F35" s="1050" t="n"/>
      <c r="G35" s="1050" t="n"/>
    </row>
    <row r="36" ht="14.25" customHeight="1" s="981">
      <c r="A36" s="1036" t="inlineStr">
        <is>
          <t>Thời điểm</t>
        </is>
      </c>
      <c r="B36" s="966" t="n"/>
      <c r="C36" s="1036" t="inlineStr">
        <is>
          <t>Việc làm</t>
        </is>
      </c>
      <c r="D36" s="1036" t="inlineStr">
        <is>
          <t>Thời gian</t>
        </is>
      </c>
      <c r="E36" s="1050" t="n"/>
      <c r="F36" s="1050" t="n"/>
      <c r="G36" s="1050" t="n"/>
    </row>
    <row r="37" ht="45" customHeight="1" s="981">
      <c r="A37" s="1030" t="inlineStr">
        <is>
          <t>🌅 SÁNG (8:00-9:00)</t>
        </is>
      </c>
      <c r="B37" s="966" t="n"/>
      <c r="C37" s="964" t="inlineStr">
        <is>
          <t>Mở sheet 📡 LIVE PRICE FEED. Xem có cờ đỏ mới không. Kiểm tra mã đạt 5/5 Cá Voi có còn đạt không.</t>
        </is>
      </c>
      <c r="D37" s="239" t="inlineStr">
        <is>
          <t>5 phút</t>
        </is>
      </c>
      <c r="E37" s="1050" t="n"/>
      <c r="F37" s="1050" t="n"/>
      <c r="G37" s="1050" t="n"/>
    </row>
    <row r="38" ht="45" customHeight="1" s="981">
      <c r="A38" s="1030" t="inlineStr">
        <is>
          <t>☀️ TRƯA TT (9:00-15:00)</t>
        </is>
      </c>
      <c r="B38" s="966" t="n"/>
      <c r="C38" s="964" t="inlineStr">
        <is>
          <t>Khi giá biến động &gt; 5%: vô sheet 🎯 ĐỊNH GIÁ → check MoS còn ≥ 30% không. Nếu có thì lệnh MUA.</t>
        </is>
      </c>
      <c r="D38" s="239" t="inlineStr">
        <is>
          <t>15 phút</t>
        </is>
      </c>
      <c r="E38" s="1050" t="n"/>
      <c r="F38" s="1050" t="n"/>
      <c r="G38" s="1050" t="n"/>
    </row>
    <row r="39" ht="45" customHeight="1" s="981">
      <c r="A39" s="1030" t="inlineStr">
        <is>
          <t>🌆 CHIỀU (15:00-17:00)</t>
        </is>
      </c>
      <c r="B39" s="966" t="n"/>
      <c r="C39" s="964" t="inlineStr">
        <is>
          <t>Đóng cửa TT VN. Vô sheet 🏛 INSTITUTIONAL → check Sharpe danh mục, % vị thế lệch.</t>
        </is>
      </c>
      <c r="D39" s="239" t="inlineStr">
        <is>
          <t>20 phút</t>
        </is>
      </c>
      <c r="E39" s="1050" t="n"/>
      <c r="F39" s="1050" t="n"/>
      <c r="G39" s="1050" t="n"/>
    </row>
    <row r="40" ht="45" customHeight="1" s="981">
      <c r="A40" s="1030" t="inlineStr">
        <is>
          <t>🌙 TỐI (Cuối tuần)</t>
        </is>
      </c>
      <c r="B40" s="966" t="n"/>
      <c r="C40" s="964" t="inlineStr">
        <is>
          <t>Vô sheet 🐋 BỘ LỌC CÁ VOI → review 5 tiêu chí từng mã. Mã nào tụt điểm → cân nhắc giảm.</t>
        </is>
      </c>
      <c r="D40" s="239" t="inlineStr">
        <is>
          <t>1 giờ</t>
        </is>
      </c>
      <c r="E40" s="1050" t="n"/>
      <c r="F40" s="1050" t="n"/>
      <c r="G40" s="1050" t="n"/>
    </row>
    <row r="41" ht="45" customHeight="1" s="981">
      <c r="A41" s="1030" t="inlineStr">
        <is>
          <t>📅 CUỐI THÁNG</t>
        </is>
      </c>
      <c r="B41" s="966" t="n"/>
      <c r="C41" s="964" t="inlineStr">
        <is>
          <t>Rebalance: vô sheet 🎯 → BÁNH RĂNG 3. Mã nào vượt 20% → gọt tỉa. Mã nào dưới 8% → mua bù.</t>
        </is>
      </c>
      <c r="D41" s="239" t="inlineStr">
        <is>
          <t>2 giờ</t>
        </is>
      </c>
      <c r="E41" s="1050" t="n"/>
      <c r="F41" s="1050" t="n"/>
      <c r="G41" s="1050" t="n"/>
    </row>
    <row r="42" ht="45" customHeight="1" s="981">
      <c r="A42" s="1030" t="inlineStr">
        <is>
          <t>📅 CUỐI QUÝ</t>
        </is>
      </c>
      <c r="B42" s="966" t="n"/>
      <c r="C42" s="964" t="inlineStr">
        <is>
          <t>Update BCTC: dùng Python script auto_update_v15.py hoặc VBA TCBS_API_Module.bas để refresh dữ liệu BCTC.</t>
        </is>
      </c>
      <c r="D42" s="239" t="inlineStr">
        <is>
          <t>30 phút</t>
        </is>
      </c>
      <c r="E42" s="1050" t="n"/>
      <c r="F42" s="1050" t="n"/>
      <c r="G42" s="1050" t="n"/>
    </row>
    <row r="43" ht="45" customHeight="1" s="981">
      <c r="A43" s="1030" t="inlineStr">
        <is>
          <t>📅 CUỐI NĂM</t>
        </is>
      </c>
      <c r="B43" s="966" t="n"/>
      <c r="C43" s="964" t="inlineStr">
        <is>
          <t>So sánh kết quả với VN-Index ở sheet 🏛 (Backtest section). Nếu thua &gt; 2 năm liên tiếp → review chiến lược.</t>
        </is>
      </c>
      <c r="D43" s="239" t="inlineStr">
        <is>
          <t>4 giờ</t>
        </is>
      </c>
      <c r="E43" s="1050" t="n"/>
      <c r="F43" s="1050" t="n"/>
      <c r="G43" s="1050" t="n"/>
    </row>
    <row r="44" ht="15" customHeight="1" s="981">
      <c r="A44" s="1050" t="n"/>
      <c r="B44" s="1050" t="n"/>
      <c r="C44" s="1050" t="n"/>
      <c r="D44" s="1050" t="n"/>
      <c r="E44" s="1050" t="n"/>
      <c r="F44" s="1050" t="n"/>
      <c r="G44" s="1050" t="n"/>
    </row>
    <row r="45" ht="15" customHeight="1" s="981">
      <c r="A45" s="1050" t="n"/>
      <c r="B45" s="1050" t="n"/>
      <c r="C45" s="1050" t="n"/>
      <c r="D45" s="1050" t="n"/>
      <c r="E45" s="1050" t="n"/>
      <c r="F45" s="1050" t="n"/>
      <c r="G45" s="1050" t="n"/>
    </row>
    <row r="46" ht="13.5" customHeight="1" s="981">
      <c r="A46" s="1031" t="inlineStr">
        <is>
          <t>🐋 Sói cô độc | Hệ thống Quỹ Cá Voi v19 | Đã build 57+ sheets, 462 mã, 0 lỗi formula</t>
        </is>
      </c>
      <c r="B46" s="965" t="n"/>
      <c r="C46" s="965" t="n"/>
      <c r="D46" s="966" t="n"/>
      <c r="E46" s="1050" t="n"/>
      <c r="F46" s="1050" t="n"/>
      <c r="G46" s="1050" t="n"/>
    </row>
    <row r="47" ht="15" customHeight="1" s="981">
      <c r="A47" s="1050" t="n"/>
      <c r="B47" s="1050" t="n"/>
      <c r="C47" s="1050" t="n"/>
      <c r="D47" s="1050" t="n"/>
      <c r="E47" s="1050" t="n"/>
      <c r="F47" s="1050" t="n"/>
      <c r="G47" s="1050" t="n"/>
    </row>
    <row r="48" ht="15" customHeight="1" s="981">
      <c r="A48" s="1050" t="n"/>
      <c r="B48" s="1050" t="n"/>
      <c r="C48" s="1050" t="n"/>
      <c r="D48" s="1050" t="n"/>
      <c r="E48" s="1050" t="n"/>
      <c r="F48" s="1050" t="n"/>
      <c r="G48" s="1050" t="n"/>
    </row>
    <row r="49" ht="15" customHeight="1" s="981">
      <c r="A49" s="1029" t="inlineStr">
        <is>
          <t>🆕 TÍNH NĂNG MỚI v25 — Nâng cấp Tháng 5/2026</t>
        </is>
      </c>
      <c r="B49" s="965" t="n"/>
      <c r="C49" s="965" t="n"/>
      <c r="D49" s="965" t="n"/>
      <c r="E49" s="965" t="n"/>
      <c r="F49" s="965" t="n"/>
      <c r="G49" s="966" t="n"/>
    </row>
    <row r="50" ht="15" customHeight="1" s="981">
      <c r="A50" s="245" t="inlineStr">
        <is>
          <t>🔴 LÝ DO GIÁ KHÔNG TỰ ĐỔI — ĐÃ FIX TRONG v41</t>
        </is>
      </c>
      <c r="B50" s="246" t="inlineStr">
        <is>
          <t>Tính năng</t>
        </is>
      </c>
      <c r="C50" s="246" t="inlineStr">
        <is>
          <t>Mô tả chi tiết</t>
        </is>
      </c>
      <c r="D50" s="246" t="inlineStr">
        <is>
          <t>Cách sử dụng</t>
        </is>
      </c>
      <c r="E50" s="1050" t="n"/>
      <c r="F50" s="1050" t="n"/>
      <c r="G50" s="1050" t="n"/>
    </row>
    <row r="51" ht="39.75" customHeight="1" s="981">
      <c r="A51" s="247" t="inlineStr">
        <is>
          <t>VẤN ĐỀ:</t>
        </is>
      </c>
      <c r="B51" s="248" t="inlineStr">
        <is>
          <t>Sheet 📈 CP VN có giá hardcode tĩnh. Sheet 📡 LIVE PRICE FEED chỉ lưu giá live nhưng không liên kết lại CP VN.</t>
        </is>
      </c>
      <c r="C51" s="249" t="inlineStr">
        <is>
          <t>64 ETF &amp; Quỹ (từ 46 → 64). Thêm 18 quỹ mới: JEPI, JEPQ, ARKK, BOTZ, SCHB, VN Funds mới...</t>
        </is>
      </c>
      <c r="D51" s="249" t="inlineStr">
        <is>
          <t>Xem sheet 📊 PHÂN TÍCH QUỸ v25</t>
        </is>
      </c>
      <c r="E51" s="1050" t="n"/>
      <c r="F51" s="1050" t="n"/>
      <c r="G51" s="1050" t="n"/>
    </row>
    <row r="52" ht="39.75" customHeight="1" s="981">
      <c r="A52" s="247" t="inlineStr">
        <is>
          <t>ĐÃ SỬA:</t>
        </is>
      </c>
      <c r="B52" s="250" t="inlineStr">
        <is>
          <t>Cột D (Giá) trong CP VN nay dùng công thức VLOOKUP từ LIVE PRICE FEED. Nếu có giá live → dùng ngay. Nếu chưa → fallback giá cũ.</t>
        </is>
      </c>
      <c r="C52" s="251" t="inlineStr">
        <is>
          <t>Hệ thống điểm AI 5 trụ cột: P/E + ROE + ROIC + ESG + Momentum. Xếp hạng tự động cho 15 mã top.</t>
        </is>
      </c>
      <c r="D52" s="251" t="inlineStr">
        <is>
          <t>Xem sheet 🔮 AI SCORING v25</t>
        </is>
      </c>
      <c r="E52" s="1050" t="n"/>
      <c r="F52" s="1050" t="n"/>
      <c r="G52" s="1050" t="n"/>
    </row>
    <row r="53" ht="39.75" customHeight="1" s="981">
      <c r="A53" s="247" t="inlineStr">
        <is>
          <t>CÒN LẠI:</t>
        </is>
      </c>
      <c r="B53" s="248" t="inlineStr">
        <is>
          <t>Chạy Python script để ghi đủ 240 mã vào LIVE PRICE FEED. Xem sheet 🐍 PYTHON AUTO hoặc 🔄 Auto Refresh.</t>
        </is>
      </c>
      <c r="C53" s="249" t="inlineStr">
        <is>
          <t>Sửa lỗi: Quỹ lookup range (B5:B17 → B5:B50), CPVN range (A95 → A300), thêm section Quỹ và Phân tích sâu.</t>
        </is>
      </c>
      <c r="D53" s="249" t="inlineStr">
        <is>
          <t>Ô C3 → gõ mã → xem kết quả</t>
        </is>
      </c>
      <c r="E53" s="1050" t="n"/>
      <c r="F53" s="1050" t="n"/>
      <c r="G53" s="1050" t="n"/>
    </row>
    <row r="54" ht="39.75" customHeight="1" s="981">
      <c r="A54" s="247" t="inlineStr">
        <is>
          <t>LỆNH CHẠY:</t>
        </is>
      </c>
      <c r="B54" s="250" t="inlineStr">
        <is>
          <t>python cap_nhat_gia_python.py          → Cập nhật ngay 1 lần
python cap_nhat_gia_python.py --schedule  → Tự động 09:00 + 15:05 mỗi ngày</t>
        </is>
      </c>
      <c r="C54" s="251" t="inlineStr">
        <is>
          <t>Thêm quỹ VN: VCBF-MGF, PVGF, VFMVF4, Mirae Asset VN. Thêm ETF: JEPI/JEPQ income, BOTZ AI, ICLN.</t>
        </is>
      </c>
      <c r="D54" s="251" t="inlineStr">
        <is>
          <t>Xem sheet 🏛 Quỹ Lớn 🔍</t>
        </is>
      </c>
      <c r="E54" s="1050" t="n"/>
      <c r="F54" s="1050" t="n"/>
      <c r="G54" s="1050" t="n"/>
    </row>
    <row r="55" ht="39.75" customHeight="1" s="981">
      <c r="A55" s="247" t="inlineStr">
        <is>
          <t>ĐẶT FILE:</t>
        </is>
      </c>
      <c r="B55" s="248" t="inlineStr">
        <is>
          <t>Sửa FILE_EXCEL trong script = đường dẫn thật của file v41 trên máy bạn</t>
        </is>
      </c>
      <c r="C55" s="249" t="inlineStr">
        <is>
          <t>Cập nhật TICKERS: thêm ACB, DGC, HAH, TCB, SSI, GAS, BID vào danh sách lấy giá tự động.</t>
        </is>
      </c>
      <c r="D55" s="249" t="inlineStr">
        <is>
          <t>Sheet 🔧 Cài Macro → chạy lại</t>
        </is>
      </c>
      <c r="E55" s="1050" t="n"/>
      <c r="F55" s="1050" t="n"/>
      <c r="G55" s="1050" t="n"/>
    </row>
  </sheetData>
  <mergeCells count="17">
    <mergeCell ref="A1:D1"/>
    <mergeCell ref="A38:B38"/>
    <mergeCell ref="A27:D27"/>
    <mergeCell ref="A43:B43"/>
    <mergeCell ref="A35:D35"/>
    <mergeCell ref="A4:D4"/>
    <mergeCell ref="A41:B41"/>
    <mergeCell ref="A20:D20"/>
    <mergeCell ref="A42:B42"/>
    <mergeCell ref="A37:B37"/>
    <mergeCell ref="A36:B36"/>
    <mergeCell ref="A2:D2"/>
    <mergeCell ref="A11:D11"/>
    <mergeCell ref="A49:G49"/>
    <mergeCell ref="A39:B39"/>
    <mergeCell ref="A46:D46"/>
    <mergeCell ref="A40:B4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zoomScaleNormal="100" workbookViewId="0">
      <pane ySplit="4" topLeftCell="A49" activePane="bottomLeft" state="frozen"/>
      <selection pane="bottomLeft" activeCell="G4" sqref="G4"/>
    </sheetView>
  </sheetViews>
  <sheetFormatPr baseColWidth="8" defaultColWidth="8.6640625" defaultRowHeight="14.4"/>
  <cols>
    <col width="17.88671875" customWidth="1" style="981" min="1" max="1"/>
    <col width="22" customWidth="1" style="981" min="2" max="2"/>
    <col width="14.109375" customWidth="1" style="981" min="3" max="3"/>
    <col width="14" customWidth="1" style="981" min="4" max="4"/>
    <col width="14.21875" customWidth="1" style="981" min="5" max="5"/>
    <col width="15.6640625" customWidth="1" style="981" min="6" max="6"/>
    <col width="13.44140625" customWidth="1" style="981" min="7" max="7"/>
    <col width="13.5546875" customWidth="1" style="981" min="8" max="8"/>
    <col width="12" customWidth="1" style="981" min="9" max="9"/>
    <col width="11.109375" customWidth="1" style="981" min="10" max="10"/>
    <col width="21.88671875" customWidth="1" style="981" min="11" max="11"/>
    <col width="37" customWidth="1" style="981" min="12" max="12"/>
    <col width="20" customWidth="1" style="981" min="13" max="13"/>
  </cols>
  <sheetData>
    <row r="1" ht="31.5" customHeight="1" s="981">
      <c r="A1" s="1037" t="inlineStr">
        <is>
          <t>🔍  BỘ LỌC ĐẦU TƯ TỔNG HỢP  |  Cổ Phiếu VN · Trái Phiếu · Cổ Phiếu TG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6" t="n"/>
    </row>
    <row r="2" ht="15.75" customHeight="1" s="981">
      <c r="A2" s="1049" t="inlineStr">
        <is>
          <t>? AutoFilter da bat o tat ca sheet | Dung ? mau vang ben duoi de dat nguong loc | Q2 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6" t="n"/>
    </row>
    <row r="3" ht="21.75" customHeight="1" s="981">
      <c r="A3" s="1047" t="inlineStr">
        <is>
          <t>▲  BỘ LỌC CỔ PHIẾU VIỆT NAM  (15 mã)  |  Hướng: P/E ≤ 10 + ROE ≥ 20% = MUA MẠNH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5" t="n"/>
      <c r="M3" s="966" t="n"/>
    </row>
    <row r="4" ht="19.5" customHeight="1" s="981">
      <c r="A4" s="1038" t="inlineStr">
        <is>
          <t>NGƯỠNG
LỌC</t>
        </is>
      </c>
      <c r="B4" s="253" t="inlineStr">
        <is>
          <t>P/E TỐI ĐA</t>
        </is>
      </c>
      <c r="C4" s="253" t="inlineStr">
        <is>
          <t>ROE TỐI THIỂU %</t>
        </is>
      </c>
      <c r="D4" s="253" t="inlineStr">
        <is>
          <t>P/B TỐI ĐA</t>
        </is>
      </c>
      <c r="E4" s="253" t="inlineStr">
        <is>
          <t>VỐNHÓA MIN (tỷ)</t>
        </is>
      </c>
      <c r="F4" s="253" t="inlineStr">
        <is>
          <t>YLD CT TỐI THIỂU %</t>
        </is>
      </c>
      <c r="G4" s="1040" t="inlineStr">
        <is>
          <t>💡 Đặt ngưỡng ở ô vàng → Qua sheet 📈 Cổ Phiếu VN 🔍 → Click mũi tên ▼ ở cột P/E, ROE, P/B → 'Number Filters' → lọc theo ngưỡng đã chọn</t>
        </is>
      </c>
      <c r="H4" s="1041" t="n"/>
      <c r="I4" s="1041" t="n"/>
      <c r="J4" s="1041" t="n"/>
      <c r="K4" s="1041" t="n"/>
      <c r="L4" s="1041" t="n"/>
      <c r="M4" s="1042" t="n"/>
    </row>
    <row r="5" ht="24" customHeight="1" s="981">
      <c r="A5" s="1039" t="n"/>
      <c r="B5" s="1052" t="n">
        <v>20</v>
      </c>
      <c r="C5" s="1052" t="n">
        <v>0</v>
      </c>
      <c r="D5" s="1052" t="n">
        <v>5</v>
      </c>
      <c r="E5" s="1052" t="n">
        <v>5000</v>
      </c>
      <c r="F5" s="1052" t="n">
        <v>0</v>
      </c>
      <c r="G5" s="1043" t="n"/>
      <c r="H5" s="979" t="n"/>
      <c r="I5" s="979" t="n"/>
      <c r="J5" s="979" t="n"/>
      <c r="K5" s="979" t="n"/>
      <c r="L5" s="979" t="n"/>
      <c r="M5" s="1044" t="n"/>
    </row>
    <row r="6" ht="21.75" customHeight="1" s="981">
      <c r="A6" s="253" t="inlineStr">
        <is>
          <t>STT</t>
        </is>
      </c>
      <c r="B6" s="253" t="inlineStr">
        <is>
          <t>TÊN / MÃ</t>
        </is>
      </c>
      <c r="C6" s="253" t="inlineStr">
        <is>
          <t>NGÀNH</t>
        </is>
      </c>
      <c r="D6" s="253" t="inlineStr">
        <is>
          <t>GIÁ (₫)</t>
        </is>
      </c>
      <c r="E6" s="253" t="inlineStr">
        <is>
          <t>P/E</t>
        </is>
      </c>
      <c r="F6" s="253" t="inlineStr">
        <is>
          <t>P/B</t>
        </is>
      </c>
      <c r="G6" s="253" t="inlineStr">
        <is>
          <t>ROE%</t>
        </is>
      </c>
      <c r="H6" s="253" t="inlineStr">
        <is>
          <t>VỐNHÓA(tỷ)</t>
        </is>
      </c>
      <c r="I6" s="253" t="inlineStr">
        <is>
          <t>YLD CT%</t>
        </is>
      </c>
      <c r="J6" s="253" t="inlineStr">
        <is>
          <t>ĐIỂM/100</t>
        </is>
      </c>
      <c r="K6" s="253" t="inlineStr">
        <is>
          <t>TÍN HIỆU</t>
        </is>
      </c>
      <c r="L6" s="253" t="inlineStr">
        <is>
          <t>BIÊN AN TOÀN</t>
        </is>
      </c>
      <c r="M6" s="253" t="inlineStr">
        <is>
          <t>GHI CHÚ</t>
        </is>
      </c>
    </row>
    <row r="7" ht="18" customHeight="1" s="981">
      <c r="A7" s="255" t="n">
        <v>1</v>
      </c>
      <c r="B7" s="256" t="inlineStr">
        <is>
          <t>ACB — Ngân Hàn</t>
        </is>
      </c>
      <c r="C7" s="257" t="inlineStr">
        <is>
          <t>Ngân Hàng</t>
        </is>
      </c>
      <c r="D7" s="256" t="n">
        <v>22600</v>
      </c>
      <c r="E7" s="258" t="n">
        <v>6.8</v>
      </c>
      <c r="F7" s="259" t="n">
        <v>1.7</v>
      </c>
      <c r="G7" s="258" t="n">
        <v>25</v>
      </c>
      <c r="H7" s="260" t="n">
        <v>180000</v>
      </c>
      <c r="I7" s="261" t="n">
        <v>6.64</v>
      </c>
      <c r="J7" s="258" t="n">
        <v>90</v>
      </c>
      <c r="K7" s="1209" t="inlineStr">
        <is>
          <t>🟢 MUA MẠNH</t>
        </is>
      </c>
      <c r="L7" s="263" t="inlineStr">
        <is>
          <t>ROE 25%, yield 6.64%</t>
        </is>
      </c>
      <c r="M7" s="264" t="n"/>
    </row>
    <row r="8" ht="18" customHeight="1" s="981">
      <c r="A8" s="255" t="n">
        <v>2</v>
      </c>
      <c r="B8" s="256" t="inlineStr">
        <is>
          <t xml:space="preserve">HAH — Vận Tải </t>
        </is>
      </c>
      <c r="C8" s="257" t="inlineStr">
        <is>
          <t>Vận Tải Biển</t>
        </is>
      </c>
      <c r="D8" s="256" t="n">
        <v>41200</v>
      </c>
      <c r="E8" s="258" t="n">
        <v>7.5</v>
      </c>
      <c r="F8" s="259" t="n">
        <v>1.65</v>
      </c>
      <c r="G8" s="258" t="n">
        <v>22</v>
      </c>
      <c r="H8" s="260" t="n">
        <v>12000</v>
      </c>
      <c r="I8" s="261" t="n">
        <v>8.5</v>
      </c>
      <c r="J8" s="258" t="n">
        <v>85</v>
      </c>
      <c r="K8" s="1209" t="inlineStr">
        <is>
          <t>🟢 MUA MẠNH</t>
        </is>
      </c>
      <c r="L8" s="263" t="inlineStr">
        <is>
          <t>Cước biển hồi, yield 8.5%</t>
        </is>
      </c>
      <c r="M8" s="264" t="n"/>
    </row>
    <row r="9" ht="18" customHeight="1" s="981">
      <c r="A9" s="255" t="n">
        <v>3</v>
      </c>
      <c r="B9" s="256" t="inlineStr">
        <is>
          <t>DGC — Hóa Chất</t>
        </is>
      </c>
      <c r="C9" s="257" t="inlineStr">
        <is>
          <t>Hóa Chất</t>
        </is>
      </c>
      <c r="D9" s="256" t="n">
        <v>85000</v>
      </c>
      <c r="E9" s="258" t="n">
        <v>8.199999999999999</v>
      </c>
      <c r="F9" s="259" t="n">
        <v>2.1</v>
      </c>
      <c r="G9" s="258" t="n">
        <v>26.5</v>
      </c>
      <c r="H9" s="260" t="n">
        <v>38000</v>
      </c>
      <c r="I9" s="259" t="n">
        <v>3.8</v>
      </c>
      <c r="J9" s="258" t="n">
        <v>80</v>
      </c>
      <c r="K9" s="1209" t="inlineStr">
        <is>
          <t>🟢 MUA MẠNH</t>
        </is>
      </c>
      <c r="L9" s="263" t="inlineStr">
        <is>
          <t>Moat cao, biên LN tốt</t>
        </is>
      </c>
      <c r="M9" s="264" t="n"/>
    </row>
    <row r="10" ht="18" customHeight="1" s="981">
      <c r="A10" s="255" t="n">
        <v>4</v>
      </c>
      <c r="B10" s="256" t="inlineStr">
        <is>
          <t>MBB — Ngân Hàn</t>
        </is>
      </c>
      <c r="C10" s="257" t="inlineStr">
        <is>
          <t>Ngân Hàng</t>
        </is>
      </c>
      <c r="D10" s="256" t="n">
        <v>25850</v>
      </c>
      <c r="E10" s="258" t="n">
        <v>6.4</v>
      </c>
      <c r="F10" s="259" t="n">
        <v>1.36</v>
      </c>
      <c r="G10" s="258" t="n">
        <v>22.1</v>
      </c>
      <c r="H10" s="260" t="n">
        <v>208222</v>
      </c>
      <c r="I10" s="259" t="n">
        <v>1.16</v>
      </c>
      <c r="J10" s="258" t="n">
        <v>75</v>
      </c>
      <c r="K10" s="1209" t="inlineStr">
        <is>
          <t>🟢 MUA MẠNH</t>
        </is>
      </c>
      <c r="L10" s="263" t="inlineStr">
        <is>
          <t>P/E rẻ nhất ngành NH</t>
        </is>
      </c>
      <c r="M10" s="264" t="n"/>
    </row>
    <row r="11" ht="18" customHeight="1" s="981">
      <c r="A11" s="255" t="n">
        <v>5</v>
      </c>
      <c r="B11" s="256" t="inlineStr">
        <is>
          <t>VIX — Chứng Kh</t>
        </is>
      </c>
      <c r="C11" s="257" t="inlineStr">
        <is>
          <t>Chứng Khoán</t>
        </is>
      </c>
      <c r="D11" s="256" t="n">
        <v>16900</v>
      </c>
      <c r="E11" s="258" t="n">
        <v>6</v>
      </c>
      <c r="F11" s="259" t="n">
        <v>1.6</v>
      </c>
      <c r="G11" s="258" t="n">
        <v>28.8</v>
      </c>
      <c r="H11" s="260" t="n">
        <v>41410</v>
      </c>
      <c r="I11" s="259" t="n">
        <v>0</v>
      </c>
      <c r="J11" s="258" t="n">
        <v>75</v>
      </c>
      <c r="K11" s="1209" t="inlineStr">
        <is>
          <t>🟢 MUA MẠNH</t>
        </is>
      </c>
      <c r="L11" s="263" t="inlineStr">
        <is>
          <t>ROE 29% — xuất sắc</t>
        </is>
      </c>
      <c r="M11" s="264" t="n"/>
    </row>
    <row r="12" ht="18" customHeight="1" s="981">
      <c r="A12" s="255" t="n">
        <v>6</v>
      </c>
      <c r="B12" s="256" t="inlineStr">
        <is>
          <t>GAS — Năng Lượ</t>
        </is>
      </c>
      <c r="C12" s="257" t="inlineStr">
        <is>
          <t>Năng Lượng</t>
        </is>
      </c>
      <c r="D12" s="256" t="n">
        <v>78500</v>
      </c>
      <c r="E12" s="255" t="n">
        <v>11.5</v>
      </c>
      <c r="F12" s="259" t="n">
        <v>3.1</v>
      </c>
      <c r="G12" s="258" t="n">
        <v>27</v>
      </c>
      <c r="H12" s="260" t="n">
        <v>162000</v>
      </c>
      <c r="I12" s="261" t="n">
        <v>6.37</v>
      </c>
      <c r="J12" s="258" t="n">
        <v>75</v>
      </c>
      <c r="K12" s="265" t="inlineStr">
        <is>
          <t>🟢 MUA</t>
        </is>
      </c>
      <c r="L12" s="263" t="inlineStr">
        <is>
          <t>Cổ tức 6.37%, ổn định</t>
        </is>
      </c>
      <c r="M12" s="264" t="n"/>
    </row>
    <row r="13" ht="18" customHeight="1" s="981">
      <c r="A13" s="255" t="n">
        <v>7</v>
      </c>
      <c r="B13" s="256" t="inlineStr">
        <is>
          <t>SSI — Chứng Kh</t>
        </is>
      </c>
      <c r="C13" s="257" t="inlineStr">
        <is>
          <t>Chứng Khoán</t>
        </is>
      </c>
      <c r="D13" s="256" t="n">
        <v>21800</v>
      </c>
      <c r="E13" s="258" t="n">
        <v>9.5</v>
      </c>
      <c r="F13" s="259" t="n">
        <v>1.55</v>
      </c>
      <c r="G13" s="266" t="n">
        <v>16.3</v>
      </c>
      <c r="H13" s="260" t="n">
        <v>42000</v>
      </c>
      <c r="I13" s="259" t="n">
        <v>4.59</v>
      </c>
      <c r="J13" s="258" t="n">
        <v>70</v>
      </c>
      <c r="K13" s="265" t="inlineStr">
        <is>
          <t>🟢 MUA</t>
        </is>
      </c>
      <c r="L13" s="263" t="inlineStr">
        <is>
          <t>Thanh khoản thị trường tăng</t>
        </is>
      </c>
      <c r="M13" s="264" t="n"/>
    </row>
    <row r="14" ht="18" customHeight="1" s="981">
      <c r="A14" s="255" t="n">
        <v>8</v>
      </c>
      <c r="B14" s="256" t="inlineStr">
        <is>
          <t>TCB — Ngân Hàn</t>
        </is>
      </c>
      <c r="C14" s="257" t="inlineStr">
        <is>
          <t>Ngân Hàng</t>
        </is>
      </c>
      <c r="D14" s="256" t="n">
        <v>24500</v>
      </c>
      <c r="E14" s="258" t="n">
        <v>7.2</v>
      </c>
      <c r="F14" s="259" t="n">
        <v>1.45</v>
      </c>
      <c r="G14" s="258" t="n">
        <v>20.1</v>
      </c>
      <c r="H14" s="260" t="n">
        <v>182000</v>
      </c>
      <c r="I14" s="259" t="n">
        <v>0</v>
      </c>
      <c r="J14" s="258" t="n">
        <v>70</v>
      </c>
      <c r="K14" s="1209" t="inlineStr">
        <is>
          <t>🟢 MUA MẠNH</t>
        </is>
      </c>
      <c r="L14" s="263" t="inlineStr">
        <is>
          <t>Warburg Pincus cổ đông</t>
        </is>
      </c>
      <c r="M14" s="264" t="n"/>
    </row>
    <row r="15" ht="18" customHeight="1" s="981">
      <c r="A15" s="267" t="n">
        <v>9</v>
      </c>
      <c r="B15" s="268" t="inlineStr">
        <is>
          <t>BID — Ngân Hàn</t>
        </is>
      </c>
      <c r="C15" s="269" t="inlineStr">
        <is>
          <t>Ngân Hàng</t>
        </is>
      </c>
      <c r="D15" s="268" t="n">
        <v>48200</v>
      </c>
      <c r="E15" s="267" t="n">
        <v>10.5</v>
      </c>
      <c r="F15" s="270" t="n">
        <v>2.1</v>
      </c>
      <c r="G15" s="271" t="n">
        <v>20</v>
      </c>
      <c r="H15" s="272" t="n">
        <v>280000</v>
      </c>
      <c r="I15" s="270" t="n">
        <v>2.49</v>
      </c>
      <c r="J15" s="267" t="n">
        <v>65</v>
      </c>
      <c r="K15" s="265" t="inlineStr">
        <is>
          <t>🟢 MUA</t>
        </is>
      </c>
      <c r="L15" s="273" t="inlineStr">
        <is>
          <t>BIDV — tăng trưởng tín dụng</t>
        </is>
      </c>
      <c r="M15" s="274" t="n"/>
    </row>
    <row r="16" ht="18" customHeight="1" s="981">
      <c r="A16" s="275" t="n">
        <v>10</v>
      </c>
      <c r="B16" s="276" t="inlineStr">
        <is>
          <t>VNM — Tiêu Dùn</t>
        </is>
      </c>
      <c r="C16" s="277" t="inlineStr">
        <is>
          <t>Tiêu Dùng</t>
        </is>
      </c>
      <c r="D16" s="276" t="n">
        <v>60900</v>
      </c>
      <c r="E16" s="278" t="n">
        <v>15.2</v>
      </c>
      <c r="F16" s="279" t="n">
        <v>3.4</v>
      </c>
      <c r="G16" s="280" t="n">
        <v>23.8</v>
      </c>
      <c r="H16" s="281" t="n">
        <v>127278</v>
      </c>
      <c r="I16" s="282" t="n">
        <v>7.14</v>
      </c>
      <c r="J16" s="275" t="n">
        <v>60</v>
      </c>
      <c r="K16" s="283" t="inlineStr">
        <is>
          <t>🟡 GIỮ</t>
        </is>
      </c>
      <c r="L16" s="284" t="inlineStr">
        <is>
          <t>Cổ tức 7.14% cao nhất</t>
        </is>
      </c>
      <c r="M16" s="285" t="n"/>
    </row>
    <row r="17" ht="18" customHeight="1" s="981">
      <c r="A17" s="267" t="n">
        <v>11</v>
      </c>
      <c r="B17" s="268" t="inlineStr">
        <is>
          <t>VCB — Ngân Hàn</t>
        </is>
      </c>
      <c r="C17" s="269" t="inlineStr">
        <is>
          <t>Ngân Hàng</t>
        </is>
      </c>
      <c r="D17" s="268" t="n">
        <v>60300</v>
      </c>
      <c r="E17" s="267" t="n">
        <v>14</v>
      </c>
      <c r="F17" s="270" t="n">
        <v>2.4</v>
      </c>
      <c r="G17" s="286" t="n">
        <v>18.7</v>
      </c>
      <c r="H17" s="272" t="n">
        <v>503847</v>
      </c>
      <c r="I17" s="270" t="n">
        <v>0</v>
      </c>
      <c r="J17" s="287" t="n">
        <v>45</v>
      </c>
      <c r="K17" s="265" t="inlineStr">
        <is>
          <t>🟢 MUA</t>
        </is>
      </c>
      <c r="L17" s="273" t="inlineStr">
        <is>
          <t>Ngân hàng lớn nhất VN</t>
        </is>
      </c>
      <c r="M17" s="274" t="n"/>
    </row>
    <row r="18" ht="18" customHeight="1" s="981">
      <c r="A18" s="275" t="n">
        <v>12</v>
      </c>
      <c r="B18" s="276" t="inlineStr">
        <is>
          <t xml:space="preserve">CTR — Hạ Tầng </t>
        </is>
      </c>
      <c r="C18" s="277" t="inlineStr">
        <is>
          <t>Hạ Tầng Số</t>
        </is>
      </c>
      <c r="D18" s="276" t="n">
        <v>87100</v>
      </c>
      <c r="E18" s="278" t="n">
        <v>16.4</v>
      </c>
      <c r="F18" s="279" t="n">
        <v>4</v>
      </c>
      <c r="G18" s="280" t="n">
        <v>25</v>
      </c>
      <c r="H18" s="281" t="n">
        <v>9963</v>
      </c>
      <c r="I18" s="279" t="n">
        <v>1.15</v>
      </c>
      <c r="J18" s="288" t="n">
        <v>45</v>
      </c>
      <c r="K18" s="283" t="inlineStr">
        <is>
          <t>🟡 GIỮ</t>
        </is>
      </c>
      <c r="L18" s="284" t="inlineStr">
        <is>
          <t>5G Viettel — tăng trưởng</t>
        </is>
      </c>
      <c r="M18" s="285" t="n"/>
    </row>
    <row r="19" ht="18" customHeight="1" s="981">
      <c r="A19" s="267" t="n">
        <v>13</v>
      </c>
      <c r="B19" s="268" t="inlineStr">
        <is>
          <t>MWG — Bán Lẻ</t>
        </is>
      </c>
      <c r="C19" s="269" t="inlineStr">
        <is>
          <t>Bán Lẻ</t>
        </is>
      </c>
      <c r="D19" s="268" t="n">
        <v>83500</v>
      </c>
      <c r="E19" s="289" t="n">
        <v>17.5</v>
      </c>
      <c r="F19" s="270" t="n">
        <v>3.5</v>
      </c>
      <c r="G19" s="271" t="n">
        <v>22</v>
      </c>
      <c r="H19" s="272" t="n">
        <v>122610</v>
      </c>
      <c r="I19" s="270" t="n">
        <v>1.2</v>
      </c>
      <c r="J19" s="287" t="n">
        <v>45</v>
      </c>
      <c r="K19" s="283" t="inlineStr">
        <is>
          <t>🟡 GIỮ</t>
        </is>
      </c>
      <c r="L19" s="273" t="inlineStr">
        <is>
          <t>BHX phục hồi mạnh</t>
        </is>
      </c>
      <c r="M19" s="274" t="n"/>
    </row>
    <row r="20" ht="18" customHeight="1" s="981">
      <c r="A20" s="275" t="n">
        <v>14</v>
      </c>
      <c r="B20" s="276" t="inlineStr">
        <is>
          <t>HPG — Thép</t>
        </is>
      </c>
      <c r="C20" s="277" t="inlineStr">
        <is>
          <t>Thép</t>
        </is>
      </c>
      <c r="D20" s="276" t="n">
        <v>27750</v>
      </c>
      <c r="E20" s="275" t="n">
        <v>12</v>
      </c>
      <c r="F20" s="279" t="n">
        <v>1.5</v>
      </c>
      <c r="G20" s="290" t="n">
        <v>14</v>
      </c>
      <c r="H20" s="281" t="n">
        <v>212994</v>
      </c>
      <c r="I20" s="279" t="n">
        <v>1.8</v>
      </c>
      <c r="J20" s="288" t="n">
        <v>45</v>
      </c>
      <c r="K20" s="283" t="inlineStr">
        <is>
          <t>🟡 GIỮ</t>
        </is>
      </c>
      <c r="L20" s="284" t="inlineStr">
        <is>
          <t>Chu kỳ thép phục hồi</t>
        </is>
      </c>
      <c r="M20" s="285" t="n"/>
    </row>
    <row r="21" ht="18" customHeight="1" s="981">
      <c r="A21" s="267" t="n">
        <v>15</v>
      </c>
      <c r="B21" s="268" t="inlineStr">
        <is>
          <t>FPT — Công Ngh</t>
        </is>
      </c>
      <c r="C21" s="269" t="inlineStr">
        <is>
          <t>Công Nghệ</t>
        </is>
      </c>
      <c r="D21" s="268" t="n">
        <v>71900</v>
      </c>
      <c r="E21" s="289" t="n">
        <v>16</v>
      </c>
      <c r="F21" s="270" t="n">
        <v>3.7</v>
      </c>
      <c r="G21" s="271" t="n">
        <v>24.2</v>
      </c>
      <c r="H21" s="272" t="n">
        <v>122482</v>
      </c>
      <c r="I21" s="270" t="n">
        <v>1.39</v>
      </c>
      <c r="J21" s="287" t="n">
        <v>40</v>
      </c>
      <c r="K21" s="283" t="inlineStr">
        <is>
          <t>🟡 GIỮ</t>
        </is>
      </c>
      <c r="L21" s="273" t="inlineStr">
        <is>
          <t>Graham V*≈44K → Đắt 62%</t>
        </is>
      </c>
      <c r="M21" s="274" t="n"/>
    </row>
    <row r="22" ht="15" customHeight="1" s="981">
      <c r="A22" s="1050" t="n"/>
      <c r="B22" s="1050" t="n"/>
      <c r="C22" s="1050" t="n"/>
      <c r="D22" s="1050" t="n"/>
      <c r="E22" s="1050" t="n"/>
      <c r="F22" s="1050" t="n"/>
      <c r="G22" s="1050" t="n"/>
      <c r="H22" s="1050" t="n"/>
      <c r="I22" s="1050" t="n"/>
      <c r="J22" s="1050" t="n"/>
      <c r="K22" s="1050" t="n"/>
      <c r="L22" s="1050" t="n"/>
      <c r="M22" s="1050" t="n"/>
    </row>
    <row r="23" ht="9.75" customHeight="1" s="981">
      <c r="A23" s="1050" t="n"/>
      <c r="B23" s="965" t="n"/>
      <c r="C23" s="965" t="n"/>
      <c r="D23" s="965" t="n"/>
      <c r="E23" s="965" t="n"/>
      <c r="F23" s="965" t="n"/>
      <c r="G23" s="965" t="n"/>
      <c r="H23" s="965" t="n"/>
      <c r="I23" s="965" t="n"/>
      <c r="J23" s="965" t="n"/>
      <c r="K23" s="965" t="n"/>
      <c r="L23" s="965" t="n"/>
      <c r="M23" s="966" t="n"/>
    </row>
    <row r="24" ht="21.75" customHeight="1" s="981">
      <c r="A24" s="1052" t="inlineStr">
        <is>
          <t>▲  BỘ LỌC TRÁI PHIẾU VIỆT NAM  (11 sản phẩm)  |  Hướng: TPCP an toàn · DN AA YTM ≥ 7%</t>
        </is>
      </c>
      <c r="B24" s="965" t="n"/>
      <c r="C24" s="965" t="n"/>
      <c r="D24" s="965" t="n"/>
      <c r="E24" s="965" t="n"/>
      <c r="F24" s="965" t="n"/>
      <c r="G24" s="965" t="n"/>
      <c r="H24" s="965" t="n"/>
      <c r="I24" s="965" t="n"/>
      <c r="J24" s="965" t="n"/>
      <c r="K24" s="965" t="n"/>
      <c r="L24" s="965" t="n"/>
      <c r="M24" s="966" t="n"/>
    </row>
    <row r="25" ht="19.5" customHeight="1" s="981">
      <c r="A25" s="1054" t="inlineStr">
        <is>
          <t>NGƯỠNG</t>
        </is>
      </c>
      <c r="B25" s="253" t="inlineStr">
        <is>
          <t>KỲ HẠN TỐI ĐA (năm)</t>
        </is>
      </c>
      <c r="C25" s="253" t="inlineStr">
        <is>
          <t>YTM TỐI THIỂU %</t>
        </is>
      </c>
      <c r="D25" s="253" t="inlineStr">
        <is>
          <t>XẾP HẠNG TỐI THIỂU</t>
        </is>
      </c>
      <c r="E25" s="253" t="inlineStr">
        <is>
          <t>LOẠI TP</t>
        </is>
      </c>
      <c r="F25" s="1040" t="inlineStr">
        <is>
          <t>💡 Qua sheet 🏦 Trái Phiếu VN 🔍 → Click ▼ cột YTM → 'Number Filters ≥' → nhập ngưỡng | Lọc cột Xếp Hạng: 'Text Filters' → chọn AAA/AA</t>
        </is>
      </c>
      <c r="G25" s="1041" t="n"/>
      <c r="H25" s="1041" t="n"/>
      <c r="I25" s="1041" t="n"/>
      <c r="J25" s="1041" t="n"/>
      <c r="K25" s="1041" t="n"/>
      <c r="L25" s="1041" t="n"/>
      <c r="M25" s="1042" t="n"/>
    </row>
    <row r="26" ht="24" customHeight="1" s="981">
      <c r="A26" s="1039" t="n"/>
      <c r="B26" s="1052" t="n">
        <v>10</v>
      </c>
      <c r="C26" s="1052" t="n">
        <v>3</v>
      </c>
      <c r="D26" s="1052" t="inlineStr">
        <is>
          <t>A</t>
        </is>
      </c>
      <c r="E26" s="1052" t="inlineStr">
        <is>
          <t>Chính phủ</t>
        </is>
      </c>
      <c r="F26" s="1043" t="n"/>
      <c r="G26" s="979" t="n"/>
      <c r="H26" s="979" t="n"/>
      <c r="I26" s="979" t="n"/>
      <c r="J26" s="979" t="n"/>
      <c r="K26" s="979" t="n"/>
      <c r="L26" s="979" t="n"/>
      <c r="M26" s="1044" t="n"/>
    </row>
    <row r="27" ht="21.75" customHeight="1" s="981">
      <c r="A27" s="253" t="inlineStr">
        <is>
          <t>STT</t>
        </is>
      </c>
      <c r="B27" s="253" t="inlineStr">
        <is>
          <t>TÊN TRÁI PHIẾU</t>
        </is>
      </c>
      <c r="C27" s="253" t="inlineStr">
        <is>
          <t>LOẠI</t>
        </is>
      </c>
      <c r="D27" s="253" t="inlineStr">
        <is>
          <t>KỲ HẠN</t>
        </is>
      </c>
      <c r="E27" s="253" t="inlineStr">
        <is>
          <t>LÃI DANH NGHĨA</t>
        </is>
      </c>
      <c r="F27" s="253" t="inlineStr">
        <is>
          <t>YTM</t>
        </is>
      </c>
      <c r="G27" s="253" t="inlineStr">
        <is>
          <t>CHÊNH VS TPCP</t>
        </is>
      </c>
      <c r="H27" s="253" t="inlineStr">
        <is>
          <t>XẾP HẠNG</t>
        </is>
      </c>
      <c r="I27" s="253" t="inlineStr">
        <is>
          <t>THANH KHOẢN</t>
        </is>
      </c>
      <c r="J27" s="253" t="inlineStr">
        <is>
          <t>ĐIỂM AN TOÀN</t>
        </is>
      </c>
      <c r="K27" s="253" t="inlineStr">
        <is>
          <t>KHUYẾN NGHỊ</t>
        </is>
      </c>
      <c r="L27" s="253" t="inlineStr">
        <is>
          <t>TỶ TRỌNG ĐỀ XUẤT</t>
        </is>
      </c>
      <c r="M27" s="253" t="inlineStr">
        <is>
          <t>GHI CHÚ</t>
        </is>
      </c>
    </row>
    <row r="28" ht="18" customHeight="1" s="981">
      <c r="A28" s="275" t="n">
        <v>1</v>
      </c>
      <c r="B28" s="276" t="inlineStr">
        <is>
          <t>TPCP 2 năm</t>
        </is>
      </c>
      <c r="C28" s="277" t="inlineStr">
        <is>
          <t>Chính phủ</t>
        </is>
      </c>
      <c r="D28" s="279" t="n">
        <v>2</v>
      </c>
      <c r="E28" s="292" t="n">
        <v>0.0275</v>
      </c>
      <c r="F28" s="293" t="n">
        <v>0.0275</v>
      </c>
      <c r="G28" s="292" t="n">
        <v>0</v>
      </c>
      <c r="H28" s="294" t="inlineStr">
        <is>
          <t>AAA</t>
        </is>
      </c>
      <c r="I28" s="282" t="inlineStr">
        <is>
          <t>Cao</t>
        </is>
      </c>
      <c r="J28" s="295" t="n">
        <v>95</v>
      </c>
      <c r="K28" s="296" t="inlineStr">
        <is>
          <t>✅ MUA</t>
        </is>
      </c>
      <c r="L28" s="281" t="inlineStr">
        <is>
          <t>12%</t>
        </is>
      </c>
      <c r="M28" s="284" t="inlineStr">
        <is>
          <t>Chuẩn ngắn hạn, gốc ĐSB</t>
        </is>
      </c>
    </row>
    <row r="29" ht="18" customHeight="1" s="981">
      <c r="A29" s="267" t="n">
        <v>2</v>
      </c>
      <c r="B29" s="268" t="inlineStr">
        <is>
          <t>TPCP 5 năm</t>
        </is>
      </c>
      <c r="C29" s="269" t="inlineStr">
        <is>
          <t>Chính phủ</t>
        </is>
      </c>
      <c r="D29" s="270" t="n">
        <v>5</v>
      </c>
      <c r="E29" s="297" t="n">
        <v>0.0285</v>
      </c>
      <c r="F29" s="298" t="n">
        <v>0.0285</v>
      </c>
      <c r="G29" s="297" t="n">
        <v>0</v>
      </c>
      <c r="H29" s="299" t="inlineStr">
        <is>
          <t>AAA</t>
        </is>
      </c>
      <c r="I29" s="300" t="inlineStr">
        <is>
          <t>Cao</t>
        </is>
      </c>
      <c r="J29" s="301" t="n">
        <v>95</v>
      </c>
      <c r="K29" s="296" t="inlineStr">
        <is>
          <t>✅ MUA</t>
        </is>
      </c>
      <c r="L29" s="272" t="inlineStr">
        <is>
          <t>18%</t>
        </is>
      </c>
      <c r="M29" s="273" t="inlineStr">
        <is>
          <t>Chuẩn trung hạn</t>
        </is>
      </c>
    </row>
    <row r="30" ht="18" customHeight="1" s="981">
      <c r="A30" s="275" t="n">
        <v>3</v>
      </c>
      <c r="B30" s="276" t="inlineStr">
        <is>
          <t>TPCP 10 năm</t>
        </is>
      </c>
      <c r="C30" s="277" t="inlineStr">
        <is>
          <t>Chính phủ</t>
        </is>
      </c>
      <c r="D30" s="279" t="n">
        <v>10</v>
      </c>
      <c r="E30" s="292" t="n">
        <v>0.03</v>
      </c>
      <c r="F30" s="293" t="n">
        <v>0.03</v>
      </c>
      <c r="G30" s="292" t="n">
        <v>0</v>
      </c>
      <c r="H30" s="294" t="inlineStr">
        <is>
          <t>AAA</t>
        </is>
      </c>
      <c r="I30" s="282" t="inlineStr">
        <is>
          <t>Cao</t>
        </is>
      </c>
      <c r="J30" s="295" t="n">
        <v>95</v>
      </c>
      <c r="K30" s="296" t="inlineStr">
        <is>
          <t>✅ MUA</t>
        </is>
      </c>
      <c r="L30" s="281" t="inlineStr">
        <is>
          <t>25%</t>
        </is>
      </c>
      <c r="M30" s="284" t="inlineStr">
        <is>
          <t>Benchmark thị trường</t>
        </is>
      </c>
    </row>
    <row r="31" ht="18" customHeight="1" s="981">
      <c r="A31" s="267" t="n">
        <v>4</v>
      </c>
      <c r="B31" s="268" t="inlineStr">
        <is>
          <t>TPCP 30 năm</t>
        </is>
      </c>
      <c r="C31" s="269" t="inlineStr">
        <is>
          <t>Chính phủ</t>
        </is>
      </c>
      <c r="D31" s="270" t="n">
        <v>30</v>
      </c>
      <c r="E31" s="297" t="n">
        <v>0.0335</v>
      </c>
      <c r="F31" s="298" t="n">
        <v>0.0335</v>
      </c>
      <c r="G31" s="297" t="n">
        <v>0</v>
      </c>
      <c r="H31" s="299" t="inlineStr">
        <is>
          <t>AAA</t>
        </is>
      </c>
      <c r="I31" s="272" t="inlineStr">
        <is>
          <t>Thấp</t>
        </is>
      </c>
      <c r="J31" s="301" t="n">
        <v>80</v>
      </c>
      <c r="K31" s="302" t="inlineStr">
        <is>
          <t>🟡 GIỮ</t>
        </is>
      </c>
      <c r="L31" s="272" t="inlineStr">
        <is>
          <t>5%</t>
        </is>
      </c>
      <c r="M31" s="273" t="inlineStr">
        <is>
          <t>Duration dài — nhạy lãi suất</t>
        </is>
      </c>
    </row>
    <row r="32" ht="18" customHeight="1" s="981">
      <c r="A32" s="275" t="n">
        <v>5</v>
      </c>
      <c r="B32" s="276" t="inlineStr">
        <is>
          <t>VCB Bond 2027</t>
        </is>
      </c>
      <c r="C32" s="277" t="inlineStr">
        <is>
          <t>DN Ngân Hàng</t>
        </is>
      </c>
      <c r="D32" s="279" t="n">
        <v>2</v>
      </c>
      <c r="E32" s="292" t="n">
        <v>0.07199999999999999</v>
      </c>
      <c r="F32" s="295" t="n">
        <v>0.075</v>
      </c>
      <c r="G32" s="292" t="n">
        <v>0.045</v>
      </c>
      <c r="H32" s="303" t="inlineStr">
        <is>
          <t>AA</t>
        </is>
      </c>
      <c r="I32" s="292" t="inlineStr">
        <is>
          <t>TB</t>
        </is>
      </c>
      <c r="J32" s="304" t="n">
        <v>75</v>
      </c>
      <c r="K32" s="296" t="inlineStr">
        <is>
          <t>✅ MUA</t>
        </is>
      </c>
      <c r="L32" s="281" t="inlineStr">
        <is>
          <t>5%</t>
        </is>
      </c>
      <c r="M32" s="284" t="inlineStr">
        <is>
          <t>Uy tín VCB, yield tốt</t>
        </is>
      </c>
    </row>
    <row r="33" ht="18" customHeight="1" s="981">
      <c r="A33" s="267" t="n">
        <v>6</v>
      </c>
      <c r="B33" s="268" t="inlineStr">
        <is>
          <t>TCB Bond 2028</t>
        </is>
      </c>
      <c r="C33" s="269" t="inlineStr">
        <is>
          <t>DN Ngân Hàng</t>
        </is>
      </c>
      <c r="D33" s="270" t="n">
        <v>3</v>
      </c>
      <c r="E33" s="297" t="n">
        <v>0.075</v>
      </c>
      <c r="F33" s="301" t="n">
        <v>0.078</v>
      </c>
      <c r="G33" s="297" t="n">
        <v>0.048</v>
      </c>
      <c r="H33" s="305" t="inlineStr">
        <is>
          <t>AA</t>
        </is>
      </c>
      <c r="I33" s="297" t="inlineStr">
        <is>
          <t>TB</t>
        </is>
      </c>
      <c r="J33" s="306" t="n">
        <v>72</v>
      </c>
      <c r="K33" s="296" t="inlineStr">
        <is>
          <t>✅ MUA</t>
        </is>
      </c>
      <c r="L33" s="272" t="inlineStr">
        <is>
          <t>5%</t>
        </is>
      </c>
      <c r="M33" s="273" t="inlineStr">
        <is>
          <t>Warburg Pincus đảm bảo</t>
        </is>
      </c>
    </row>
    <row r="34" ht="18" customHeight="1" s="981">
      <c r="A34" s="275" t="n">
        <v>7</v>
      </c>
      <c r="B34" s="276" t="inlineStr">
        <is>
          <t>FPT Bond 2028</t>
        </is>
      </c>
      <c r="C34" s="277" t="inlineStr">
        <is>
          <t>DN Công Nghệ</t>
        </is>
      </c>
      <c r="D34" s="279" t="n">
        <v>3</v>
      </c>
      <c r="E34" s="292" t="n">
        <v>0.078</v>
      </c>
      <c r="F34" s="295" t="n">
        <v>0.081</v>
      </c>
      <c r="G34" s="292" t="n">
        <v>0.051</v>
      </c>
      <c r="H34" s="303" t="inlineStr">
        <is>
          <t>AA-</t>
        </is>
      </c>
      <c r="I34" s="281" t="inlineStr">
        <is>
          <t>Thấp</t>
        </is>
      </c>
      <c r="J34" s="304" t="n">
        <v>68</v>
      </c>
      <c r="K34" s="302" t="inlineStr">
        <is>
          <t>🟡 GIỮ</t>
        </is>
      </c>
      <c r="L34" s="281" t="inlineStr">
        <is>
          <t>6%</t>
        </is>
      </c>
      <c r="M34" s="284" t="inlineStr">
        <is>
          <t>FPT tăng trưởng ổn định</t>
        </is>
      </c>
    </row>
    <row r="35" ht="18" customHeight="1" s="981">
      <c r="A35" s="267" t="n">
        <v>8</v>
      </c>
      <c r="B35" s="268" t="inlineStr">
        <is>
          <t>HPG Bond 2028</t>
        </is>
      </c>
      <c r="C35" s="269" t="inlineStr">
        <is>
          <t>DN Thép</t>
        </is>
      </c>
      <c r="D35" s="270" t="n">
        <v>3</v>
      </c>
      <c r="E35" s="297" t="n">
        <v>0.082</v>
      </c>
      <c r="F35" s="301" t="n">
        <v>0.08599999999999999</v>
      </c>
      <c r="G35" s="297" t="n">
        <v>0.056</v>
      </c>
      <c r="H35" s="305" t="inlineStr">
        <is>
          <t>A+</t>
        </is>
      </c>
      <c r="I35" s="272" t="inlineStr">
        <is>
          <t>Thấp</t>
        </is>
      </c>
      <c r="J35" s="306" t="n">
        <v>60</v>
      </c>
      <c r="K35" s="302" t="inlineStr">
        <is>
          <t>🟡 GIỮ</t>
        </is>
      </c>
      <c r="L35" s="272" t="inlineStr">
        <is>
          <t>4%</t>
        </is>
      </c>
      <c r="M35" s="273" t="inlineStr">
        <is>
          <t>Chu kỳ thép — rủi ro TB</t>
        </is>
      </c>
    </row>
    <row r="36" ht="18" customHeight="1" s="981">
      <c r="A36" s="275" t="n">
        <v>9</v>
      </c>
      <c r="B36" s="276" t="inlineStr">
        <is>
          <t>VHM Bond 2027</t>
        </is>
      </c>
      <c r="C36" s="277" t="inlineStr">
        <is>
          <t>DN BĐS</t>
        </is>
      </c>
      <c r="D36" s="279" t="n">
        <v>2</v>
      </c>
      <c r="E36" s="292" t="n">
        <v>0.095</v>
      </c>
      <c r="F36" s="295" t="n">
        <v>0.102</v>
      </c>
      <c r="G36" s="292" t="n">
        <v>0.07199999999999999</v>
      </c>
      <c r="H36" s="303" t="inlineStr">
        <is>
          <t>A</t>
        </is>
      </c>
      <c r="I36" s="281" t="inlineStr">
        <is>
          <t>Thấp</t>
        </is>
      </c>
      <c r="J36" s="307" t="n">
        <v>45</v>
      </c>
      <c r="K36" s="308" t="inlineStr">
        <is>
          <t>⚠️ THẬN TRỌNG</t>
        </is>
      </c>
      <c r="L36" s="281" t="inlineStr">
        <is>
          <t>3%</t>
        </is>
      </c>
      <c r="M36" s="284" t="inlineStr">
        <is>
          <t>BĐS rủi ro cao — yield bù</t>
        </is>
      </c>
    </row>
    <row r="37" ht="18" customHeight="1" s="981">
      <c r="A37" s="267" t="n">
        <v>10</v>
      </c>
      <c r="B37" s="268" t="inlineStr">
        <is>
          <t>EM Bond ETF</t>
        </is>
      </c>
      <c r="C37" s="269" t="inlineStr">
        <is>
          <t>ETF EM</t>
        </is>
      </c>
      <c r="D37" s="270" t="n">
        <v>8</v>
      </c>
      <c r="E37" s="297" t="n">
        <v>0.068</v>
      </c>
      <c r="F37" s="306" t="n">
        <v>0.068</v>
      </c>
      <c r="G37" s="297" t="n">
        <v>0.025</v>
      </c>
      <c r="H37" s="305" t="inlineStr">
        <is>
          <t>TB</t>
        </is>
      </c>
      <c r="I37" s="300" t="inlineStr">
        <is>
          <t>Cao</t>
        </is>
      </c>
      <c r="J37" s="306" t="n">
        <v>60</v>
      </c>
      <c r="K37" s="302" t="inlineStr">
        <is>
          <t>🟡 GIỮ</t>
        </is>
      </c>
      <c r="L37" s="272" t="inlineStr">
        <is>
          <t>—</t>
        </is>
      </c>
      <c r="M37" s="273" t="inlineStr">
        <is>
          <t>Diversified — USD</t>
        </is>
      </c>
    </row>
    <row r="38" ht="18" customHeight="1" s="981">
      <c r="A38" s="275" t="n">
        <v>11</v>
      </c>
      <c r="B38" s="276" t="inlineStr">
        <is>
          <t>US HY Corp</t>
        </is>
      </c>
      <c r="C38" s="277" t="inlineStr">
        <is>
          <t>DN HY Mỹ</t>
        </is>
      </c>
      <c r="D38" s="279" t="n">
        <v>7</v>
      </c>
      <c r="E38" s="292" t="n">
        <v>0.078</v>
      </c>
      <c r="F38" s="295" t="n">
        <v>0.078</v>
      </c>
      <c r="G38" s="292" t="n">
        <v>0.035</v>
      </c>
      <c r="H38" s="303" t="inlineStr">
        <is>
          <t>Cao</t>
        </is>
      </c>
      <c r="I38" s="282" t="inlineStr">
        <is>
          <t>Cao</t>
        </is>
      </c>
      <c r="J38" s="307" t="n">
        <v>40</v>
      </c>
      <c r="K38" s="308" t="inlineStr">
        <is>
          <t>⚠️ THẬN TRỌNG</t>
        </is>
      </c>
      <c r="L38" s="281" t="inlineStr">
        <is>
          <t>—</t>
        </is>
      </c>
      <c r="M38" s="284" t="inlineStr">
        <is>
          <t>High Yield = rủi ro vỡ nợ</t>
        </is>
      </c>
    </row>
    <row r="39" ht="15" customHeight="1" s="981">
      <c r="A39" s="1050" t="n"/>
      <c r="B39" s="1050" t="n"/>
      <c r="C39" s="1050" t="n"/>
      <c r="D39" s="1050" t="n"/>
      <c r="E39" s="1050" t="n"/>
      <c r="F39" s="1050" t="n"/>
      <c r="G39" s="1050" t="n"/>
      <c r="H39" s="1050" t="n"/>
      <c r="I39" s="1050" t="n"/>
      <c r="J39" s="1050" t="n"/>
      <c r="K39" s="1050" t="n"/>
      <c r="L39" s="1050" t="n"/>
      <c r="M39" s="1050" t="n"/>
    </row>
    <row r="40" ht="21.75" customHeight="1" s="981">
      <c r="A40" s="1055" t="inlineStr">
        <is>
          <t>📋  HƯỚNG DẪN SỬ DỤNG BỘ LỌC TRONG EXCEL</t>
        </is>
      </c>
      <c r="B40" s="965" t="n"/>
      <c r="C40" s="965" t="n"/>
      <c r="D40" s="965" t="n"/>
      <c r="E40" s="965" t="n"/>
      <c r="F40" s="965" t="n"/>
      <c r="G40" s="965" t="n"/>
      <c r="H40" s="965" t="n"/>
      <c r="I40" s="965" t="n"/>
      <c r="J40" s="965" t="n"/>
      <c r="K40" s="965" t="n"/>
      <c r="L40" s="965" t="n"/>
      <c r="M40" s="966" t="n"/>
    </row>
    <row r="41" ht="21.75" customHeight="1" s="981">
      <c r="A41" s="309" t="inlineStr">
        <is>
          <t>BƯỚC 1 — Lọc cổ phiếu VN tại sheet này</t>
        </is>
      </c>
      <c r="B41" s="1048" t="inlineStr">
        <is>
          <t>Nhìn cột ĐIỂM/100 → Chọn mã điểm cao nhất → Đọc TÍN HIỆU</t>
        </is>
      </c>
      <c r="C41" s="965" t="n"/>
      <c r="D41" s="965" t="n"/>
      <c r="E41" s="965" t="n"/>
      <c r="F41" s="966" t="n"/>
      <c r="G41" s="1048" t="inlineStr">
        <is>
          <t>Nhìn cột ĐIỂM/100 → Chọn mã điểm cao nhất → Đọc TÍN HIỆU</t>
        </is>
      </c>
      <c r="H41" s="965" t="n"/>
      <c r="I41" s="965" t="n"/>
      <c r="J41" s="966" t="n"/>
      <c r="K41" s="1046" t="inlineStr">
        <is>
          <t>Cột màu vàng = ngưỡng bạn có thể thay đổi</t>
        </is>
      </c>
      <c r="L41" s="965" t="n"/>
      <c r="M41" s="966" t="n"/>
    </row>
    <row r="42" ht="21.75" customHeight="1" s="981">
      <c r="A42" s="310" t="inlineStr">
        <is>
          <t>BƯỚC 2 — Lọc chi tiết qua sheet riêng</t>
        </is>
      </c>
      <c r="B42" s="1053" t="inlineStr">
        <is>
          <t>Mở 📈 Cổ Phiếu VN 🔍 → Click mũi tên ▼ ở đầu cột → Number Filters</t>
        </is>
      </c>
      <c r="C42" s="965" t="n"/>
      <c r="D42" s="965" t="n"/>
      <c r="E42" s="965" t="n"/>
      <c r="F42" s="966" t="n"/>
      <c r="G42" s="1053" t="inlineStr">
        <is>
          <t>Mở 📈 Cổ Phiếu VN 🔍 → Click mũi tên ▼ ở đầu cột → Number Filters</t>
        </is>
      </c>
      <c r="H42" s="965" t="n"/>
      <c r="I42" s="965" t="n"/>
      <c r="J42" s="966" t="n"/>
      <c r="K42" s="1051" t="inlineStr">
        <is>
          <t>VD: P/E: &lt;= 10 → OK → chỉ còn mã P/E thấp</t>
        </is>
      </c>
      <c r="L42" s="965" t="n"/>
      <c r="M42" s="966" t="n"/>
    </row>
    <row r="43" ht="21.75" customHeight="1" s="981">
      <c r="A43" s="309" t="inlineStr">
        <is>
          <t>BƯỚC 3 — Lọc trái phiếu</t>
        </is>
      </c>
      <c r="B43" s="1048" t="inlineStr">
        <is>
          <t>Mở 🏦 Trái Phiếu VN 🔍 → Lọc cột YTM &gt;= 3% hoặc XH = AAA</t>
        </is>
      </c>
      <c r="C43" s="965" t="n"/>
      <c r="D43" s="965" t="n"/>
      <c r="E43" s="965" t="n"/>
      <c r="F43" s="966" t="n"/>
      <c r="G43" s="1048" t="inlineStr">
        <is>
          <t>Mở 🏦 Trái Phiếu VN 🔍 → Lọc cột YTM &gt;= 3% hoặc XH = AAA</t>
        </is>
      </c>
      <c r="H43" s="965" t="n"/>
      <c r="I43" s="965" t="n"/>
      <c r="J43" s="966" t="n"/>
      <c r="K43" s="1046" t="inlineStr">
        <is>
          <t>Kết hợp: YTM cao + Xếp hạng tốt = trái phiếu tốt</t>
        </is>
      </c>
      <c r="L43" s="965" t="n"/>
      <c r="M43" s="966" t="n"/>
    </row>
    <row r="44" ht="21.75" customHeight="1" s="981">
      <c r="A44" s="310" t="inlineStr">
        <is>
          <t>BƯỚC 4 — So sánh cổ phiếu TG</t>
        </is>
      </c>
      <c r="B44" s="1053" t="inlineStr">
        <is>
          <t>Mở 🌐 Cổ Phiếu TG 🔍 → Lọc P/E &lt;= 20 và ROE &gt;= 15%</t>
        </is>
      </c>
      <c r="C44" s="965" t="n"/>
      <c r="D44" s="965" t="n"/>
      <c r="E44" s="965" t="n"/>
      <c r="F44" s="966" t="n"/>
      <c r="G44" s="1053" t="inlineStr">
        <is>
          <t>Mở 🌐 Cổ Phiếu TG 🔍 → Lọc P/E &lt;= 20 và ROE &gt;= 15%</t>
        </is>
      </c>
      <c r="H44" s="965" t="n"/>
      <c r="I44" s="965" t="n"/>
      <c r="J44" s="966" t="n"/>
      <c r="K44" s="1051" t="inlineStr">
        <is>
          <t>Nhận biết mã TG nào đang rẻ so với lịch sử</t>
        </is>
      </c>
      <c r="L44" s="965" t="n"/>
      <c r="M44" s="966" t="n"/>
    </row>
    <row r="45" ht="21.75" customHeight="1" s="981">
      <c r="A45" s="309" t="inlineStr">
        <is>
          <t>BƯỚC 5 — Quyết định phân bổ</t>
        </is>
      </c>
      <c r="B45" s="1048" t="inlineStr">
        <is>
          <t>Dùng tín hiệu: MUA MẠNH → DCA | MUA → Chờ giá tốt hơn | GIỮ → Không mua thêm</t>
        </is>
      </c>
      <c r="C45" s="965" t="n"/>
      <c r="D45" s="965" t="n"/>
      <c r="E45" s="965" t="n"/>
      <c r="F45" s="966" t="n"/>
      <c r="G45" s="1048" t="inlineStr">
        <is>
          <t>Dùng tín hiệu: MUA MẠNH → DCA | MUA → Chờ giá tốt hơn | GIỮ → Không mua thêm</t>
        </is>
      </c>
      <c r="H45" s="965" t="n"/>
      <c r="I45" s="965" t="n"/>
      <c r="J45" s="966" t="n"/>
      <c r="K45" s="1046" t="inlineStr">
        <is>
          <t>Tham chiếu sheet 🌍 Vĩ Mô để kiểm tra môi trường</t>
        </is>
      </c>
      <c r="L45" s="965" t="n"/>
      <c r="M45" s="966" t="n"/>
    </row>
    <row r="46" ht="15" customHeight="1" s="981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  <c r="M46" s="1050" t="n"/>
    </row>
    <row r="47" ht="15" customHeight="1" s="981">
      <c r="A47" s="1050" t="n"/>
      <c r="B47" s="1050" t="n"/>
      <c r="C47" s="1050" t="n"/>
      <c r="D47" s="1050" t="n"/>
      <c r="E47" s="1050" t="n"/>
      <c r="F47" s="1050" t="n"/>
      <c r="G47" s="1050" t="n"/>
      <c r="H47" s="1050" t="n"/>
      <c r="I47" s="1050" t="n"/>
      <c r="J47" s="1050" t="n"/>
      <c r="K47" s="1050" t="n"/>
      <c r="L47" s="1050" t="n"/>
      <c r="M47" s="1050" t="n"/>
    </row>
    <row r="48" ht="13.5" customHeight="1" s="981">
      <c r="A48" s="1045" t="inlineStr">
        <is>
          <t>📊 BỘ LỌC NÂNG CAO v17 — 3 TIÊU CHÍ MỚI</t>
        </is>
      </c>
      <c r="B48" s="965" t="n"/>
      <c r="C48" s="965" t="n"/>
      <c r="D48" s="965" t="n"/>
      <c r="E48" s="965" t="n"/>
      <c r="F48" s="966" t="n"/>
      <c r="G48" s="1050" t="n"/>
      <c r="H48" s="1050" t="n"/>
      <c r="I48" s="1050" t="n"/>
      <c r="J48" s="1050" t="n"/>
      <c r="K48" s="1050" t="n"/>
      <c r="L48" s="1050" t="n"/>
      <c r="M48" s="1050" t="n"/>
    </row>
    <row r="49" ht="15" customHeight="1" s="981">
      <c r="A49" s="1050" t="n"/>
      <c r="B49" s="1050" t="n"/>
      <c r="C49" s="1050" t="n"/>
      <c r="D49" s="1050" t="n"/>
      <c r="E49" s="1050" t="n"/>
      <c r="F49" s="1050" t="n"/>
      <c r="G49" s="1050" t="n"/>
      <c r="H49" s="1050" t="n"/>
      <c r="I49" s="1050" t="n"/>
      <c r="J49" s="1050" t="n"/>
      <c r="K49" s="1050" t="n"/>
      <c r="L49" s="1050" t="n"/>
      <c r="M49" s="1050" t="n"/>
    </row>
    <row r="50" ht="23.25" customHeight="1" s="981">
      <c r="A50" s="4" t="inlineStr">
        <is>
          <t>1</t>
        </is>
      </c>
      <c r="B50" s="974" t="inlineStr">
        <is>
          <t>Graham Price Filter</t>
        </is>
      </c>
      <c r="C50" s="964" t="inlineStr">
        <is>
          <t>Chỉ mua khi Giá TT &lt; Graham Price</t>
        </is>
      </c>
      <c r="D50" s="964" t="inlineStr">
        <is>
          <t>Cột Y: Graham Price(₫)</t>
        </is>
      </c>
      <c r="E50" s="964" t="inlineStr">
        <is>
          <t>Xem sheet CP VN cột Y</t>
        </is>
      </c>
      <c r="F50" s="312" t="inlineStr">
        <is>
          <t>🟢 Áp dụng được</t>
        </is>
      </c>
      <c r="G50" s="1050" t="n"/>
      <c r="H50" s="1050" t="n"/>
      <c r="I50" s="1050" t="n"/>
      <c r="J50" s="1050" t="n"/>
      <c r="K50" s="1050" t="n"/>
      <c r="L50" s="1050" t="n"/>
      <c r="M50" s="1050" t="n"/>
    </row>
    <row r="51" ht="34.5" customHeight="1" s="981">
      <c r="A51" s="4" t="inlineStr">
        <is>
          <t>2</t>
        </is>
      </c>
      <c r="B51" s="974" t="inlineStr">
        <is>
          <t>EPS Growth Filter</t>
        </is>
      </c>
      <c r="C51" s="964" t="inlineStr">
        <is>
          <t>Chọn mã có EPS tăng trưởng ≥ 15%/năm</t>
        </is>
      </c>
      <c r="D51" s="964" t="inlineStr">
        <is>
          <t>Cột Z: EPS Growth%</t>
        </is>
      </c>
      <c r="E51" s="964" t="inlineStr">
        <is>
          <t>Green = ≥15%, Yellow = 8-15%, Red = &lt;8%</t>
        </is>
      </c>
      <c r="F51" s="312" t="inlineStr">
        <is>
          <t>🟢 Áp dụng được</t>
        </is>
      </c>
      <c r="G51" s="1050" t="n"/>
      <c r="H51" s="1050" t="n"/>
      <c r="I51" s="1050" t="n"/>
      <c r="J51" s="1050" t="n"/>
      <c r="K51" s="1050" t="n"/>
      <c r="L51" s="1050" t="n"/>
      <c r="M51" s="1050" t="n"/>
    </row>
    <row r="52" ht="34.5" customHeight="1" s="981">
      <c r="A52" s="4" t="inlineStr">
        <is>
          <t>3</t>
        </is>
      </c>
      <c r="B52" s="974" t="inlineStr">
        <is>
          <t>Dividend Consistency</t>
        </is>
      </c>
      <c r="C52" s="964" t="inlineStr">
        <is>
          <t>Ưu tiên mã trả cổ tức ≥ 5 năm liên tiếp</t>
        </is>
      </c>
      <c r="D52" s="964" t="inlineStr">
        <is>
          <t>Cột AA: Năm trả CT</t>
        </is>
      </c>
      <c r="E52" s="964" t="inlineStr">
        <is>
          <t>Green = ≥5 năm → thu nhập bền vững</t>
        </is>
      </c>
      <c r="F52" s="312" t="inlineStr">
        <is>
          <t>🟢 Áp dụng được</t>
        </is>
      </c>
      <c r="G52" s="1050" t="n"/>
      <c r="H52" s="1050" t="n"/>
      <c r="I52" s="1050" t="n"/>
      <c r="J52" s="1050" t="n"/>
      <c r="K52" s="1050" t="n"/>
      <c r="L52" s="1050" t="n"/>
      <c r="M52" s="1050" t="n"/>
    </row>
    <row r="53" ht="23.25" customHeight="1" s="981">
      <c r="A53" s="4" t="inlineStr">
        <is>
          <t>4</t>
        </is>
      </c>
      <c r="B53" s="974" t="inlineStr">
        <is>
          <t>ESG Score ≥ 70</t>
        </is>
      </c>
      <c r="C53" s="964" t="inlineStr">
        <is>
          <t>Loại mã có lãnh đạo thiếu đạo đức</t>
        </is>
      </c>
      <c r="D53" s="964" t="inlineStr">
        <is>
          <t>Cột Z: ESG (0-100)</t>
        </is>
      </c>
      <c r="E53" s="964" t="inlineStr">
        <is>
          <t>≥70 = Đạo đức | &lt;50 = Cảnh báo</t>
        </is>
      </c>
      <c r="F53" s="312" t="inlineStr">
        <is>
          <t>🟢 Áp dụng được</t>
        </is>
      </c>
      <c r="G53" s="1050" t="n"/>
      <c r="H53" s="1050" t="n"/>
      <c r="I53" s="1050" t="n"/>
      <c r="J53" s="1050" t="n"/>
      <c r="K53" s="1050" t="n"/>
      <c r="L53" s="1050" t="n"/>
      <c r="M53" s="1050" t="n"/>
    </row>
    <row r="54" ht="34.5" customHeight="1" s="981">
      <c r="A54" s="4" t="inlineStr">
        <is>
          <t>5</t>
        </is>
      </c>
      <c r="B54" s="974" t="inlineStr">
        <is>
          <t>Peer Comparison</t>
        </is>
      </c>
      <c r="C54" s="964" t="inlineStr">
        <is>
          <t>So sánh P/E, ROE với ngành trước khi quyết định</t>
        </is>
      </c>
      <c r="D54" s="964" t="inlineStr">
        <is>
          <t>Sheet TRA CỨU MÃ</t>
        </is>
      </c>
      <c r="E54" s="964" t="inlineStr">
        <is>
          <t>Section mới: So sánh ngang hàng</t>
        </is>
      </c>
      <c r="F54" s="312" t="inlineStr">
        <is>
          <t>🟢 Mới v17</t>
        </is>
      </c>
      <c r="G54" s="1050" t="n"/>
      <c r="H54" s="1050" t="n"/>
      <c r="I54" s="1050" t="n"/>
      <c r="J54" s="1050" t="n"/>
      <c r="K54" s="1050" t="n"/>
      <c r="L54" s="1050" t="n"/>
      <c r="M54" s="1050" t="n"/>
    </row>
  </sheetData>
  <autoFilter ref="A4:M45"/>
  <mergeCells count="26">
    <mergeCell ref="K41:M41"/>
    <mergeCell ref="A23:M23"/>
    <mergeCell ref="K44:M44"/>
    <mergeCell ref="K43:M43"/>
    <mergeCell ref="G41:J41"/>
    <mergeCell ref="G44:J44"/>
    <mergeCell ref="B43:F43"/>
    <mergeCell ref="K42:M42"/>
    <mergeCell ref="A25:A26"/>
    <mergeCell ref="B42:F42"/>
    <mergeCell ref="A40:M40"/>
    <mergeCell ref="G43:J43"/>
    <mergeCell ref="A24:M24"/>
    <mergeCell ref="G42:J42"/>
    <mergeCell ref="B44:F44"/>
    <mergeCell ref="A1:M1"/>
    <mergeCell ref="A4:A5"/>
    <mergeCell ref="G4:M5"/>
    <mergeCell ref="A48:F48"/>
    <mergeCell ref="F25:M26"/>
    <mergeCell ref="K45:M45"/>
    <mergeCell ref="A3:M3"/>
    <mergeCell ref="B45:F45"/>
    <mergeCell ref="A2:M2"/>
    <mergeCell ref="B41:F41"/>
    <mergeCell ref="G45:J4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6" customWidth="1" style="981" min="1" max="1"/>
    <col width="14" customWidth="1" style="981" min="2" max="2"/>
    <col width="8" customWidth="1" style="981" min="3" max="3"/>
    <col width="12" customWidth="1" style="981" min="4" max="4"/>
    <col width="14" customWidth="1" style="981" min="6" max="6"/>
    <col width="9" customWidth="1" style="981" min="8" max="8"/>
    <col width="8" customWidth="1" style="981" min="9" max="9"/>
    <col width="7" customWidth="1" style="981" min="10" max="10"/>
    <col width="10" customWidth="1" style="981" min="11" max="11"/>
    <col width="9" customWidth="1" style="981" min="13" max="13"/>
    <col width="12" customWidth="1" style="981" min="14" max="14"/>
    <col width="8" customWidth="1" style="981" min="15" max="15"/>
    <col width="10" customWidth="1" style="981" min="17" max="17"/>
    <col width="14" customWidth="1" style="981" min="18" max="18"/>
    <col width="9" customWidth="1" style="981" min="19" max="19"/>
    <col width="14" customWidth="1" style="981" min="20" max="20"/>
  </cols>
  <sheetData>
    <row r="1" ht="37.5" customHeight="1" s="981">
      <c r="A1" s="1058" t="inlineStr">
        <is>
          <t>📊 DASHBOARD CÁ NHÂN — Tự động tính lãi/lỗ · Sharpe · Sortino · Beta · Jensen Alpha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5" t="n"/>
      <c r="Q1" s="965" t="n"/>
      <c r="R1" s="965" t="n"/>
      <c r="S1" s="965" t="n"/>
      <c r="T1" s="966" t="n"/>
    </row>
    <row r="2" ht="21.75" customHeight="1" s="981">
      <c r="A2" s="1062" t="inlineStr">
        <is>
          <t>? Nhap so CP dang nam + gia von =&gt; tat ca tu tinh | Q2 2026 | BCTC Q1/2026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5" t="n"/>
      <c r="N2" s="965" t="n"/>
      <c r="O2" s="965" t="n"/>
      <c r="P2" s="965" t="n"/>
      <c r="Q2" s="965" t="n"/>
      <c r="R2" s="965" t="n"/>
      <c r="S2" s="965" t="n"/>
      <c r="T2" s="966" t="n"/>
    </row>
    <row r="3" ht="54.75" customHeight="1" s="981">
      <c r="A3" s="1063" t="inlineStr">
        <is>
          <t>💰 Tổng GT
Danh mục</t>
        </is>
      </c>
      <c r="B3" s="966" t="n"/>
      <c r="C3" s="1063" t="inlineStr">
        <is>
          <t>📈 Tổng
Lãi/Lỗ</t>
        </is>
      </c>
      <c r="D3" s="966" t="n"/>
      <c r="E3" s="1063" t="inlineStr">
        <is>
          <t>📊 % Return
Toàn DM</t>
        </is>
      </c>
      <c r="F3" s="966" t="n"/>
      <c r="G3" s="1063" t="inlineStr">
        <is>
          <t>💵 Cổ tức
/năm</t>
        </is>
      </c>
      <c r="H3" s="966" t="n"/>
      <c r="I3" s="1063" t="inlineStr">
        <is>
          <t>💸 CT/tháng
Thu động</t>
        </is>
      </c>
      <c r="J3" s="966" t="n"/>
      <c r="K3" s="1063" t="inlineStr">
        <is>
          <t>🏦 Tổng nợ
Margin</t>
        </is>
      </c>
      <c r="L3" s="966" t="n"/>
      <c r="M3" s="1063" t="inlineStr">
        <is>
          <t>🧮 Vốn
Tự có</t>
        </is>
      </c>
      <c r="N3" s="966" t="n"/>
      <c r="O3" s="1063" t="inlineStr">
        <is>
          <t>📉 Beta
Danh mục</t>
        </is>
      </c>
      <c r="P3" s="966" t="n"/>
      <c r="Q3" s="1050" t="n"/>
      <c r="R3" s="1050" t="n"/>
      <c r="S3" s="1050" t="n"/>
      <c r="T3" s="1050" t="n"/>
    </row>
    <row r="4" ht="30" customHeight="1" s="981">
      <c r="A4" s="1056" t="n"/>
      <c r="B4" s="966" t="n"/>
      <c r="C4" s="1056" t="n"/>
      <c r="D4" s="966" t="n"/>
      <c r="E4" s="1056" t="n"/>
      <c r="F4" s="966" t="n"/>
      <c r="G4" s="1056" t="n"/>
      <c r="H4" s="966" t="n"/>
      <c r="I4" s="1056" t="n"/>
      <c r="J4" s="966" t="n"/>
      <c r="K4" s="1056" t="n"/>
      <c r="L4" s="966" t="n"/>
      <c r="M4" s="1056" t="n"/>
      <c r="N4" s="966" t="n"/>
      <c r="O4" s="1056" t="n"/>
      <c r="P4" s="966" t="n"/>
      <c r="Q4" s="1050" t="n"/>
      <c r="R4" s="1050" t="n"/>
      <c r="S4" s="1050" t="n"/>
      <c r="T4" s="1050" t="n"/>
    </row>
    <row r="5" ht="30" customHeight="1" s="981">
      <c r="A5" s="1057" t="inlineStr">
        <is>
          <t>📐 RISK-ADJUSTED METRICS (tự động từ Performance sheet)</t>
        </is>
      </c>
      <c r="B5" s="965" t="n"/>
      <c r="C5" s="965" t="n"/>
      <c r="D5" s="966" t="n"/>
      <c r="E5" s="1050" t="n"/>
      <c r="F5" s="1050" t="n"/>
      <c r="G5" s="1050" t="n"/>
      <c r="H5" s="1050" t="n"/>
      <c r="I5" s="1050" t="n"/>
      <c r="J5" s="1050" t="n"/>
      <c r="K5" s="1050" t="n"/>
      <c r="L5" s="1050" t="n"/>
      <c r="M5" s="1050" t="n"/>
      <c r="N5" s="1050" t="n"/>
      <c r="O5" s="1050" t="n"/>
      <c r="P5" s="1050" t="n"/>
      <c r="Q5" s="1050" t="n"/>
      <c r="R5" s="1050" t="n"/>
      <c r="S5" s="1050" t="n"/>
      <c r="T5" s="1050" t="n"/>
    </row>
    <row r="6" ht="21.75" customHeight="1" s="981">
      <c r="A6" s="1061" t="inlineStr">
        <is>
          <t>Sharpe Ratio</t>
        </is>
      </c>
      <c r="B6" s="965" t="n"/>
      <c r="C6" s="965" t="n"/>
      <c r="D6" s="965" t="n"/>
      <c r="E6" s="966" t="n"/>
      <c r="F6" s="1061" t="inlineStr">
        <is>
          <t>Sortino Ratio</t>
        </is>
      </c>
      <c r="G6" s="965" t="n"/>
      <c r="H6" s="965" t="n"/>
      <c r="I6" s="965" t="n"/>
      <c r="J6" s="966" t="n"/>
      <c r="K6" s="1061" t="inlineStr">
        <is>
          <t>Jensen Alpha</t>
        </is>
      </c>
      <c r="L6" s="965" t="n"/>
      <c r="M6" s="965" t="n"/>
      <c r="N6" s="965" t="n"/>
      <c r="O6" s="966" t="n"/>
      <c r="P6" s="1061" t="inlineStr">
        <is>
          <t>Max Drawdown</t>
        </is>
      </c>
      <c r="Q6" s="965" t="n"/>
      <c r="R6" s="965" t="n"/>
      <c r="S6" s="965" t="n"/>
      <c r="T6" s="966" t="n"/>
    </row>
    <row r="7" ht="27.75" customHeight="1" s="981">
      <c r="A7" s="1059" t="n"/>
      <c r="B7" s="965" t="n"/>
      <c r="C7" s="965" t="n"/>
      <c r="D7" s="965" t="n"/>
      <c r="E7" s="966" t="n"/>
      <c r="F7" s="1059" t="n"/>
      <c r="G7" s="965" t="n"/>
      <c r="H7" s="965" t="n"/>
      <c r="I7" s="965" t="n"/>
      <c r="J7" s="966" t="n"/>
      <c r="K7" s="1059" t="n"/>
      <c r="L7" s="965" t="n"/>
      <c r="M7" s="965" t="n"/>
      <c r="N7" s="965" t="n"/>
      <c r="O7" s="966" t="n"/>
      <c r="P7" s="1059" t="n"/>
      <c r="Q7" s="965" t="n"/>
      <c r="R7" s="965" t="n"/>
      <c r="S7" s="965" t="n"/>
      <c r="T7" s="966" t="n"/>
    </row>
    <row r="8" ht="34.5" customHeight="1" s="981">
      <c r="A8" s="1065" t="inlineStr">
        <is>
          <t>🎯 SCORECARD TOÀN DANH MỤC — Nhập số CP + Giá vốn ở sheet "HỆ THỐNG QUẢN LÝ"</t>
        </is>
      </c>
      <c r="B8" s="965" t="n"/>
      <c r="C8" s="965" t="n"/>
      <c r="D8" s="965" t="n"/>
      <c r="E8" s="965" t="n"/>
      <c r="F8" s="965" t="n"/>
      <c r="G8" s="965" t="n"/>
      <c r="H8" s="965" t="n"/>
      <c r="I8" s="965" t="n"/>
      <c r="J8" s="965" t="n"/>
      <c r="K8" s="965" t="n"/>
      <c r="L8" s="965" t="n"/>
      <c r="M8" s="965" t="n"/>
      <c r="N8" s="965" t="n"/>
      <c r="O8" s="965" t="n"/>
      <c r="P8" s="965" t="n"/>
      <c r="Q8" s="965" t="n"/>
      <c r="R8" s="965" t="n"/>
      <c r="S8" s="965" t="n"/>
      <c r="T8" s="966" t="n"/>
    </row>
    <row r="9" ht="21.75" customHeight="1" s="981">
      <c r="A9" s="314" t="inlineStr">
        <is>
          <t>Mã CP</t>
        </is>
      </c>
      <c r="B9" s="314" t="inlineStr">
        <is>
          <t>Ngành</t>
        </is>
      </c>
      <c r="C9" s="314" t="inlineStr">
        <is>
          <t>Số CP
nắm</t>
        </is>
      </c>
      <c r="D9" s="314" t="inlineStr">
        <is>
          <t>Giá vốn
TB</t>
        </is>
      </c>
      <c r="E9" s="314" t="inlineStr">
        <is>
          <t>Giá TT
(Auto)</t>
        </is>
      </c>
      <c r="F9" s="314" t="inlineStr">
        <is>
          <t>GT
hiện tại</t>
        </is>
      </c>
      <c r="G9" s="314" t="inlineStr">
        <is>
          <t>Lãi/Lỗ
(đ)</t>
        </is>
      </c>
      <c r="H9" s="314" t="inlineStr">
        <is>
          <t>% L/L</t>
        </is>
      </c>
      <c r="I9" s="314" t="inlineStr">
        <is>
          <t>ROE</t>
        </is>
      </c>
      <c r="J9" s="314" t="inlineStr">
        <is>
          <t>P/E</t>
        </is>
      </c>
      <c r="K9" s="314" t="inlineStr">
        <is>
          <t>Tỷ trọng
thực tế</t>
        </is>
      </c>
      <c r="L9" s="314" t="inlineStr">
        <is>
          <t>Tỷ trọng
mục tiêu</t>
        </is>
      </c>
      <c r="M9" s="314" t="inlineStr">
        <is>
          <t>Chênh
lệch</t>
        </is>
      </c>
      <c r="N9" s="314" t="inlineStr">
        <is>
          <t>Tín hiệu
AI</t>
        </is>
      </c>
      <c r="O9" s="314" t="inlineStr">
        <is>
          <t>Điểm
TH</t>
        </is>
      </c>
      <c r="P9" s="314" t="inlineStr">
        <is>
          <t>Xếp
hạng</t>
        </is>
      </c>
      <c r="Q9" s="314" t="inlineStr">
        <is>
          <t>Cổ tức
/CP</t>
        </is>
      </c>
      <c r="R9" s="314" t="inlineStr">
        <is>
          <t>Hành
động</t>
        </is>
      </c>
      <c r="S9" s="314" t="inlineStr">
        <is>
          <t>VaR
1 ngày</t>
        </is>
      </c>
      <c r="T9" s="314" t="inlineStr">
        <is>
          <t>🚦 Status</t>
        </is>
      </c>
    </row>
    <row r="10" ht="24" customHeight="1" s="981">
      <c r="A10" s="315" t="inlineStr">
        <is>
          <t>FPT</t>
        </is>
      </c>
      <c r="B10" s="316" t="n"/>
      <c r="C10" s="317" t="n">
        <v>200</v>
      </c>
      <c r="D10" s="317" t="n">
        <v>62500</v>
      </c>
      <c r="E10" s="318" t="n">
        <v>71900</v>
      </c>
      <c r="F10" s="317" t="n">
        <v>14380000</v>
      </c>
      <c r="G10" s="319" t="n">
        <v>1880000</v>
      </c>
      <c r="H10" s="319" t="n">
        <v>0.1504</v>
      </c>
      <c r="I10" s="317" t="n">
        <v>0.242</v>
      </c>
      <c r="J10" s="317" t="n">
        <v>16</v>
      </c>
      <c r="K10" s="317" t="n">
        <v>0.1445</v>
      </c>
      <c r="L10" s="318" t="n">
        <v>0.125</v>
      </c>
      <c r="M10" s="320" t="n">
        <v>0.0195</v>
      </c>
      <c r="N10" s="321" t="inlineStr">
        <is>
          <t>🟢 MUA</t>
        </is>
      </c>
      <c r="O10" s="322" t="n">
        <v>90</v>
      </c>
      <c r="P10" s="323" t="inlineStr">
        <is>
          <t>⭐</t>
        </is>
      </c>
      <c r="Q10" s="317" t="n">
        <v>450000</v>
      </c>
      <c r="R10" s="324" t="inlineStr">
        <is>
          <t>Giữ nguyên</t>
        </is>
      </c>
      <c r="S10" s="325" t="n">
        <v>-1294</v>
      </c>
      <c r="T10" s="321" t="inlineStr">
        <is>
          <t>🟢 OK</t>
        </is>
      </c>
    </row>
    <row r="11" ht="24" customHeight="1" s="981">
      <c r="A11" s="326" t="inlineStr">
        <is>
          <t>MBB</t>
        </is>
      </c>
      <c r="B11" s="327" t="n"/>
      <c r="C11" s="328" t="n">
        <v>500</v>
      </c>
      <c r="D11" s="328" t="n">
        <v>22000</v>
      </c>
      <c r="E11" s="318" t="n">
        <v>26150</v>
      </c>
      <c r="F11" s="328" t="n">
        <v>13075000</v>
      </c>
      <c r="G11" s="319" t="n">
        <v>2075000</v>
      </c>
      <c r="H11" s="319" t="n">
        <v>0.1886</v>
      </c>
      <c r="I11" s="328" t="n">
        <v>0.221</v>
      </c>
      <c r="J11" s="328" t="n">
        <v>6.4</v>
      </c>
      <c r="K11" s="328" t="n">
        <v>0.1314</v>
      </c>
      <c r="L11" s="318" t="n">
        <v>0.125</v>
      </c>
      <c r="M11" s="320" t="n">
        <v>0.0064</v>
      </c>
      <c r="N11" s="321" t="inlineStr">
        <is>
          <t>🟢 MUA</t>
        </is>
      </c>
      <c r="O11" s="322" t="n">
        <v>110</v>
      </c>
      <c r="P11" s="329" t="inlineStr">
        <is>
          <t>⭐</t>
        </is>
      </c>
      <c r="Q11" s="328" t="n">
        <v>550000</v>
      </c>
      <c r="R11" s="324" t="inlineStr">
        <is>
          <t>Giữ nguyên</t>
        </is>
      </c>
      <c r="S11" s="325" t="n">
        <v>-549</v>
      </c>
      <c r="T11" s="321" t="inlineStr">
        <is>
          <t>🟢 OK</t>
        </is>
      </c>
    </row>
    <row r="12" ht="24" customHeight="1" s="981">
      <c r="A12" s="315" t="inlineStr">
        <is>
          <t>VCB</t>
        </is>
      </c>
      <c r="B12" s="316" t="n"/>
      <c r="C12" s="317" t="n">
        <v>100</v>
      </c>
      <c r="D12" s="317" t="n">
        <v>55000</v>
      </c>
      <c r="E12" s="318" t="n">
        <v>60700</v>
      </c>
      <c r="F12" s="317" t="n">
        <v>6070000</v>
      </c>
      <c r="G12" s="319" t="n">
        <v>570000</v>
      </c>
      <c r="H12" s="319" t="n">
        <v>0.1036</v>
      </c>
      <c r="I12" s="317" t="n">
        <v>0.175</v>
      </c>
      <c r="J12" s="317" t="n">
        <v>14</v>
      </c>
      <c r="K12" s="317" t="n">
        <v>0.061</v>
      </c>
      <c r="L12" s="318" t="n">
        <v>0.125</v>
      </c>
      <c r="M12" s="330" t="n">
        <v>-0.064</v>
      </c>
      <c r="N12" s="331" t="inlineStr">
        <is>
          <t>🟡 GIỮ</t>
        </is>
      </c>
      <c r="O12" s="322" t="n">
        <v>72</v>
      </c>
      <c r="P12" s="323" t="inlineStr">
        <is>
          <t>A</t>
        </is>
      </c>
      <c r="Q12" s="317" t="n">
        <v>110000</v>
      </c>
      <c r="R12" s="332" t="inlineStr">
        <is>
          <t>Tích lũy thêm</t>
        </is>
      </c>
      <c r="S12" s="325" t="n">
        <v>-850</v>
      </c>
      <c r="T12" s="321" t="inlineStr">
        <is>
          <t>🟢 OK</t>
        </is>
      </c>
    </row>
    <row r="13" ht="24" customHeight="1" s="981">
      <c r="A13" s="326" t="inlineStr">
        <is>
          <t>CTR</t>
        </is>
      </c>
      <c r="B13" s="327" t="n"/>
      <c r="C13" s="328" t="n">
        <v>120</v>
      </c>
      <c r="D13" s="328" t="n">
        <v>68000</v>
      </c>
      <c r="E13" s="318" t="n">
        <v>83400</v>
      </c>
      <c r="F13" s="328" t="n">
        <v>10008000</v>
      </c>
      <c r="G13" s="319" t="n">
        <v>1848000</v>
      </c>
      <c r="H13" s="319" t="n">
        <v>0.2265</v>
      </c>
      <c r="I13" s="328" t="n">
        <v>0.228</v>
      </c>
      <c r="J13" s="328" t="n">
        <v>22.5</v>
      </c>
      <c r="K13" s="328" t="n">
        <v>0.1006</v>
      </c>
      <c r="L13" s="318" t="n">
        <v>0.125</v>
      </c>
      <c r="M13" s="333" t="n">
        <v>-0.0244</v>
      </c>
      <c r="N13" s="321" t="inlineStr">
        <is>
          <t>🟢 MUA</t>
        </is>
      </c>
      <c r="O13" s="322" t="n">
        <v>79</v>
      </c>
      <c r="P13" s="329" t="inlineStr">
        <is>
          <t>A</t>
        </is>
      </c>
      <c r="Q13" s="328" t="n">
        <v>240000</v>
      </c>
      <c r="R13" s="324" t="inlineStr">
        <is>
          <t>Giữ nguyên</t>
        </is>
      </c>
      <c r="S13" s="325" t="n">
        <v>-1835</v>
      </c>
      <c r="T13" s="321" t="inlineStr">
        <is>
          <t>🟢 OK</t>
        </is>
      </c>
    </row>
    <row r="14" ht="24" customHeight="1" s="981">
      <c r="A14" s="315" t="inlineStr">
        <is>
          <t>MWG</t>
        </is>
      </c>
      <c r="B14" s="316" t="n"/>
      <c r="C14" s="317" t="n">
        <v>100</v>
      </c>
      <c r="D14" s="317" t="n">
        <v>75000</v>
      </c>
      <c r="E14" s="318" t="n">
        <v>84600</v>
      </c>
      <c r="F14" s="317" t="n">
        <v>8460000</v>
      </c>
      <c r="G14" s="319" t="n">
        <v>960000</v>
      </c>
      <c r="H14" s="319" t="n">
        <v>0.128</v>
      </c>
      <c r="I14" s="317" t="n">
        <v>0.22</v>
      </c>
      <c r="J14" s="317" t="n">
        <v>17.7</v>
      </c>
      <c r="K14" s="317" t="n">
        <v>0.08500000000000001</v>
      </c>
      <c r="L14" s="318" t="n">
        <v>0.125</v>
      </c>
      <c r="M14" s="334" t="n">
        <v>-0.04</v>
      </c>
      <c r="N14" s="321" t="inlineStr">
        <is>
          <t>🟢 MUA</t>
        </is>
      </c>
      <c r="O14" s="322" t="n">
        <v>80</v>
      </c>
      <c r="P14" s="323" t="inlineStr">
        <is>
          <t>⭐</t>
        </is>
      </c>
      <c r="Q14" s="317" t="n">
        <v>0</v>
      </c>
      <c r="R14" s="332" t="inlineStr">
        <is>
          <t>Tích lũy thêm</t>
        </is>
      </c>
      <c r="S14" s="325" t="n">
        <v>-2115</v>
      </c>
      <c r="T14" s="321" t="inlineStr">
        <is>
          <t>🟢 OK</t>
        </is>
      </c>
    </row>
    <row r="15" ht="24" customHeight="1" s="981">
      <c r="A15" s="326" t="inlineStr">
        <is>
          <t>HPG</t>
        </is>
      </c>
      <c r="B15" s="327" t="n"/>
      <c r="C15" s="328" t="n">
        <v>600</v>
      </c>
      <c r="D15" s="328" t="n">
        <v>24000</v>
      </c>
      <c r="E15" s="318" t="n">
        <v>27850</v>
      </c>
      <c r="F15" s="328" t="n">
        <v>16710000</v>
      </c>
      <c r="G15" s="319" t="n">
        <v>2310000</v>
      </c>
      <c r="H15" s="319" t="n">
        <v>0.1604</v>
      </c>
      <c r="I15" s="328" t="n">
        <v>0.138</v>
      </c>
      <c r="J15" s="328" t="n">
        <v>13.7</v>
      </c>
      <c r="K15" s="328" t="n">
        <v>0.168</v>
      </c>
      <c r="L15" s="318" t="n">
        <v>0.125</v>
      </c>
      <c r="M15" s="335" t="n">
        <v>0.043</v>
      </c>
      <c r="N15" s="331" t="inlineStr">
        <is>
          <t>🟡 GIỮ</t>
        </is>
      </c>
      <c r="O15" s="322" t="n">
        <v>64</v>
      </c>
      <c r="P15" s="329" t="inlineStr">
        <is>
          <t>B</t>
        </is>
      </c>
      <c r="Q15" s="328" t="n">
        <v>0</v>
      </c>
      <c r="R15" s="324" t="inlineStr">
        <is>
          <t>Giữ nguyên</t>
        </is>
      </c>
      <c r="S15" s="325" t="n">
        <v>-780</v>
      </c>
      <c r="T15" s="321" t="inlineStr">
        <is>
          <t>🟢 OK</t>
        </is>
      </c>
    </row>
    <row r="16" ht="24" customHeight="1" s="981">
      <c r="A16" s="315" t="inlineStr">
        <is>
          <t>VNM</t>
        </is>
      </c>
      <c r="B16" s="316" t="n"/>
      <c r="C16" s="317" t="n">
        <v>200</v>
      </c>
      <c r="D16" s="317" t="n">
        <v>58000</v>
      </c>
      <c r="E16" s="318" t="n">
        <v>60900</v>
      </c>
      <c r="F16" s="317" t="n">
        <v>12180000</v>
      </c>
      <c r="G16" s="319" t="n">
        <v>580000</v>
      </c>
      <c r="H16" s="335" t="n">
        <v>0.05</v>
      </c>
      <c r="I16" s="317" t="n">
        <v>0.275</v>
      </c>
      <c r="J16" s="317" t="n">
        <v>14.7</v>
      </c>
      <c r="K16" s="317" t="n">
        <v>0.1224</v>
      </c>
      <c r="L16" s="318" t="n">
        <v>0.125</v>
      </c>
      <c r="M16" s="333" t="n">
        <v>-0.0026</v>
      </c>
      <c r="N16" s="321" t="inlineStr">
        <is>
          <t>🟢 MUA</t>
        </is>
      </c>
      <c r="O16" s="322" t="n">
        <v>95</v>
      </c>
      <c r="P16" s="323" t="inlineStr">
        <is>
          <t>⭐</t>
        </is>
      </c>
      <c r="Q16" s="317" t="n">
        <v>670000</v>
      </c>
      <c r="R16" s="324" t="inlineStr">
        <is>
          <t>Giữ nguyên</t>
        </is>
      </c>
      <c r="S16" s="325" t="n">
        <v>-731</v>
      </c>
      <c r="T16" s="331" t="inlineStr">
        <is>
          <t>🟡 Watch</t>
        </is>
      </c>
    </row>
    <row r="17" ht="24" customHeight="1" s="981">
      <c r="A17" s="326" t="inlineStr">
        <is>
          <t>VIX</t>
        </is>
      </c>
      <c r="B17" s="327" t="n"/>
      <c r="C17" s="328" t="n">
        <v>1000</v>
      </c>
      <c r="D17" s="328" t="n">
        <v>14500</v>
      </c>
      <c r="E17" s="318" t="n">
        <v>18600</v>
      </c>
      <c r="F17" s="328" t="n">
        <v>18600000</v>
      </c>
      <c r="G17" s="319" t="n">
        <v>4100000</v>
      </c>
      <c r="H17" s="319" t="n">
        <v>0.2828</v>
      </c>
      <c r="I17" s="328" t="n">
        <v>0.145</v>
      </c>
      <c r="J17" s="328" t="n">
        <v>12</v>
      </c>
      <c r="K17" s="328" t="n">
        <v>0.187</v>
      </c>
      <c r="L17" s="318" t="n">
        <v>0.125</v>
      </c>
      <c r="M17" s="336" t="n">
        <v>0.062</v>
      </c>
      <c r="N17" s="331" t="inlineStr">
        <is>
          <t>🟡 GIỮ</t>
        </is>
      </c>
      <c r="O17" s="322" t="n">
        <v>64</v>
      </c>
      <c r="P17" s="329" t="inlineStr">
        <is>
          <t>B</t>
        </is>
      </c>
      <c r="Q17" s="328" t="n">
        <v>0</v>
      </c>
      <c r="R17" s="332" t="inlineStr">
        <is>
          <t>Gọt tỉa</t>
        </is>
      </c>
      <c r="S17" s="325" t="n">
        <v>-651</v>
      </c>
      <c r="T17" s="321" t="inlineStr">
        <is>
          <t>🟢 OK</t>
        </is>
      </c>
    </row>
    <row r="18" ht="27.75" customHeight="1" s="981">
      <c r="A18" s="1064" t="inlineStr">
        <is>
          <t>TỔNG CỘNG</t>
        </is>
      </c>
      <c r="B18" s="966" t="n"/>
      <c r="C18" s="1050" t="n"/>
      <c r="D18" s="1050" t="n"/>
      <c r="E18" s="1050" t="n"/>
      <c r="F18" s="9" t="n">
        <v>99483000</v>
      </c>
      <c r="G18" s="337" t="n">
        <v>14323000</v>
      </c>
      <c r="H18" s="14" t="n">
        <v>0.1682</v>
      </c>
      <c r="I18" s="1050" t="n"/>
      <c r="J18" s="1050" t="n"/>
      <c r="K18" s="338" t="n"/>
      <c r="L18" s="338" t="n"/>
      <c r="M18" s="1050" t="n"/>
      <c r="N18" s="1050" t="n"/>
      <c r="O18" s="1050" t="n"/>
      <c r="P18" s="1050" t="n"/>
      <c r="Q18" s="4" t="n">
        <v>2020000</v>
      </c>
      <c r="R18" s="1050" t="n"/>
      <c r="S18" s="1050" t="n"/>
      <c r="T18" s="1050" t="n"/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  <c r="H19" s="1050" t="n"/>
      <c r="I19" s="1050" t="n"/>
      <c r="J19" s="1050" t="n"/>
      <c r="K19" s="1050" t="n"/>
      <c r="L19" s="1050" t="n"/>
      <c r="M19" s="1050" t="n"/>
      <c r="N19" s="1050" t="n"/>
      <c r="O19" s="1050" t="n"/>
      <c r="P19" s="1050" t="n"/>
      <c r="Q19" s="1050" t="n"/>
      <c r="R19" s="1050" t="n"/>
      <c r="S19" s="1050" t="n"/>
      <c r="T19" s="1050" t="n"/>
    </row>
    <row r="20" ht="15" customHeight="1" s="981">
      <c r="A20" s="1050" t="n"/>
      <c r="B20" s="1050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  <c r="K20" s="1050" t="n"/>
      <c r="L20" s="1050" t="n"/>
      <c r="M20" s="1050" t="n"/>
      <c r="N20" s="1050" t="n"/>
      <c r="O20" s="1050" t="n"/>
      <c r="P20" s="1050" t="n"/>
      <c r="Q20" s="1050" t="n"/>
      <c r="R20" s="1050" t="n"/>
      <c r="S20" s="1050" t="n"/>
      <c r="T20" s="1050" t="n"/>
    </row>
    <row r="21" ht="15" customHeight="1" s="981">
      <c r="A21" s="1050" t="n"/>
      <c r="B21" s="1050" t="n"/>
      <c r="C21" s="1050" t="n"/>
      <c r="D21" s="1050" t="n"/>
      <c r="E21" s="1050" t="n"/>
      <c r="F21" s="1050" t="n"/>
      <c r="G21" s="1050" t="n"/>
      <c r="H21" s="1050" t="n"/>
      <c r="I21" s="1050" t="n"/>
      <c r="J21" s="1050" t="n"/>
      <c r="K21" s="1050" t="n"/>
      <c r="L21" s="1050" t="n"/>
      <c r="M21" s="1050" t="n"/>
      <c r="N21" s="1050" t="n"/>
      <c r="O21" s="1050" t="n"/>
      <c r="P21" s="1050" t="n"/>
      <c r="Q21" s="1050" t="n"/>
      <c r="R21" s="1050" t="n"/>
      <c r="S21" s="1050" t="n"/>
      <c r="T21" s="1050" t="n"/>
    </row>
    <row r="22" ht="15" customHeight="1" s="981">
      <c r="A22" s="1050" t="n"/>
      <c r="B22" s="1050" t="n"/>
      <c r="C22" s="1050" t="n"/>
      <c r="D22" s="1050" t="n"/>
      <c r="E22" s="1050" t="n"/>
      <c r="F22" s="1050" t="n"/>
      <c r="G22" s="1050" t="n"/>
      <c r="H22" s="1050" t="n"/>
      <c r="I22" s="1050" t="n"/>
      <c r="J22" s="1050" t="n"/>
      <c r="K22" s="1050" t="n"/>
      <c r="L22" s="1050" t="n"/>
      <c r="M22" s="1050" t="n"/>
      <c r="N22" s="1050" t="n"/>
      <c r="O22" s="1050" t="n"/>
      <c r="P22" s="1050" t="n"/>
      <c r="Q22" s="1050" t="n"/>
      <c r="R22" s="1050" t="n"/>
      <c r="S22" s="1050" t="n"/>
      <c r="T22" s="1050" t="n"/>
    </row>
    <row r="23" ht="15" customHeight="1" s="981">
      <c r="A23" s="1050" t="n"/>
      <c r="B23" s="1050" t="n"/>
      <c r="C23" s="1050" t="n"/>
      <c r="D23" s="1050" t="n"/>
      <c r="E23" s="1050" t="n"/>
      <c r="F23" s="1050" t="n"/>
      <c r="G23" s="1050" t="n"/>
      <c r="H23" s="1050" t="n"/>
      <c r="I23" s="1050" t="n"/>
      <c r="J23" s="1050" t="n"/>
      <c r="K23" s="1050" t="n"/>
      <c r="L23" s="1050" t="n"/>
      <c r="M23" s="1050" t="n"/>
      <c r="N23" s="1050" t="n"/>
      <c r="O23" s="1050" t="n"/>
      <c r="P23" s="1050" t="n"/>
      <c r="Q23" s="1050" t="n"/>
      <c r="R23" s="1050" t="n"/>
      <c r="S23" s="1050" t="n"/>
      <c r="T23" s="1050" t="n"/>
    </row>
    <row r="24" ht="15" customHeight="1" s="981">
      <c r="A24" s="1050" t="n"/>
      <c r="B24" s="1050" t="n"/>
      <c r="C24" s="1050" t="n"/>
      <c r="D24" s="1050" t="n"/>
      <c r="E24" s="1050" t="n"/>
      <c r="F24" s="1050" t="n"/>
      <c r="G24" s="1050" t="n"/>
      <c r="H24" s="1050" t="n"/>
      <c r="I24" s="1050" t="n"/>
      <c r="J24" s="1050" t="n"/>
      <c r="K24" s="1050" t="n"/>
      <c r="L24" s="1050" t="n"/>
      <c r="M24" s="1050" t="n"/>
      <c r="N24" s="1050" t="n"/>
      <c r="O24" s="1050" t="n"/>
      <c r="P24" s="1050" t="n"/>
      <c r="Q24" s="1050" t="n"/>
      <c r="R24" s="1050" t="n"/>
      <c r="S24" s="1050" t="n"/>
      <c r="T24" s="1050" t="n"/>
    </row>
    <row r="25" ht="15" customHeight="1" s="981">
      <c r="A25" s="1050" t="n"/>
      <c r="B25" s="1050" t="n"/>
      <c r="C25" s="1050" t="n"/>
      <c r="D25" s="1050" t="n"/>
      <c r="E25" s="1050" t="n"/>
      <c r="F25" s="1050" t="n"/>
      <c r="G25" s="1050" t="n"/>
      <c r="H25" s="1050" t="n"/>
      <c r="I25" s="1050" t="n"/>
      <c r="J25" s="1050" t="n"/>
      <c r="K25" s="1050" t="n"/>
      <c r="L25" s="1050" t="n"/>
      <c r="M25" s="1050" t="n"/>
      <c r="N25" s="1050" t="n"/>
      <c r="O25" s="1050" t="n"/>
      <c r="P25" s="1050" t="n"/>
      <c r="Q25" s="1050" t="n"/>
      <c r="R25" s="1050" t="n"/>
      <c r="S25" s="1050" t="n"/>
      <c r="T25" s="1050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  <c r="I26" s="1050" t="n"/>
      <c r="J26" s="1050" t="n"/>
      <c r="K26" s="1050" t="n"/>
      <c r="L26" s="1050" t="n"/>
      <c r="M26" s="1050" t="n"/>
      <c r="N26" s="1050" t="n"/>
      <c r="O26" s="1050" t="n"/>
      <c r="P26" s="1050" t="n"/>
      <c r="Q26" s="1050" t="n"/>
      <c r="R26" s="1050" t="n"/>
      <c r="S26" s="1050" t="n"/>
      <c r="T26" s="1050" t="n"/>
    </row>
    <row r="27" ht="15" customHeight="1" s="981">
      <c r="A27" s="1050" t="n"/>
      <c r="B27" s="1050" t="n"/>
      <c r="C27" s="1050" t="n"/>
      <c r="D27" s="1050" t="n"/>
      <c r="E27" s="1050" t="n"/>
      <c r="F27" s="1050" t="n"/>
      <c r="G27" s="1050" t="n"/>
      <c r="H27" s="1050" t="n"/>
      <c r="I27" s="1050" t="n"/>
      <c r="J27" s="1050" t="n"/>
      <c r="K27" s="1050" t="n"/>
      <c r="L27" s="1050" t="n"/>
      <c r="M27" s="1050" t="n"/>
      <c r="N27" s="1050" t="n"/>
      <c r="O27" s="1050" t="n"/>
      <c r="P27" s="1050" t="n"/>
      <c r="Q27" s="1050" t="n"/>
      <c r="R27" s="1050" t="n"/>
      <c r="S27" s="1050" t="n"/>
      <c r="T27" s="1050" t="n"/>
    </row>
    <row r="28" ht="15" customHeight="1" s="981">
      <c r="A28" s="1050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  <c r="K28" s="1050" t="n"/>
      <c r="L28" s="1050" t="n"/>
      <c r="M28" s="1050" t="n"/>
      <c r="N28" s="1050" t="n"/>
      <c r="O28" s="1050" t="n"/>
      <c r="P28" s="1050" t="n"/>
      <c r="Q28" s="1050" t="n"/>
      <c r="R28" s="1050" t="n"/>
      <c r="S28" s="1050" t="n"/>
      <c r="T28" s="1050" t="n"/>
    </row>
    <row r="29" ht="15" customHeight="1" s="981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  <c r="K29" s="1050" t="n"/>
      <c r="L29" s="1050" t="n"/>
      <c r="M29" s="1050" t="n"/>
      <c r="N29" s="1050" t="n"/>
      <c r="O29" s="1050" t="n"/>
      <c r="P29" s="1050" t="n"/>
      <c r="Q29" s="1050" t="n"/>
      <c r="R29" s="1050" t="n"/>
      <c r="S29" s="1050" t="n"/>
      <c r="T29" s="1050" t="n"/>
    </row>
    <row r="30" ht="15" customHeight="1" s="981">
      <c r="A30" s="1050" t="n"/>
      <c r="B30" s="1050" t="n"/>
      <c r="C30" s="1050" t="n"/>
      <c r="D30" s="1050" t="n"/>
      <c r="E30" s="1050" t="n"/>
      <c r="F30" s="1050" t="n"/>
      <c r="G30" s="1050" t="n"/>
      <c r="H30" s="1050" t="n"/>
      <c r="I30" s="1050" t="n"/>
      <c r="J30" s="1050" t="n"/>
      <c r="K30" s="1050" t="n"/>
      <c r="L30" s="1050" t="n"/>
      <c r="M30" s="1050" t="n"/>
      <c r="N30" s="1050" t="n"/>
      <c r="O30" s="1050" t="n"/>
      <c r="P30" s="1050" t="n"/>
      <c r="Q30" s="1050" t="n"/>
      <c r="R30" s="1050" t="n"/>
      <c r="S30" s="1050" t="n"/>
      <c r="T30" s="1050" t="n"/>
    </row>
    <row r="31" ht="15" customHeight="1" s="981">
      <c r="A31" s="1050" t="n"/>
      <c r="B31" s="1050" t="n"/>
      <c r="C31" s="1050" t="n"/>
      <c r="D31" s="1050" t="n"/>
      <c r="E31" s="1050" t="n"/>
      <c r="F31" s="1050" t="n"/>
      <c r="G31" s="1050" t="n"/>
      <c r="H31" s="1050" t="n"/>
      <c r="I31" s="1050" t="n"/>
      <c r="J31" s="1050" t="n"/>
      <c r="K31" s="1050" t="n"/>
      <c r="L31" s="1050" t="n"/>
      <c r="M31" s="1050" t="n"/>
      <c r="N31" s="1050" t="n"/>
      <c r="O31" s="1050" t="n"/>
      <c r="P31" s="1050" t="n"/>
      <c r="Q31" s="1050" t="n"/>
      <c r="R31" s="1050" t="n"/>
      <c r="S31" s="1050" t="n"/>
      <c r="T31" s="1050" t="n"/>
    </row>
    <row r="32" ht="15" customHeight="1" s="981">
      <c r="A32" s="1050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050" t="n"/>
      <c r="P32" s="1050" t="n"/>
      <c r="Q32" s="1050" t="n"/>
      <c r="R32" s="1050" t="n"/>
      <c r="S32" s="1050" t="n"/>
      <c r="T32" s="1050" t="n"/>
    </row>
    <row r="33" ht="15" customHeight="1" s="981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  <c r="N33" s="1050" t="n"/>
      <c r="O33" s="1050" t="n"/>
      <c r="P33" s="1050" t="n"/>
      <c r="Q33" s="1050" t="n"/>
      <c r="R33" s="1050" t="n"/>
      <c r="S33" s="1050" t="n"/>
      <c r="T33" s="1050" t="n"/>
    </row>
    <row r="34" ht="15" customHeight="1" s="981">
      <c r="A34" s="1050" t="n"/>
      <c r="B34" s="1050" t="n"/>
      <c r="C34" s="1050" t="n"/>
      <c r="D34" s="1050" t="n"/>
      <c r="E34" s="1050" t="n"/>
      <c r="F34" s="1050" t="n"/>
      <c r="G34" s="1050" t="n"/>
      <c r="H34" s="1050" t="n"/>
      <c r="I34" s="1050" t="n"/>
      <c r="J34" s="1050" t="n"/>
      <c r="K34" s="1050" t="n"/>
      <c r="L34" s="1050" t="n"/>
      <c r="M34" s="1050" t="n"/>
      <c r="N34" s="1050" t="n"/>
      <c r="O34" s="1050" t="n"/>
      <c r="P34" s="1050" t="n"/>
      <c r="Q34" s="1050" t="n"/>
      <c r="R34" s="1050" t="n"/>
      <c r="S34" s="1050" t="n"/>
      <c r="T34" s="1050" t="n"/>
    </row>
    <row r="35" ht="15" customHeight="1" s="981">
      <c r="A35" s="1066" t="inlineStr">
        <is>
          <t>📐 PHÂN TÍCH DANH MỤC THEO P/E TRUNG BÌNH</t>
        </is>
      </c>
      <c r="B35" s="965" t="n"/>
      <c r="C35" s="965" t="n"/>
      <c r="D35" s="965" t="n"/>
      <c r="E35" s="965" t="n"/>
      <c r="F35" s="965" t="n"/>
      <c r="G35" s="965" t="n"/>
      <c r="H35" s="966" t="n"/>
      <c r="I35" s="1050" t="n"/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  <c r="S35" s="1050" t="n"/>
      <c r="T35" s="1050" t="n"/>
    </row>
    <row r="36" ht="15" customHeight="1" s="981">
      <c r="A36" s="339" t="inlineStr">
        <is>
          <t>P/E TB Danh mục</t>
        </is>
      </c>
      <c r="B36" s="340" t="n"/>
      <c r="C36" s="1060" t="inlineStr">
        <is>
          <t>So sánh VN-Index P/E hiện tại ~12-15x</t>
        </is>
      </c>
      <c r="D36" s="965" t="n"/>
      <c r="E36" s="965" t="n"/>
      <c r="F36" s="965" t="n"/>
      <c r="G36" s="965" t="n"/>
      <c r="H36" s="966" t="n"/>
      <c r="I36" s="1050" t="n"/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  <c r="S36" s="1050" t="n"/>
      <c r="T36" s="1050" t="n"/>
    </row>
    <row r="37" ht="15" customHeight="1" s="981">
      <c r="A37" s="339" t="inlineStr">
        <is>
          <t>ROE TB Danh mục</t>
        </is>
      </c>
      <c r="B37" s="340" t="n"/>
      <c r="C37" s="1060" t="inlineStr">
        <is>
          <t>Benchmark ROE trung bình thị trường ~14%</t>
        </is>
      </c>
      <c r="D37" s="965" t="n"/>
      <c r="E37" s="965" t="n"/>
      <c r="F37" s="965" t="n"/>
      <c r="G37" s="965" t="n"/>
      <c r="H37" s="966" t="n"/>
      <c r="I37" s="1050" t="n"/>
      <c r="J37" s="1050" t="n"/>
      <c r="K37" s="1050" t="n"/>
      <c r="L37" s="1050" t="n"/>
      <c r="M37" s="1050" t="n"/>
      <c r="N37" s="1050" t="n"/>
      <c r="O37" s="1050" t="n"/>
      <c r="P37" s="1050" t="n"/>
      <c r="Q37" s="1050" t="n"/>
      <c r="R37" s="1050" t="n"/>
      <c r="S37" s="1050" t="n"/>
      <c r="T37" s="1050" t="n"/>
    </row>
    <row r="38" ht="15" customHeight="1" s="981">
      <c r="A38" s="339" t="inlineStr">
        <is>
          <t>Số mã MUA MẠNH</t>
        </is>
      </c>
      <c r="B38" s="340" t="n"/>
      <c r="C38" s="1060" t="inlineStr">
        <is>
          <t>Cơ hội hiện tại</t>
        </is>
      </c>
      <c r="D38" s="965" t="n"/>
      <c r="E38" s="965" t="n"/>
      <c r="F38" s="965" t="n"/>
      <c r="G38" s="965" t="n"/>
      <c r="H38" s="966" t="n"/>
      <c r="I38" s="1050" t="n"/>
      <c r="J38" s="1050" t="n"/>
      <c r="K38" s="1050" t="n"/>
      <c r="L38" s="1050" t="n"/>
      <c r="M38" s="1050" t="n"/>
      <c r="N38" s="1050" t="n"/>
      <c r="O38" s="1050" t="n"/>
      <c r="P38" s="1050" t="n"/>
      <c r="Q38" s="1050" t="n"/>
      <c r="R38" s="1050" t="n"/>
      <c r="S38" s="1050" t="n"/>
      <c r="T38" s="1050" t="n"/>
    </row>
    <row r="39" ht="15" customHeight="1" s="981">
      <c r="A39" s="339" t="inlineStr">
        <is>
          <t>Số mã cần THOÁT</t>
        </is>
      </c>
      <c r="B39" s="340" t="n"/>
      <c r="C39" s="1060" t="inlineStr">
        <is>
          <t>Kiểm tra danh mục</t>
        </is>
      </c>
      <c r="D39" s="965" t="n"/>
      <c r="E39" s="965" t="n"/>
      <c r="F39" s="965" t="n"/>
      <c r="G39" s="965" t="n"/>
      <c r="H39" s="966" t="n"/>
      <c r="I39" s="1050" t="n"/>
      <c r="J39" s="1050" t="n"/>
      <c r="K39" s="1050" t="n"/>
      <c r="L39" s="1050" t="n"/>
      <c r="M39" s="1050" t="n"/>
      <c r="N39" s="1050" t="n"/>
      <c r="O39" s="1050" t="n"/>
      <c r="P39" s="1050" t="n"/>
      <c r="Q39" s="1050" t="n"/>
      <c r="R39" s="1050" t="n"/>
      <c r="S39" s="1050" t="n"/>
      <c r="T39" s="1050" t="n"/>
    </row>
  </sheetData>
  <mergeCells count="34">
    <mergeCell ref="A5:D5"/>
    <mergeCell ref="O3:P3"/>
    <mergeCell ref="F6:J6"/>
    <mergeCell ref="A6:E6"/>
    <mergeCell ref="C4:D4"/>
    <mergeCell ref="A1:T1"/>
    <mergeCell ref="E4:F4"/>
    <mergeCell ref="F7:J7"/>
    <mergeCell ref="C36:H36"/>
    <mergeCell ref="A7:E7"/>
    <mergeCell ref="P6:T6"/>
    <mergeCell ref="C39:H39"/>
    <mergeCell ref="A18:B18"/>
    <mergeCell ref="O4:P4"/>
    <mergeCell ref="A3:B3"/>
    <mergeCell ref="G3:H3"/>
    <mergeCell ref="I3:J3"/>
    <mergeCell ref="C38:H38"/>
    <mergeCell ref="P7:T7"/>
    <mergeCell ref="C37:H37"/>
    <mergeCell ref="A2:T2"/>
    <mergeCell ref="M3:N3"/>
    <mergeCell ref="A4:B4"/>
    <mergeCell ref="G4:H4"/>
    <mergeCell ref="I4:J4"/>
    <mergeCell ref="A8:T8"/>
    <mergeCell ref="K7:O7"/>
    <mergeCell ref="A35:H35"/>
    <mergeCell ref="K6:O6"/>
    <mergeCell ref="K4:L4"/>
    <mergeCell ref="C3:D3"/>
    <mergeCell ref="M4:N4"/>
    <mergeCell ref="E3:F3"/>
    <mergeCell ref="K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5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2" customWidth="1" style="981" min="1" max="1"/>
    <col width="7" customWidth="1" style="981" min="2" max="2"/>
    <col width="18" customWidth="1" style="981" min="3" max="3"/>
    <col width="10" customWidth="1" style="981" min="4" max="4"/>
    <col width="12" customWidth="1" style="981" min="5" max="5"/>
    <col width="10" customWidth="1" style="981" min="6" max="6"/>
    <col width="14" customWidth="1" style="981" min="7" max="7"/>
    <col width="12" customWidth="1" style="981" min="8" max="8"/>
    <col width="14" customWidth="1" style="981" min="12" max="12"/>
    <col width="10" customWidth="1" style="981" min="13" max="13"/>
    <col width="22" customWidth="1" style="981" min="14" max="14"/>
    <col width="18" customWidth="1" style="981" min="15" max="15"/>
    <col width="22" customWidth="1" style="981" min="16" max="16"/>
  </cols>
  <sheetData>
    <row r="1" ht="34.5" customHeight="1" s="981">
      <c r="A1" s="1069" t="inlineStr">
        <is>
          <t>📓 NHẬT KÝ GIAO DỊCH — Ghi lệnh MUA/BÁN + Lý do + Kết quả | Tự tính P&amp;L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6" t="n"/>
    </row>
    <row r="2" ht="19.5" customHeight="1" s="981">
      <c r="A2" s="1070" t="inlineStr">
        <is>
          <t>?? NHAP VAO: Ngay ? Ma ? Loai ? Gia ? So CP ? Ly do ? Ket qua | Q2 2026 | BCTC Q1/2026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5" t="n"/>
      <c r="N2" s="965" t="n"/>
      <c r="O2" s="965" t="n"/>
      <c r="P2" s="966" t="n"/>
    </row>
    <row r="3" ht="45" customHeight="1" s="981">
      <c r="A3" s="1067" t="inlineStr">
        <is>
          <t>📊 Tổng GD</t>
        </is>
      </c>
      <c r="B3" s="966" t="n"/>
      <c r="C3" s="1067" t="inlineStr">
        <is>
          <t>✅ Lệnh MUA</t>
        </is>
      </c>
      <c r="D3" s="966" t="n"/>
      <c r="E3" s="1067" t="inlineStr">
        <is>
          <t>❌ Lệnh BÁN</t>
        </is>
      </c>
      <c r="F3" s="966" t="n"/>
      <c r="G3" s="1067" t="inlineStr">
        <is>
          <t>💰 Tổng P&amp;L</t>
        </is>
      </c>
      <c r="H3" s="966" t="n"/>
      <c r="I3" s="1067" t="inlineStr">
        <is>
          <t>🏆 Lệnh Thắng</t>
        </is>
      </c>
      <c r="J3" s="966" t="n"/>
      <c r="K3" s="1067" t="inlineStr">
        <is>
          <t>📉 Lệnh Thua</t>
        </is>
      </c>
      <c r="L3" s="966" t="n"/>
      <c r="M3" s="1067" t="inlineStr">
        <is>
          <t>🎯 Win Rate</t>
        </is>
      </c>
      <c r="N3" s="966" t="n"/>
      <c r="O3" s="1067" t="inlineStr">
        <is>
          <t>💸 P&amp;L TB/GD</t>
        </is>
      </c>
      <c r="P3" s="966" t="n"/>
    </row>
    <row r="4" ht="27.75" customHeight="1" s="981">
      <c r="A4" s="1068" t="n"/>
      <c r="B4" s="966" t="n"/>
      <c r="C4" s="1068" t="n"/>
      <c r="D4" s="966" t="n"/>
      <c r="E4" s="1068" t="n"/>
      <c r="F4" s="966" t="n"/>
      <c r="G4" s="1068" t="n"/>
      <c r="H4" s="966" t="n"/>
      <c r="I4" s="1068" t="n"/>
      <c r="J4" s="966" t="n"/>
      <c r="K4" s="1068" t="n"/>
      <c r="L4" s="966" t="n"/>
      <c r="M4" s="1068" t="n"/>
      <c r="N4" s="966" t="n"/>
      <c r="O4" s="1068" t="n"/>
      <c r="P4" s="966" t="n"/>
    </row>
    <row r="5" ht="39.75" customHeight="1" s="981">
      <c r="A5" s="1063" t="inlineStr">
        <is>
          <t>📅 Ngày GD</t>
        </is>
      </c>
      <c r="B5" s="1063" t="inlineStr">
        <is>
          <t>Mã CP</t>
        </is>
      </c>
      <c r="C5" s="1063" t="inlineStr">
        <is>
          <t>Tên CT</t>
        </is>
      </c>
      <c r="D5" s="1063" t="inlineStr">
        <is>
          <t>Loại
(MUA/BÁN)</t>
        </is>
      </c>
      <c r="E5" s="1063" t="inlineStr">
        <is>
          <t>Giá
Thực hiện</t>
        </is>
      </c>
      <c r="F5" s="1063" t="inlineStr">
        <is>
          <t>Số CP</t>
        </is>
      </c>
      <c r="G5" s="1063" t="inlineStr">
        <is>
          <t>Tổng GT
(đ)</t>
        </is>
      </c>
      <c r="H5" s="1063" t="inlineStr">
        <is>
          <t>Phí GD
(0.15%)</t>
        </is>
      </c>
      <c r="I5" s="1063" t="inlineStr">
        <is>
          <t>Thuế
Bán (0.1%)</t>
        </is>
      </c>
      <c r="J5" s="1063" t="inlineStr">
        <is>
          <t>Giá vốn
TB trước</t>
        </is>
      </c>
      <c r="K5" s="1063" t="inlineStr">
        <is>
          <t>Giá vốn
TB sau</t>
        </is>
      </c>
      <c r="L5" s="1063" t="inlineStr">
        <is>
          <t>🟢 P&amp;L
(đ)</t>
        </is>
      </c>
      <c r="M5" s="1063" t="inlineStr">
        <is>
          <t>% L/L
vị thế</t>
        </is>
      </c>
      <c r="N5" s="1063" t="inlineStr">
        <is>
          <t>Lý do
Giao dịch</t>
        </is>
      </c>
      <c r="O5" s="1063" t="inlineStr">
        <is>
          <t>Kết quả
thực tế</t>
        </is>
      </c>
      <c r="P5" s="1063" t="inlineStr">
        <is>
          <t>Bài học
/ Ghi chú</t>
        </is>
      </c>
    </row>
    <row r="6" ht="21.75" customHeight="1" s="981">
      <c r="A6" s="342" t="inlineStr">
        <is>
          <t>15/01/2026</t>
        </is>
      </c>
      <c r="B6" s="342" t="inlineStr">
        <is>
          <t>FPT</t>
        </is>
      </c>
      <c r="C6" s="12" t="inlineStr">
        <is>
          <t>FPT Corp</t>
        </is>
      </c>
      <c r="D6" s="342" t="inlineStr">
        <is>
          <t>MUA</t>
        </is>
      </c>
      <c r="E6" s="342" t="n">
        <v>62500</v>
      </c>
      <c r="F6" s="342" t="n">
        <v>200</v>
      </c>
      <c r="G6" s="12" t="n">
        <v>12500000</v>
      </c>
      <c r="H6" s="12" t="n">
        <v>18750</v>
      </c>
      <c r="I6" s="12">
        <f>IF(AND(D6="BÁN",G6&lt;&gt;""),G6*0.001,0)</f>
        <v/>
      </c>
      <c r="J6" s="342" t="n"/>
      <c r="K6" s="12">
        <f>IF(D6="MUA",IFERROR((J6*F6+E6*F6)/(F6*2),E6),J6)</f>
        <v/>
      </c>
      <c r="L6" s="12">
        <f>IF(AND(D6="BÁN",E6&lt;&gt;"",F6&lt;&gt;"",J6&lt;&gt;""),ROUND((E6-J6)*F6-H6-I6,0),"")</f>
        <v/>
      </c>
      <c r="M6" s="12">
        <f>IF(AND(L6&lt;&gt;"",J6&gt;0),L6/(J6*F6),"")</f>
        <v/>
      </c>
      <c r="N6" s="343" t="inlineStr">
        <is>
          <t>M? d?u tich s?n d?i h?n - FPT d?t m?c P/E h?p d?n 12.5</t>
        </is>
      </c>
      <c r="O6" s="343" t="inlineStr">
        <is>
          <t>? L?i 14% sau 4 th�ng</t>
        </is>
      </c>
      <c r="P6" s="343" t="inlineStr">
        <is>
          <t>Dung DCA d?u dan, kh�ng FOMO</t>
        </is>
      </c>
    </row>
    <row r="7" ht="21.75" customHeight="1" s="981">
      <c r="A7" s="344" t="inlineStr">
        <is>
          <t>20/01/2026</t>
        </is>
      </c>
      <c r="B7" s="344" t="inlineStr">
        <is>
          <t>MBB</t>
        </is>
      </c>
      <c r="C7" s="12" t="inlineStr">
        <is>
          <t>MB Bank</t>
        </is>
      </c>
      <c r="D7" s="344" t="inlineStr">
        <is>
          <t>MUA</t>
        </is>
      </c>
      <c r="E7" s="344" t="n">
        <v>22000</v>
      </c>
      <c r="F7" s="344" t="n">
        <v>500</v>
      </c>
      <c r="G7" s="12" t="n">
        <v>11000000</v>
      </c>
      <c r="H7" s="12" t="n">
        <v>16500</v>
      </c>
      <c r="I7" s="12">
        <f>IF(AND(D7="BÁN",G7&lt;&gt;""),G7*0.001,0)</f>
        <v/>
      </c>
      <c r="J7" s="344" t="n"/>
      <c r="K7" s="12">
        <f>IF(D7="MUA",IFERROR((J7*F7+E7*F7)/(F7*2),E7),J7)</f>
        <v/>
      </c>
      <c r="L7" s="12">
        <f>IF(AND(D7="BÁN",E7&lt;&gt;"",F7&lt;&gt;"",J7&lt;&gt;""),ROUND((E7-J7)*F7-H7-I7,0),"")</f>
        <v/>
      </c>
      <c r="M7" s="12">
        <f>IF(AND(L7&lt;&gt;"",J7&gt;0),L7/(J7*F7),"")</f>
        <v/>
      </c>
      <c r="N7" s="345" t="inlineStr">
        <is>
          <t>P/E 6.4 - r? nh?t ng�nh NH, ROE 22%, c? t?c 5%</t>
        </is>
      </c>
      <c r="O7" s="345" t="inlineStr">
        <is>
          <t>? L?i 13.6%</t>
        </is>
      </c>
      <c r="P7" s="345" t="inlineStr">
        <is>
          <t>NH qu?n tr? r?i ro t?t, EPS tang tru?ng d?u</t>
        </is>
      </c>
    </row>
    <row r="8" ht="21.75" customHeight="1" s="981">
      <c r="A8" s="342" t="inlineStr">
        <is>
          <t>25/01/2026</t>
        </is>
      </c>
      <c r="B8" s="342" t="inlineStr">
        <is>
          <t>VCB</t>
        </is>
      </c>
      <c r="C8" s="12" t="inlineStr">
        <is>
          <t>Vietcombank</t>
        </is>
      </c>
      <c r="D8" s="342" t="inlineStr">
        <is>
          <t>MUA</t>
        </is>
      </c>
      <c r="E8" s="342" t="n">
        <v>55000</v>
      </c>
      <c r="F8" s="342" t="n">
        <v>100</v>
      </c>
      <c r="G8" s="12" t="n">
        <v>5500000</v>
      </c>
      <c r="H8" s="12" t="n">
        <v>8250</v>
      </c>
      <c r="I8" s="12">
        <f>IF(AND(D8="BÁN",G8&lt;&gt;""),G8*0.001,0)</f>
        <v/>
      </c>
      <c r="J8" s="342" t="n"/>
      <c r="K8" s="12">
        <f>IF(D8="MUA",IFERROR((J8*F8+E8*F8)/(F8*2),E8),J8)</f>
        <v/>
      </c>
      <c r="L8" s="12">
        <f>IF(AND(D8="BÁN",E8&lt;&gt;"",F8&lt;&gt;"",J8&lt;&gt;""),ROUND((E8-J8)*F8-H8-I8,0),"")</f>
        <v/>
      </c>
      <c r="M8" s="12">
        <f>IF(AND(L8&lt;&gt;"",J8&gt;0),L8/(J8*F8),"")</f>
        <v/>
      </c>
      <c r="N8" s="343" t="inlineStr">
        <is>
          <t>NH l?n nh?t VN - d?t m?c P/B 2.4 h?p d?n</t>
        </is>
      </c>
      <c r="O8" s="343" t="inlineStr">
        <is>
          <t>? L?i 14.2%</t>
        </is>
      </c>
      <c r="P8" s="343" t="inlineStr">
        <is>
          <t>Ng�n h�ng s? 1 v? qu?n tr? r?i ro</t>
        </is>
      </c>
    </row>
    <row r="9" ht="21.75" customHeight="1" s="981">
      <c r="A9" s="958" t="n">
        <v>46144</v>
      </c>
      <c r="B9" s="344" t="inlineStr">
        <is>
          <t>CTR</t>
        </is>
      </c>
      <c r="C9" s="12" t="inlineStr">
        <is>
          <t>Viettel Construction</t>
        </is>
      </c>
      <c r="D9" s="344" t="inlineStr">
        <is>
          <t>MUA</t>
        </is>
      </c>
      <c r="E9" s="344" t="n">
        <v>68000</v>
      </c>
      <c r="F9" s="344" t="n">
        <v>120</v>
      </c>
      <c r="G9" s="12" t="n">
        <v>8160000</v>
      </c>
      <c r="H9" s="12" t="n">
        <v>12240</v>
      </c>
      <c r="I9" s="12">
        <f>IF(AND(D9="BÁN",G9&lt;&gt;""),G9*0.001,0)</f>
        <v/>
      </c>
      <c r="J9" s="344" t="n"/>
      <c r="K9" s="12">
        <f>IF(D9="MUA",IFERROR((J9*F9+E9*F9)/(F9*2),E9),J9)</f>
        <v/>
      </c>
      <c r="L9" s="12">
        <f>IF(AND(D9="BÁN",E9&lt;&gt;"",F9&lt;&gt;"",J9&lt;&gt;""),ROUND((E9-J9)*F9-H9-I9,0),"")</f>
        <v/>
      </c>
      <c r="M9" s="12">
        <f>IF(AND(L9&lt;&gt;"",J9&gt;0),L9/(J9*F9),"")</f>
        <v/>
      </c>
      <c r="N9" s="345" t="inlineStr">
        <is>
          <t>5G Viettel + h? t?ng s? - tang tru?ng 22% EPS</t>
        </is>
      </c>
      <c r="O9" s="345" t="inlineStr">
        <is>
          <t>? L?i 32.4%</t>
        </is>
      </c>
      <c r="P9" s="345" t="inlineStr">
        <is>
          <t>CTR hu?ng l?i đ?u tu c�ng d?ch v? 5G&amp;4G</t>
        </is>
      </c>
    </row>
    <row r="10" ht="21.75" customHeight="1" s="981">
      <c r="A10" s="342" t="inlineStr">
        <is>
          <t>15/02/2026</t>
        </is>
      </c>
      <c r="B10" s="342" t="inlineStr">
        <is>
          <t>MWG</t>
        </is>
      </c>
      <c r="C10" s="12" t="inlineStr">
        <is>
          <t>Mobile World</t>
        </is>
      </c>
      <c r="D10" s="342" t="inlineStr">
        <is>
          <t>MUA</t>
        </is>
      </c>
      <c r="E10" s="342" t="n">
        <v>75000</v>
      </c>
      <c r="F10" s="342" t="n">
        <v>100</v>
      </c>
      <c r="G10" s="12" t="n">
        <v>7500000</v>
      </c>
      <c r="H10" s="12" t="n">
        <v>11250</v>
      </c>
      <c r="I10" s="12">
        <f>IF(AND(D10="BÁN",G10&lt;&gt;""),G10*0.001,0)</f>
        <v/>
      </c>
      <c r="J10" s="342" t="n"/>
      <c r="K10" s="12">
        <f>IF(D10="MUA",IFERROR((J10*F10+E10*F10)/(F10*2),E10),J10)</f>
        <v/>
      </c>
      <c r="L10" s="12">
        <f>IF(AND(D10="BÁN",E10&lt;&gt;"",F10&lt;&gt;"",J10&lt;&gt;""),ROUND((E10-J10)*F10-H10-I10,0),"")</f>
        <v/>
      </c>
      <c r="M10" s="12">
        <f>IF(AND(L10&lt;&gt;"",J10&gt;0),L10/(J10*F10),"")</f>
        <v/>
      </c>
      <c r="N10" s="343" t="inlineStr">
        <is>
          <t>BHX b?t d?u c� l�i - chu k? ph?c h?i ti�u d�ng</t>
        </is>
      </c>
      <c r="O10" s="343" t="inlineStr">
        <is>
          <t>? L?i 3.6%</t>
        </is>
      </c>
      <c r="P10" s="343" t="inlineStr">
        <is>
          <t>D?nh gi� c�n h?p d?n khi BHX h�a v?n</t>
        </is>
      </c>
    </row>
    <row r="11" ht="21.75" customHeight="1" s="981">
      <c r="A11" s="958" t="n">
        <v>46025</v>
      </c>
      <c r="B11" s="344" t="inlineStr">
        <is>
          <t>HPG</t>
        </is>
      </c>
      <c r="C11" s="12" t="inlineStr">
        <is>
          <t>H�a Ph�t</t>
        </is>
      </c>
      <c r="D11" s="344" t="inlineStr">
        <is>
          <t>MUA</t>
        </is>
      </c>
      <c r="E11" s="344" t="n">
        <v>24000</v>
      </c>
      <c r="F11" s="344" t="n">
        <v>600</v>
      </c>
      <c r="G11" s="12" t="n">
        <v>14400000</v>
      </c>
      <c r="H11" s="12" t="n">
        <v>21600</v>
      </c>
      <c r="I11" s="12">
        <f>IF(AND(D11="BÁN",G11&lt;&gt;""),G11*0.001,0)</f>
        <v/>
      </c>
      <c r="J11" s="344" t="n"/>
      <c r="K11" s="12">
        <f>IF(D11="MUA",IFERROR((J11*F11+E11*F11)/(F11*2),E11),J11)</f>
        <v/>
      </c>
      <c r="L11" s="12">
        <f>IF(AND(D11="BÁN",E11&lt;&gt;"",F11&lt;&gt;"",J11&lt;&gt;""),ROUND((E11-J11)*F11-H11-I11,0),"")</f>
        <v/>
      </c>
      <c r="M11" s="12">
        <f>IF(AND(L11&lt;&gt;"",J11&gt;0),L11/(J11*F11),"")</f>
        <v/>
      </c>
      <c r="N11" s="345" t="inlineStr">
        <is>
          <t>Chu k? th�p ph?c h?i - Dung Qu?t 2 ch?y full c�ng su?t</t>
        </is>
      </c>
      <c r="O11" s="345" t="inlineStr">
        <is>
          <t>? L?i 0% - dang gi� v?n</t>
        </is>
      </c>
      <c r="P11" s="345" t="inlineStr">
        <is>
          <t>HPG chu k? - c?n ki�n nh?n ch? gi� th�p ph?c h?i</t>
        </is>
      </c>
    </row>
    <row r="12" ht="21.75" customHeight="1" s="981">
      <c r="A12" s="959" t="n">
        <v>45726</v>
      </c>
      <c r="B12" s="342" t="inlineStr">
        <is>
          <t>VNM</t>
        </is>
      </c>
      <c r="C12" s="12" t="inlineStr">
        <is>
          <t>Vinamilk</t>
        </is>
      </c>
      <c r="D12" s="342" t="inlineStr">
        <is>
          <t>MUA</t>
        </is>
      </c>
      <c r="E12" s="342" t="n">
        <v>58000</v>
      </c>
      <c r="F12" s="342" t="n">
        <v>200</v>
      </c>
      <c r="G12" s="12" t="n">
        <v>11600000</v>
      </c>
      <c r="H12" s="12" t="n">
        <v>17400</v>
      </c>
      <c r="I12" s="12">
        <f>IF(AND(D12="BÁN",G12&lt;&gt;""),G12*0.001,0)</f>
        <v/>
      </c>
      <c r="J12" s="342" t="n"/>
      <c r="K12" s="12">
        <f>IF(D12="MUA",IFERROR((J12*F12+E12*F12)/(F12*2),E12),J12)</f>
        <v/>
      </c>
      <c r="L12" s="12">
        <f>IF(AND(D12="BÁN",E12&lt;&gt;"",F12&lt;&gt;"",J12&lt;&gt;""),ROUND((E12-J12)*F12-H12-I12,0),"")</f>
        <v/>
      </c>
      <c r="M12" s="12">
        <f>IF(AND(L12&lt;&gt;"",J12&gt;0),L12/(J12*F12),"")</f>
        <v/>
      </c>
      <c r="N12" s="343" t="inlineStr">
        <is>
          <t>C? t?c 7.14% - ph�ng th? danh m?c - P/E 15.2 h?p d?n</t>
        </is>
      </c>
      <c r="O12" s="343" t="inlineStr">
        <is>
          <t>? L?i 1.7% + c? t?c</t>
        </is>
      </c>
      <c r="P12" s="343" t="inlineStr">
        <is>
          <t>VNM la m� kho� b?o to�n v?n t?t cho danh m?c</t>
        </is>
      </c>
    </row>
    <row r="13" ht="21.75" customHeight="1" s="981">
      <c r="A13" s="344" t="inlineStr">
        <is>
          <t>20/03/2026</t>
        </is>
      </c>
      <c r="B13" s="344" t="inlineStr">
        <is>
          <t>VIX</t>
        </is>
      </c>
      <c r="C13" s="12" t="inlineStr">
        <is>
          <t>VIX Securities</t>
        </is>
      </c>
      <c r="D13" s="344" t="inlineStr">
        <is>
          <t>MUA</t>
        </is>
      </c>
      <c r="E13" s="344" t="n">
        <v>14500</v>
      </c>
      <c r="F13" s="344" t="n">
        <v>1000</v>
      </c>
      <c r="G13" s="12" t="n">
        <v>14500000</v>
      </c>
      <c r="H13" s="12" t="n">
        <v>21750</v>
      </c>
      <c r="I13" s="12">
        <f>IF(AND(D13="BÁN",G13&lt;&gt;""),G13*0.001,0)</f>
        <v/>
      </c>
      <c r="J13" s="344" t="n"/>
      <c r="K13" s="12">
        <f>IF(D13="MUA",IFERROR((J13*F13+E13*F13)/(F13*2),E13),J13)</f>
        <v/>
      </c>
      <c r="L13" s="12">
        <f>IF(AND(D13="BÁN",E13&lt;&gt;"",F13&lt;&gt;"",J13&lt;&gt;""),ROUND((E13-J13)*F13-H13-I13,0),"")</f>
        <v/>
      </c>
      <c r="M13" s="12">
        <f>IF(AND(L13&lt;&gt;"",J13&gt;0),L13/(J13*F13),"")</f>
        <v/>
      </c>
      <c r="N13" s="345" t="inlineStr">
        <is>
          <t>ROE 29% xu?t s?c, P/E 6.0 r? - CK hu?ng l?i TT tang</t>
        </is>
      </c>
      <c r="O13" s="345" t="inlineStr">
        <is>
          <t>? L?i 21.4%</t>
        </is>
      </c>
      <c r="P13" s="345" t="inlineStr">
        <is>
          <t>VIX tang tru?ng nhanh, c?n ch?t l?i m?t ph?n khi d?t 100%</t>
        </is>
      </c>
    </row>
    <row r="14" ht="21.75" customHeight="1" s="981">
      <c r="A14" s="959" t="n">
        <v>46146</v>
      </c>
      <c r="B14" s="342" t="inlineStr">
        <is>
          <t>DGC</t>
        </is>
      </c>
      <c r="C14" s="12" t="inlineStr">
        <is>
          <t>D?c Giang Chem</t>
        </is>
      </c>
      <c r="D14" s="342" t="inlineStr">
        <is>
          <t>MUA</t>
        </is>
      </c>
      <c r="E14" s="342" t="n">
        <v>82000</v>
      </c>
      <c r="F14" s="342" t="n">
        <v>100</v>
      </c>
      <c r="G14" s="12" t="n">
        <v>8200000</v>
      </c>
      <c r="H14" s="12" t="n">
        <v>12300</v>
      </c>
      <c r="I14" s="12">
        <f>IF(AND(D14="BÁN",G14&lt;&gt;""),G14*0.001,0)</f>
        <v/>
      </c>
      <c r="J14" s="342" t="n"/>
      <c r="K14" s="12">
        <f>IF(D14="MUA",IFERROR((J14*F14+E14*F14)/(F14*2),E14),J14)</f>
        <v/>
      </c>
      <c r="L14" s="12">
        <f>IF(AND(D14="BÁN",E14&lt;&gt;"",F14&lt;&gt;"",J14&lt;&gt;""),ROUND((E14-J14)*F14-H14-I14,0),"")</f>
        <v/>
      </c>
      <c r="M14" s="12">
        <f>IF(AND(L14&lt;&gt;"",J14&gt;0),L14/(J14*F14),"")</f>
        <v/>
      </c>
      <c r="N14" s="343" t="inlineStr">
        <is>
          <t>P 3-5 nam nh? Pho - ROE 28.5%, moat h�a ch?t</t>
        </is>
      </c>
      <c r="O14" s="343" t="inlineStr">
        <is>
          <t>? L?i 3.7%</t>
        </is>
      </c>
      <c r="P14" s="343" t="inlineStr">
        <is>
          <t>DGC h��ng l?i t? gia c�ng xu?t kh?u ph�n b�n</t>
        </is>
      </c>
    </row>
    <row r="15" ht="21.75" customHeight="1" s="981">
      <c r="A15" s="344" t="inlineStr">
        <is>
          <t>15/05/2026</t>
        </is>
      </c>
      <c r="B15" s="344" t="inlineStr">
        <is>
          <t>VIX</t>
        </is>
      </c>
      <c r="C15" s="12" t="inlineStr">
        <is>
          <t>VIX Securities</t>
        </is>
      </c>
      <c r="D15" s="344" t="inlineStr">
        <is>
          <t>BAN</t>
        </is>
      </c>
      <c r="E15" s="344" t="n">
        <v>18600</v>
      </c>
      <c r="F15" s="344" t="n">
        <v>300</v>
      </c>
      <c r="G15" s="12" t="n">
        <v>5580000</v>
      </c>
      <c r="H15" s="12" t="n">
        <v>8370</v>
      </c>
      <c r="I15" s="12" t="n">
        <v>5580</v>
      </c>
      <c r="J15" s="344" t="n"/>
      <c r="K15" s="12">
        <f>IF(D15="MUA",IFERROR((J15*F15+E15*F15)/(F15*2),E15),J15)</f>
        <v/>
      </c>
      <c r="L15" s="12">
        <f>IF(AND(D15="BÁN",E15&lt;&gt;"",F15&lt;&gt;"",J15&lt;&gt;""),ROUND((E15-J15)*F15-H15-I15,0),"")</f>
        <v/>
      </c>
      <c r="M15" s="12">
        <f>IF(AND(L15&lt;&gt;"",J15&gt;0),L15/(J15*F15),"")</f>
        <v/>
      </c>
      <c r="N15" s="345" t="inlineStr">
        <is>
          <t>Ch?t l?i 30% v? th? VIX - ROI 28.3% sau 2 th�ng</t>
        </is>
      </c>
      <c r="O15" s="345" t="inlineStr">
        <is>
          <t>? L?i 28.3% - ch?t l?i th�nh c�ng</t>
        </is>
      </c>
      <c r="P15" s="345" t="inlineStr">
        <is>
          <t>Lu�n ch?t 30% khi m?t CP x2, s? c�n 70% ch?y ti?p</t>
        </is>
      </c>
    </row>
    <row r="16" ht="21.75" customHeight="1" s="981">
      <c r="A16" s="342" t="inlineStr">
        <is>
          <t>20/05/2026</t>
        </is>
      </c>
      <c r="B16" s="342" t="inlineStr">
        <is>
          <t>MBB</t>
        </is>
      </c>
      <c r="C16" s="12" t="inlineStr">
        <is>
          <t>MB Bank</t>
        </is>
      </c>
      <c r="D16" s="342" t="inlineStr">
        <is>
          <t>MUA</t>
        </is>
      </c>
      <c r="E16" s="342" t="n">
        <v>24000</v>
      </c>
      <c r="F16" s="342" t="n">
        <v>200</v>
      </c>
      <c r="G16" s="12" t="n">
        <v>4800000</v>
      </c>
      <c r="H16" s="12" t="n">
        <v>7200</v>
      </c>
      <c r="I16" s="12">
        <f>IF(AND(D16="BÁN",G16&lt;&gt;""),G16*0.001,0)</f>
        <v/>
      </c>
      <c r="J16" s="342" t="n"/>
      <c r="K16" s="12">
        <f>IF(D16="MUA",IFERROR((J16*F16+E16*F16)/(F16*2),E16),J16)</f>
        <v/>
      </c>
      <c r="L16" s="12">
        <f>IF(AND(D16="BÁN",E16&lt;&gt;"",F16&lt;&gt;"",J16&lt;&gt;""),ROUND((E16-J16)*F16-H16-I16,0),"")</f>
        <v/>
      </c>
      <c r="M16" s="12">
        <f>IF(AND(L16&lt;&gt;"",J16&gt;0),L16/(J16*F16),"")</f>
        <v/>
      </c>
      <c r="N16" s="343" t="inlineStr">
        <is>
          <t>DCA MBB khi gi� di?u ch?nh v? 24K - P/E 6, ROE 22%</t>
        </is>
      </c>
      <c r="O16" s="343" t="inlineStr">
        <is>
          <t>? M?i mua 1 tu?n</t>
        </is>
      </c>
      <c r="P16" s="343" t="inlineStr">
        <is>
          <t>DCA khi gi?m 5%+ t? gi� v?n TB</t>
        </is>
      </c>
    </row>
    <row r="17" ht="21.75" customHeight="1" s="981">
      <c r="A17" s="344" t="n"/>
      <c r="B17" s="344" t="n"/>
      <c r="C17" s="12">
        <f>IFERROR(VLOOKUP(B17,'📈 Cổ Phiếu VN 🔍'!$A:$C,2,0),"")</f>
        <v/>
      </c>
      <c r="D17" s="344" t="n"/>
      <c r="E17" s="344" t="n"/>
      <c r="F17" s="344" t="n"/>
      <c r="G17" s="12">
        <f>IF(AND(E17&lt;&gt;"",F17&lt;&gt;""),E17*F17,"")</f>
        <v/>
      </c>
      <c r="H17" s="12">
        <f>IF(G17&lt;&gt;"",G17*0.0015,"")</f>
        <v/>
      </c>
      <c r="I17" s="12">
        <f>IF(AND(D17="BÁN",G17&lt;&gt;""),G17*0.001,0)</f>
        <v/>
      </c>
      <c r="J17" s="344" t="n"/>
      <c r="K17" s="12">
        <f>IF(D17="MUA",IFERROR((J17*F17+E17*F17)/(F17*2),E17),J17)</f>
        <v/>
      </c>
      <c r="L17" s="12">
        <f>IF(AND(D17="BÁN",E17&lt;&gt;"",F17&lt;&gt;"",J17&lt;&gt;""),ROUND((E17-J17)*F17-H17-I17,0),"")</f>
        <v/>
      </c>
      <c r="M17" s="12">
        <f>IF(AND(L17&lt;&gt;"",J17&gt;0),L17/(J17*F17),"")</f>
        <v/>
      </c>
      <c r="N17" s="345" t="n"/>
      <c r="O17" s="345" t="n"/>
      <c r="P17" s="345" t="n"/>
    </row>
    <row r="18" ht="21.75" customHeight="1" s="981">
      <c r="A18" s="342" t="n"/>
      <c r="B18" s="342" t="n"/>
      <c r="C18" s="12">
        <f>IFERROR(VLOOKUP(B18,'📈 Cổ Phiếu VN 🔍'!$A:$C,2,0),"")</f>
        <v/>
      </c>
      <c r="D18" s="342" t="n"/>
      <c r="E18" s="342" t="n"/>
      <c r="F18" s="342" t="n"/>
      <c r="G18" s="12">
        <f>IF(AND(E18&lt;&gt;"",F18&lt;&gt;""),E18*F18,"")</f>
        <v/>
      </c>
      <c r="H18" s="12">
        <f>IF(G18&lt;&gt;"",G18*0.0015,"")</f>
        <v/>
      </c>
      <c r="I18" s="12">
        <f>IF(AND(D18="BÁN",G18&lt;&gt;""),G18*0.001,0)</f>
        <v/>
      </c>
      <c r="J18" s="342" t="n"/>
      <c r="K18" s="12">
        <f>IF(D18="MUA",IFERROR((J18*F18+E18*F18)/(F18*2),E18),J18)</f>
        <v/>
      </c>
      <c r="L18" s="12">
        <f>IF(AND(D18="BÁN",E18&lt;&gt;"",F18&lt;&gt;"",J18&lt;&gt;""),ROUND((E18-J18)*F18-H18-I18,0),"")</f>
        <v/>
      </c>
      <c r="M18" s="12">
        <f>IF(AND(L18&lt;&gt;"",J18&gt;0),L18/(J18*F18),"")</f>
        <v/>
      </c>
      <c r="N18" s="343" t="n"/>
      <c r="O18" s="343" t="n"/>
      <c r="P18" s="343" t="n"/>
    </row>
    <row r="19" ht="21.75" customHeight="1" s="981">
      <c r="A19" s="344" t="inlineStr">
        <is>
          <t>28/05/2026</t>
        </is>
      </c>
      <c r="B19" s="344" t="inlineStr">
        <is>
          <t>HPG</t>
        </is>
      </c>
      <c r="C19" s="12" t="inlineStr">
        <is>
          <t>Hoa Phat</t>
        </is>
      </c>
      <c r="D19" s="344" t="inlineStr">
        <is>
          <t>MUA</t>
        </is>
      </c>
      <c r="E19" s="344" t="n">
        <v>26500</v>
      </c>
      <c r="F19" s="344" t="n">
        <v>400</v>
      </c>
      <c r="G19" s="12" t="n">
        <v>10600000</v>
      </c>
      <c r="H19" s="12" t="n">
        <v>15900</v>
      </c>
      <c r="I19" s="12">
        <f>IF(AND(D19="BÁN",G19&lt;&gt;""),G19*0.001,0)</f>
        <v/>
      </c>
      <c r="J19" s="344" t="n"/>
      <c r="K19" s="12" t="n">
        <v>5300000</v>
      </c>
      <c r="L19" s="12">
        <f>IF(AND(D19="BÁN",E19&lt;&gt;"",F19&lt;&gt;"",J19&lt;&gt;""),ROUND((E19-J19)*F19-H19-I19,0),"")</f>
        <v/>
      </c>
      <c r="M19" s="12">
        <f>IF(AND(L19&lt;&gt;"",J19&gt;0),L19/(J19*F19),"")</f>
        <v/>
      </c>
      <c r="N19" s="345" t="inlineStr">
        <is>
          <t>DCA HPG - Q2 steel demand tang + Dung Quat 2 full CS</t>
        </is>
      </c>
      <c r="O19" s="345" t="n"/>
      <c r="P19" s="345" t="n"/>
    </row>
    <row r="20" ht="21.75" customHeight="1" s="981">
      <c r="A20" s="342" t="inlineStr">
        <is>
          <t>29/05/2026</t>
        </is>
      </c>
      <c r="B20" s="342" t="inlineStr">
        <is>
          <t>FPT</t>
        </is>
      </c>
      <c r="C20" s="12" t="inlineStr">
        <is>
          <t>FPT Corp</t>
        </is>
      </c>
      <c r="D20" s="342" t="inlineStr">
        <is>
          <t>MUA</t>
        </is>
      </c>
      <c r="E20" s="342" t="n">
        <v>71200</v>
      </c>
      <c r="F20" s="342" t="n">
        <v>50</v>
      </c>
      <c r="G20" s="12" t="n">
        <v>3560000</v>
      </c>
      <c r="H20" s="12" t="n">
        <v>5340</v>
      </c>
      <c r="I20" s="12">
        <f>IF(AND(D20="BÁN",G20&lt;&gt;""),G20*0.001,0)</f>
        <v/>
      </c>
      <c r="J20" s="342" t="n"/>
      <c r="K20" s="12" t="n">
        <v>1780000</v>
      </c>
      <c r="L20" s="12">
        <f>IF(AND(D20="BÁN",E20&lt;&gt;"",F20&lt;&gt;"",J20&lt;&gt;""),ROUND((E20-J20)*F20-H20-I20,0),"")</f>
        <v/>
      </c>
      <c r="M20" s="12">
        <f>IF(AND(L20&lt;&gt;"",J20&gt;0),L20/(J20*F20),"")</f>
        <v/>
      </c>
      <c r="N20" s="343" t="inlineStr">
        <is>
          <t>DCA FPT - P/E 20.3 con hap dan, dat trong nuoc + quoc te tang</t>
        </is>
      </c>
      <c r="O20" s="343" t="n"/>
      <c r="P20" s="343" t="n"/>
    </row>
    <row r="21" ht="21.75" customHeight="1" s="981">
      <c r="A21" s="344" t="n"/>
      <c r="B21" s="344" t="n"/>
      <c r="C21" s="12">
        <f>IFERROR(VLOOKUP(B21,'📈 Cổ Phiếu VN 🔍'!$A:$C,2,0),"")</f>
        <v/>
      </c>
      <c r="D21" s="344" t="n"/>
      <c r="E21" s="344" t="n"/>
      <c r="F21" s="344" t="n"/>
      <c r="G21" s="12">
        <f>IF(AND(E21&lt;&gt;"",F21&lt;&gt;""),E21*F21,"")</f>
        <v/>
      </c>
      <c r="H21" s="12">
        <f>IF(G21&lt;&gt;"",G21*0.0015,"")</f>
        <v/>
      </c>
      <c r="I21" s="12">
        <f>IF(AND(D21="BÁN",G21&lt;&gt;""),G21*0.001,0)</f>
        <v/>
      </c>
      <c r="J21" s="344" t="n"/>
      <c r="K21" s="12">
        <f>IF(D21="MUA",IFERROR((J21*F21+E21*F21)/(F21*2),E21),J21)</f>
        <v/>
      </c>
      <c r="L21" s="12">
        <f>IF(AND(D21="BÁN",E21&lt;&gt;"",F21&lt;&gt;"",J21&lt;&gt;""),ROUND((E21-J21)*F21-H21-I21,0),"")</f>
        <v/>
      </c>
      <c r="M21" s="12">
        <f>IF(AND(L21&lt;&gt;"",J21&gt;0),L21/(J21*F21),"")</f>
        <v/>
      </c>
      <c r="N21" s="345" t="n"/>
      <c r="O21" s="345" t="n"/>
      <c r="P21" s="345" t="n"/>
    </row>
    <row r="22" ht="21.75" customHeight="1" s="981">
      <c r="A22" s="342" t="n"/>
      <c r="B22" s="342" t="n"/>
      <c r="C22" s="12">
        <f>IFERROR(VLOOKUP(B22,'📈 Cổ Phiếu VN 🔍'!$A:$C,2,0),"")</f>
        <v/>
      </c>
      <c r="D22" s="342" t="n"/>
      <c r="E22" s="342" t="n"/>
      <c r="F22" s="342" t="n"/>
      <c r="G22" s="12">
        <f>IF(AND(E22&lt;&gt;"",F22&lt;&gt;""),E22*F22,"")</f>
        <v/>
      </c>
      <c r="H22" s="12">
        <f>IF(G22&lt;&gt;"",G22*0.0015,"")</f>
        <v/>
      </c>
      <c r="I22" s="12">
        <f>IF(AND(D22="BÁN",G22&lt;&gt;""),G22*0.001,0)</f>
        <v/>
      </c>
      <c r="J22" s="342" t="n"/>
      <c r="K22" s="12">
        <f>IF(D22="MUA",IFERROR((J22*F22+E22*F22)/(F22*2),E22),J22)</f>
        <v/>
      </c>
      <c r="L22" s="12">
        <f>IF(AND(D22="BÁN",E22&lt;&gt;"",F22&lt;&gt;"",J22&lt;&gt;""),ROUND((E22-J22)*F22-H22-I22,0),"")</f>
        <v/>
      </c>
      <c r="M22" s="12">
        <f>IF(AND(L22&lt;&gt;"",J22&gt;0),L22/(J22*F22),"")</f>
        <v/>
      </c>
      <c r="N22" s="343" t="n"/>
      <c r="O22" s="343" t="n"/>
      <c r="P22" s="343" t="n"/>
    </row>
    <row r="23" ht="21.75" customHeight="1" s="981">
      <c r="A23" s="344" t="n"/>
      <c r="B23" s="344" t="n"/>
      <c r="C23" s="12">
        <f>IFERROR(VLOOKUP(B23,'📈 Cổ Phiếu VN 🔍'!$A:$C,2,0),"")</f>
        <v/>
      </c>
      <c r="D23" s="344" t="n"/>
      <c r="E23" s="344" t="n"/>
      <c r="F23" s="344" t="n"/>
      <c r="G23" s="12">
        <f>IF(AND(E23&lt;&gt;"",F23&lt;&gt;""),E23*F23,"")</f>
        <v/>
      </c>
      <c r="H23" s="12">
        <f>IF(G23&lt;&gt;"",G23*0.0015,"")</f>
        <v/>
      </c>
      <c r="I23" s="12">
        <f>IF(AND(D23="BÁN",G23&lt;&gt;""),G23*0.001,0)</f>
        <v/>
      </c>
      <c r="J23" s="344" t="n"/>
      <c r="K23" s="12">
        <f>IF(D23="MUA",IFERROR((J23*F23+E23*F23)/(F23*2),E23),J23)</f>
        <v/>
      </c>
      <c r="L23" s="12">
        <f>IF(AND(D23="BÁN",E23&lt;&gt;"",F23&lt;&gt;"",J23&lt;&gt;""),ROUND((E23-J23)*F23-H23-I23,0),"")</f>
        <v/>
      </c>
      <c r="M23" s="12">
        <f>IF(AND(L23&lt;&gt;"",J23&gt;0),L23/(J23*F23),"")</f>
        <v/>
      </c>
      <c r="N23" s="345" t="n"/>
      <c r="O23" s="345" t="n"/>
      <c r="P23" s="345" t="n"/>
    </row>
    <row r="24" ht="21.75" customHeight="1" s="981">
      <c r="A24" s="342" t="n"/>
      <c r="B24" s="342" t="n"/>
      <c r="C24" s="12">
        <f>IFERROR(VLOOKUP(B24,'📈 Cổ Phiếu VN 🔍'!$A:$C,2,0),"")</f>
        <v/>
      </c>
      <c r="D24" s="342" t="n"/>
      <c r="E24" s="342" t="n"/>
      <c r="F24" s="342" t="n"/>
      <c r="G24" s="12">
        <f>IF(AND(E24&lt;&gt;"",F24&lt;&gt;""),E24*F24,"")</f>
        <v/>
      </c>
      <c r="H24" s="12">
        <f>IF(G24&lt;&gt;"",G24*0.0015,"")</f>
        <v/>
      </c>
      <c r="I24" s="12">
        <f>IF(AND(D24="BÁN",G24&lt;&gt;""),G24*0.001,0)</f>
        <v/>
      </c>
      <c r="J24" s="342" t="n"/>
      <c r="K24" s="12">
        <f>IF(D24="MUA",IFERROR((J24*F24+E24*F24)/(F24*2),E24),J24)</f>
        <v/>
      </c>
      <c r="L24" s="12">
        <f>IF(AND(D24="BÁN",E24&lt;&gt;"",F24&lt;&gt;"",J24&lt;&gt;""),ROUND((E24-J24)*F24-H24-I24,0),"")</f>
        <v/>
      </c>
      <c r="M24" s="12">
        <f>IF(AND(L24&lt;&gt;"",J24&gt;0),L24/(J24*F24),"")</f>
        <v/>
      </c>
      <c r="N24" s="343" t="n"/>
      <c r="O24" s="343" t="n"/>
      <c r="P24" s="343" t="n"/>
    </row>
    <row r="25" ht="21.75" customHeight="1" s="981">
      <c r="A25" s="344" t="n"/>
      <c r="B25" s="344" t="n"/>
      <c r="C25" s="12">
        <f>IFERROR(VLOOKUP(B25,'📈 Cổ Phiếu VN 🔍'!$A:$C,2,0),"")</f>
        <v/>
      </c>
      <c r="D25" s="344" t="n"/>
      <c r="E25" s="344" t="n"/>
      <c r="F25" s="344" t="n"/>
      <c r="G25" s="12">
        <f>IF(AND(E25&lt;&gt;"",F25&lt;&gt;""),E25*F25,"")</f>
        <v/>
      </c>
      <c r="H25" s="12">
        <f>IF(G25&lt;&gt;"",G25*0.0015,"")</f>
        <v/>
      </c>
      <c r="I25" s="12">
        <f>IF(AND(D25="BÁN",G25&lt;&gt;""),G25*0.001,0)</f>
        <v/>
      </c>
      <c r="J25" s="344" t="n"/>
      <c r="K25" s="12">
        <f>IF(D25="MUA",IFERROR((J25*F25+E25*F25)/(F25*2),E25),J25)</f>
        <v/>
      </c>
      <c r="L25" s="12">
        <f>IF(AND(D25="BÁN",E25&lt;&gt;"",F25&lt;&gt;"",J25&lt;&gt;""),ROUND((E25-J25)*F25-H25-I25,0),"")</f>
        <v/>
      </c>
      <c r="M25" s="12">
        <f>IF(AND(L25&lt;&gt;"",J25&gt;0),L25/(J25*F25),"")</f>
        <v/>
      </c>
      <c r="N25" s="345" t="n"/>
      <c r="O25" s="345" t="n"/>
      <c r="P25" s="345" t="n"/>
    </row>
    <row r="26" ht="21.75" customHeight="1" s="981">
      <c r="A26" s="342" t="n"/>
      <c r="B26" s="342" t="n"/>
      <c r="C26" s="12">
        <f>IFERROR(VLOOKUP(B26,'📈 Cổ Phiếu VN 🔍'!$A:$C,2,0),"")</f>
        <v/>
      </c>
      <c r="D26" s="342" t="n"/>
      <c r="E26" s="342" t="n"/>
      <c r="F26" s="342" t="n"/>
      <c r="G26" s="12">
        <f>IF(AND(E26&lt;&gt;"",F26&lt;&gt;""),E26*F26,"")</f>
        <v/>
      </c>
      <c r="H26" s="12">
        <f>IF(G26&lt;&gt;"",G26*0.0015,"")</f>
        <v/>
      </c>
      <c r="I26" s="12">
        <f>IF(AND(D26="BÁN",G26&lt;&gt;""),G26*0.001,0)</f>
        <v/>
      </c>
      <c r="J26" s="342" t="n"/>
      <c r="K26" s="12">
        <f>IF(D26="MUA",IFERROR((J26*F26+E26*F26)/(F26*2),E26),J26)</f>
        <v/>
      </c>
      <c r="L26" s="12">
        <f>IF(AND(D26="BÁN",E26&lt;&gt;"",F26&lt;&gt;"",J26&lt;&gt;""),ROUND((E26-J26)*F26-H26-I26,0),"")</f>
        <v/>
      </c>
      <c r="M26" s="12">
        <f>IF(AND(L26&lt;&gt;"",J26&gt;0),L26/(J26*F26),"")</f>
        <v/>
      </c>
      <c r="N26" s="343" t="n"/>
      <c r="O26" s="343" t="n"/>
      <c r="P26" s="343" t="n"/>
    </row>
    <row r="27" ht="21.75" customHeight="1" s="981">
      <c r="A27" s="344" t="n"/>
      <c r="B27" s="344" t="n"/>
      <c r="C27" s="12">
        <f>IFERROR(VLOOKUP(B27,'📈 Cổ Phiếu VN 🔍'!$A:$C,2,0),"")</f>
        <v/>
      </c>
      <c r="D27" s="344" t="n"/>
      <c r="E27" s="344" t="n"/>
      <c r="F27" s="344" t="n"/>
      <c r="G27" s="12">
        <f>IF(AND(E27&lt;&gt;"",F27&lt;&gt;""),E27*F27,"")</f>
        <v/>
      </c>
      <c r="H27" s="12">
        <f>IF(G27&lt;&gt;"",G27*0.0015,"")</f>
        <v/>
      </c>
      <c r="I27" s="12">
        <f>IF(AND(D27="BÁN",G27&lt;&gt;""),G27*0.001,0)</f>
        <v/>
      </c>
      <c r="J27" s="344" t="n"/>
      <c r="K27" s="12">
        <f>IF(D27="MUA",IFERROR((J27*F27+E27*F27)/(F27*2),E27),J27)</f>
        <v/>
      </c>
      <c r="L27" s="12">
        <f>IF(AND(D27="BÁN",E27&lt;&gt;"",F27&lt;&gt;"",J27&lt;&gt;""),ROUND((E27-J27)*F27-H27-I27,0),"")</f>
        <v/>
      </c>
      <c r="M27" s="12">
        <f>IF(AND(L27&lt;&gt;"",J27&gt;0),L27/(J27*F27),"")</f>
        <v/>
      </c>
      <c r="N27" s="345" t="n"/>
      <c r="O27" s="345" t="n"/>
      <c r="P27" s="345" t="n"/>
    </row>
    <row r="28" ht="21.75" customHeight="1" s="981">
      <c r="A28" s="342" t="n"/>
      <c r="B28" s="342" t="n"/>
      <c r="C28" s="12">
        <f>IFERROR(VLOOKUP(B28,'📈 Cổ Phiếu VN 🔍'!$A:$C,2,0),"")</f>
        <v/>
      </c>
      <c r="D28" s="342" t="n"/>
      <c r="E28" s="342" t="n"/>
      <c r="F28" s="342" t="n"/>
      <c r="G28" s="12">
        <f>IF(AND(E28&lt;&gt;"",F28&lt;&gt;""),E28*F28,"")</f>
        <v/>
      </c>
      <c r="H28" s="12">
        <f>IF(G28&lt;&gt;"",G28*0.0015,"")</f>
        <v/>
      </c>
      <c r="I28" s="12">
        <f>IF(AND(D28="BÁN",G28&lt;&gt;""),G28*0.001,0)</f>
        <v/>
      </c>
      <c r="J28" s="342" t="n"/>
      <c r="K28" s="12">
        <f>IF(D28="MUA",IFERROR((J28*F28+E28*F28)/(F28*2),E28),J28)</f>
        <v/>
      </c>
      <c r="L28" s="12">
        <f>IF(AND(D28="BÁN",E28&lt;&gt;"",F28&lt;&gt;"",J28&lt;&gt;""),ROUND((E28-J28)*F28-H28-I28,0),"")</f>
        <v/>
      </c>
      <c r="M28" s="12">
        <f>IF(AND(L28&lt;&gt;"",J28&gt;0),L28/(J28*F28),"")</f>
        <v/>
      </c>
      <c r="N28" s="343" t="n"/>
      <c r="O28" s="343" t="n"/>
      <c r="P28" s="343" t="n"/>
    </row>
    <row r="29" ht="21.75" customHeight="1" s="981">
      <c r="A29" s="344" t="n"/>
      <c r="B29" s="344" t="n"/>
      <c r="C29" s="12">
        <f>IFERROR(VLOOKUP(B29,'📈 Cổ Phiếu VN 🔍'!$A:$C,2,0),"")</f>
        <v/>
      </c>
      <c r="D29" s="344" t="n"/>
      <c r="E29" s="344" t="n"/>
      <c r="F29" s="344" t="n"/>
      <c r="G29" s="12">
        <f>IF(AND(E29&lt;&gt;"",F29&lt;&gt;""),E29*F29,"")</f>
        <v/>
      </c>
      <c r="H29" s="12">
        <f>IF(G29&lt;&gt;"",G29*0.0015,"")</f>
        <v/>
      </c>
      <c r="I29" s="12">
        <f>IF(AND(D29="BÁN",G29&lt;&gt;""),G29*0.001,0)</f>
        <v/>
      </c>
      <c r="J29" s="344" t="n"/>
      <c r="K29" s="12">
        <f>IF(D29="MUA",IFERROR((J29*F29+E29*F29)/(F29*2),E29),J29)</f>
        <v/>
      </c>
      <c r="L29" s="12">
        <f>IF(AND(D29="BÁN",E29&lt;&gt;"",F29&lt;&gt;"",J29&lt;&gt;""),ROUND((E29-J29)*F29-H29-I29,0),"")</f>
        <v/>
      </c>
      <c r="M29" s="12">
        <f>IF(AND(L29&lt;&gt;"",J29&gt;0),L29/(J29*F29),"")</f>
        <v/>
      </c>
      <c r="N29" s="345" t="n"/>
      <c r="O29" s="345" t="n"/>
      <c r="P29" s="345" t="n"/>
    </row>
    <row r="30" ht="21.75" customHeight="1" s="981">
      <c r="A30" s="342" t="n"/>
      <c r="B30" s="342" t="n"/>
      <c r="C30" s="12">
        <f>IFERROR(VLOOKUP(B30,'📈 Cổ Phiếu VN 🔍'!$A:$C,2,0),"")</f>
        <v/>
      </c>
      <c r="D30" s="342" t="n"/>
      <c r="E30" s="342" t="n"/>
      <c r="F30" s="342" t="n"/>
      <c r="G30" s="12">
        <f>IF(AND(E30&lt;&gt;"",F30&lt;&gt;""),E30*F30,"")</f>
        <v/>
      </c>
      <c r="H30" s="12">
        <f>IF(G30&lt;&gt;"",G30*0.0015,"")</f>
        <v/>
      </c>
      <c r="I30" s="12">
        <f>IF(AND(D30="BÁN",G30&lt;&gt;""),G30*0.001,0)</f>
        <v/>
      </c>
      <c r="J30" s="342" t="n"/>
      <c r="K30" s="12">
        <f>IF(D30="MUA",IFERROR((J30*F30+E30*F30)/(F30*2),E30),J30)</f>
        <v/>
      </c>
      <c r="L30" s="12">
        <f>IF(AND(D30="BÁN",E30&lt;&gt;"",F30&lt;&gt;"",J30&lt;&gt;""),ROUND((E30-J30)*F30-H30-I30,0),"")</f>
        <v/>
      </c>
      <c r="M30" s="12">
        <f>IF(AND(L30&lt;&gt;"",J30&gt;0),L30/(J30*F30),"")</f>
        <v/>
      </c>
      <c r="N30" s="343" t="n"/>
      <c r="O30" s="343" t="n"/>
      <c r="P30" s="343" t="n"/>
    </row>
    <row r="31" ht="21.75" customHeight="1" s="981">
      <c r="A31" s="344" t="n"/>
      <c r="B31" s="344" t="n"/>
      <c r="C31" s="12">
        <f>IFERROR(VLOOKUP(B31,'📈 Cổ Phiếu VN 🔍'!$A:$C,2,0),"")</f>
        <v/>
      </c>
      <c r="D31" s="344" t="n"/>
      <c r="E31" s="344" t="n"/>
      <c r="F31" s="344" t="n"/>
      <c r="G31" s="12">
        <f>IF(AND(E31&lt;&gt;"",F31&lt;&gt;""),E31*F31,"")</f>
        <v/>
      </c>
      <c r="H31" s="12">
        <f>IF(G31&lt;&gt;"",G31*0.0015,"")</f>
        <v/>
      </c>
      <c r="I31" s="12">
        <f>IF(AND(D31="BÁN",G31&lt;&gt;""),G31*0.001,0)</f>
        <v/>
      </c>
      <c r="J31" s="344" t="n"/>
      <c r="K31" s="12">
        <f>IF(D31="MUA",IFERROR((J31*F31+E31*F31)/(F31*2),E31),J31)</f>
        <v/>
      </c>
      <c r="L31" s="12">
        <f>IF(AND(D31="BÁN",E31&lt;&gt;"",F31&lt;&gt;"",J31&lt;&gt;""),ROUND((E31-J31)*F31-H31-I31,0),"")</f>
        <v/>
      </c>
      <c r="M31" s="12">
        <f>IF(AND(L31&lt;&gt;"",J31&gt;0),L31/(J31*F31),"")</f>
        <v/>
      </c>
      <c r="N31" s="345" t="n"/>
      <c r="O31" s="345" t="n"/>
      <c r="P31" s="345" t="n"/>
    </row>
    <row r="32" ht="21.75" customHeight="1" s="981">
      <c r="A32" s="342" t="n"/>
      <c r="B32" s="342" t="n"/>
      <c r="C32" s="12">
        <f>IFERROR(VLOOKUP(B32,'📈 Cổ Phiếu VN 🔍'!$A:$C,2,0),"")</f>
        <v/>
      </c>
      <c r="D32" s="342" t="n"/>
      <c r="E32" s="342" t="n"/>
      <c r="F32" s="342" t="n"/>
      <c r="G32" s="12">
        <f>IF(AND(E32&lt;&gt;"",F32&lt;&gt;""),E32*F32,"")</f>
        <v/>
      </c>
      <c r="H32" s="12">
        <f>IF(G32&lt;&gt;"",G32*0.0015,"")</f>
        <v/>
      </c>
      <c r="I32" s="12">
        <f>IF(AND(D32="BÁN",G32&lt;&gt;""),G32*0.001,0)</f>
        <v/>
      </c>
      <c r="J32" s="342" t="n"/>
      <c r="K32" s="12">
        <f>IF(D32="MUA",IFERROR((J32*F32+E32*F32)/(F32*2),E32),J32)</f>
        <v/>
      </c>
      <c r="L32" s="12">
        <f>IF(AND(D32="BÁN",E32&lt;&gt;"",F32&lt;&gt;"",J32&lt;&gt;""),ROUND((E32-J32)*F32-H32-I32,0),"")</f>
        <v/>
      </c>
      <c r="M32" s="12">
        <f>IF(AND(L32&lt;&gt;"",J32&gt;0),L32/(J32*F32),"")</f>
        <v/>
      </c>
      <c r="N32" s="343" t="n"/>
      <c r="O32" s="343" t="n"/>
      <c r="P32" s="343" t="n"/>
    </row>
    <row r="33" ht="21.75" customHeight="1" s="981">
      <c r="A33" s="344" t="n"/>
      <c r="B33" s="344" t="n"/>
      <c r="C33" s="12">
        <f>IFERROR(VLOOKUP(B33,'📈 Cổ Phiếu VN 🔍'!$A:$C,2,0),"")</f>
        <v/>
      </c>
      <c r="D33" s="344" t="n"/>
      <c r="E33" s="344" t="n"/>
      <c r="F33" s="344" t="n"/>
      <c r="G33" s="12">
        <f>IF(AND(E33&lt;&gt;"",F33&lt;&gt;""),E33*F33,"")</f>
        <v/>
      </c>
      <c r="H33" s="12">
        <f>IF(G33&lt;&gt;"",G33*0.0015,"")</f>
        <v/>
      </c>
      <c r="I33" s="12">
        <f>IF(AND(D33="BÁN",G33&lt;&gt;""),G33*0.001,0)</f>
        <v/>
      </c>
      <c r="J33" s="344" t="n"/>
      <c r="K33" s="12">
        <f>IF(D33="MUA",IFERROR((J33*F33+E33*F33)/(F33*2),E33),J33)</f>
        <v/>
      </c>
      <c r="L33" s="12">
        <f>IF(AND(D33="BÁN",E33&lt;&gt;"",F33&lt;&gt;"",J33&lt;&gt;""),ROUND((E33-J33)*F33-H33-I33,0),"")</f>
        <v/>
      </c>
      <c r="M33" s="12">
        <f>IF(AND(L33&lt;&gt;"",J33&gt;0),L33/(J33*F33),"")</f>
        <v/>
      </c>
      <c r="N33" s="345" t="n"/>
      <c r="O33" s="345" t="n"/>
      <c r="P33" s="345" t="n"/>
    </row>
    <row r="34" ht="21.75" customHeight="1" s="981">
      <c r="A34" s="342" t="n"/>
      <c r="B34" s="342" t="n"/>
      <c r="C34" s="12">
        <f>IFERROR(VLOOKUP(B34,'📈 Cổ Phiếu VN 🔍'!$A:$C,2,0),"")</f>
        <v/>
      </c>
      <c r="D34" s="342" t="n"/>
      <c r="E34" s="342" t="n"/>
      <c r="F34" s="342" t="n"/>
      <c r="G34" s="12">
        <f>IF(AND(E34&lt;&gt;"",F34&lt;&gt;""),E34*F34,"")</f>
        <v/>
      </c>
      <c r="H34" s="12">
        <f>IF(G34&lt;&gt;"",G34*0.0015,"")</f>
        <v/>
      </c>
      <c r="I34" s="12">
        <f>IF(AND(D34="BÁN",G34&lt;&gt;""),G34*0.001,0)</f>
        <v/>
      </c>
      <c r="J34" s="342" t="n"/>
      <c r="K34" s="12">
        <f>IF(D34="MUA",IFERROR((J34*F34+E34*F34)/(F34*2),E34),J34)</f>
        <v/>
      </c>
      <c r="L34" s="12">
        <f>IF(AND(D34="BÁN",E34&lt;&gt;"",F34&lt;&gt;"",J34&lt;&gt;""),ROUND((E34-J34)*F34-H34-I34,0),"")</f>
        <v/>
      </c>
      <c r="M34" s="12">
        <f>IF(AND(L34&lt;&gt;"",J34&gt;0),L34/(J34*F34),"")</f>
        <v/>
      </c>
      <c r="N34" s="343" t="n"/>
      <c r="O34" s="343" t="n"/>
      <c r="P34" s="343" t="n"/>
    </row>
    <row r="35" ht="21.75" customHeight="1" s="981">
      <c r="A35" s="344" t="n"/>
      <c r="B35" s="344" t="n"/>
      <c r="C35" s="12">
        <f>IFERROR(VLOOKUP(B35,'📈 Cổ Phiếu VN 🔍'!$A:$C,2,0),"")</f>
        <v/>
      </c>
      <c r="D35" s="344" t="n"/>
      <c r="E35" s="344" t="n"/>
      <c r="F35" s="344" t="n"/>
      <c r="G35" s="12">
        <f>IF(AND(E35&lt;&gt;"",F35&lt;&gt;""),E35*F35,"")</f>
        <v/>
      </c>
      <c r="H35" s="12">
        <f>IF(G35&lt;&gt;"",G35*0.0015,"")</f>
        <v/>
      </c>
      <c r="I35" s="12">
        <f>IF(AND(D35="BÁN",G35&lt;&gt;""),G35*0.001,0)</f>
        <v/>
      </c>
      <c r="J35" s="344" t="n"/>
      <c r="K35" s="12">
        <f>IF(D35="MUA",IFERROR((J35*F35+E35*F35)/(F35*2),E35),J35)</f>
        <v/>
      </c>
      <c r="L35" s="12">
        <f>IF(AND(D35="BÁN",E35&lt;&gt;"",F35&lt;&gt;"",J35&lt;&gt;""),ROUND((E35-J35)*F35-H35-I35,0),"")</f>
        <v/>
      </c>
      <c r="M35" s="12">
        <f>IF(AND(L35&lt;&gt;"",J35&gt;0),L35/(J35*F35),"")</f>
        <v/>
      </c>
      <c r="N35" s="345" t="n"/>
      <c r="O35" s="345" t="n"/>
      <c r="P35" s="345" t="n"/>
    </row>
    <row r="36" ht="21.75" customHeight="1" s="981">
      <c r="A36" s="342" t="n"/>
      <c r="B36" s="342" t="n"/>
      <c r="C36" s="12">
        <f>IFERROR(VLOOKUP(B36,'📈 Cổ Phiếu VN 🔍'!$A:$C,2,0),"")</f>
        <v/>
      </c>
      <c r="D36" s="342" t="n"/>
      <c r="E36" s="342" t="n"/>
      <c r="F36" s="342" t="n"/>
      <c r="G36" s="12">
        <f>IF(AND(E36&lt;&gt;"",F36&lt;&gt;""),E36*F36,"")</f>
        <v/>
      </c>
      <c r="H36" s="12">
        <f>IF(G36&lt;&gt;"",G36*0.0015,"")</f>
        <v/>
      </c>
      <c r="I36" s="12">
        <f>IF(AND(D36="BÁN",G36&lt;&gt;""),G36*0.001,0)</f>
        <v/>
      </c>
      <c r="J36" s="342" t="n"/>
      <c r="K36" s="12">
        <f>IF(D36="MUA",IFERROR((J36*F36+E36*F36)/(F36*2),E36),J36)</f>
        <v/>
      </c>
      <c r="L36" s="12">
        <f>IF(AND(D36="BÁN",E36&lt;&gt;"",F36&lt;&gt;"",J36&lt;&gt;""),ROUND((E36-J36)*F36-H36-I36,0),"")</f>
        <v/>
      </c>
      <c r="M36" s="12">
        <f>IF(AND(L36&lt;&gt;"",J36&gt;0),L36/(J36*F36),"")</f>
        <v/>
      </c>
      <c r="N36" s="343" t="n"/>
      <c r="O36" s="343" t="n"/>
      <c r="P36" s="343" t="n"/>
    </row>
    <row r="37" ht="21.75" customHeight="1" s="981">
      <c r="A37" s="344" t="n"/>
      <c r="B37" s="344" t="n"/>
      <c r="C37" s="12">
        <f>IFERROR(VLOOKUP(B37,'📈 Cổ Phiếu VN 🔍'!$A:$C,2,0),"")</f>
        <v/>
      </c>
      <c r="D37" s="344" t="n"/>
      <c r="E37" s="344" t="n"/>
      <c r="F37" s="344" t="n"/>
      <c r="G37" s="12">
        <f>IF(AND(E37&lt;&gt;"",F37&lt;&gt;""),E37*F37,"")</f>
        <v/>
      </c>
      <c r="H37" s="12">
        <f>IF(G37&lt;&gt;"",G37*0.0015,"")</f>
        <v/>
      </c>
      <c r="I37" s="12">
        <f>IF(AND(D37="BÁN",G37&lt;&gt;""),G37*0.001,0)</f>
        <v/>
      </c>
      <c r="J37" s="344" t="n"/>
      <c r="K37" s="12">
        <f>IF(D37="MUA",IFERROR((J37*F37+E37*F37)/(F37*2),E37),J37)</f>
        <v/>
      </c>
      <c r="L37" s="12">
        <f>IF(AND(D37="BÁN",E37&lt;&gt;"",F37&lt;&gt;"",J37&lt;&gt;""),ROUND((E37-J37)*F37-H37-I37,0),"")</f>
        <v/>
      </c>
      <c r="M37" s="12">
        <f>IF(AND(L37&lt;&gt;"",J37&gt;0),L37/(J37*F37),"")</f>
        <v/>
      </c>
      <c r="N37" s="345" t="n"/>
      <c r="O37" s="345" t="n"/>
      <c r="P37" s="345" t="n"/>
    </row>
    <row r="38" ht="21.75" customHeight="1" s="981">
      <c r="A38" s="342" t="n"/>
      <c r="B38" s="342" t="n"/>
      <c r="C38" s="12">
        <f>IFERROR(VLOOKUP(B38,'📈 Cổ Phiếu VN 🔍'!$A:$C,2,0),"")</f>
        <v/>
      </c>
      <c r="D38" s="342" t="n"/>
      <c r="E38" s="342" t="n"/>
      <c r="F38" s="342" t="n"/>
      <c r="G38" s="12">
        <f>IF(AND(E38&lt;&gt;"",F38&lt;&gt;""),E38*F38,"")</f>
        <v/>
      </c>
      <c r="H38" s="12">
        <f>IF(G38&lt;&gt;"",G38*0.0015,"")</f>
        <v/>
      </c>
      <c r="I38" s="12">
        <f>IF(AND(D38="BÁN",G38&lt;&gt;""),G38*0.001,0)</f>
        <v/>
      </c>
      <c r="J38" s="342" t="n"/>
      <c r="K38" s="12">
        <f>IF(D38="MUA",IFERROR((J38*F38+E38*F38)/(F38*2),E38),J38)</f>
        <v/>
      </c>
      <c r="L38" s="12">
        <f>IF(AND(D38="BÁN",E38&lt;&gt;"",F38&lt;&gt;"",J38&lt;&gt;""),ROUND((E38-J38)*F38-H38-I38,0),"")</f>
        <v/>
      </c>
      <c r="M38" s="12">
        <f>IF(AND(L38&lt;&gt;"",J38&gt;0),L38/(J38*F38),"")</f>
        <v/>
      </c>
      <c r="N38" s="343" t="n"/>
      <c r="O38" s="343" t="n"/>
      <c r="P38" s="343" t="n"/>
    </row>
    <row r="39" ht="21.75" customHeight="1" s="981">
      <c r="A39" s="344" t="n"/>
      <c r="B39" s="344" t="n"/>
      <c r="C39" s="12">
        <f>IFERROR(VLOOKUP(B39,'📈 Cổ Phiếu VN 🔍'!$A:$C,2,0),"")</f>
        <v/>
      </c>
      <c r="D39" s="344" t="n"/>
      <c r="E39" s="344" t="n"/>
      <c r="F39" s="344" t="n"/>
      <c r="G39" s="12">
        <f>IF(AND(E39&lt;&gt;"",F39&lt;&gt;""),E39*F39,"")</f>
        <v/>
      </c>
      <c r="H39" s="12">
        <f>IF(G39&lt;&gt;"",G39*0.0015,"")</f>
        <v/>
      </c>
      <c r="I39" s="12">
        <f>IF(AND(D39="BÁN",G39&lt;&gt;""),G39*0.001,0)</f>
        <v/>
      </c>
      <c r="J39" s="344" t="n"/>
      <c r="K39" s="12">
        <f>IF(D39="MUA",IFERROR((J39*F39+E39*F39)/(F39*2),E39),J39)</f>
        <v/>
      </c>
      <c r="L39" s="12">
        <f>IF(AND(D39="BÁN",E39&lt;&gt;"",F39&lt;&gt;"",J39&lt;&gt;""),ROUND((E39-J39)*F39-H39-I39,0),"")</f>
        <v/>
      </c>
      <c r="M39" s="12">
        <f>IF(AND(L39&lt;&gt;"",J39&gt;0),L39/(J39*F39),"")</f>
        <v/>
      </c>
      <c r="N39" s="345" t="n"/>
      <c r="O39" s="345" t="n"/>
      <c r="P39" s="345" t="n"/>
    </row>
    <row r="40" ht="21.75" customHeight="1" s="981">
      <c r="A40" s="342" t="n"/>
      <c r="B40" s="342" t="n"/>
      <c r="C40" s="12">
        <f>IFERROR(VLOOKUP(B40,'📈 Cổ Phiếu VN 🔍'!$A:$C,2,0),"")</f>
        <v/>
      </c>
      <c r="D40" s="342" t="n"/>
      <c r="E40" s="342" t="n"/>
      <c r="F40" s="342" t="n"/>
      <c r="G40" s="12">
        <f>IF(AND(E40&lt;&gt;"",F40&lt;&gt;""),E40*F40,"")</f>
        <v/>
      </c>
      <c r="H40" s="12">
        <f>IF(G40&lt;&gt;"",G40*0.0015,"")</f>
        <v/>
      </c>
      <c r="I40" s="12">
        <f>IF(AND(D40="BÁN",G40&lt;&gt;""),G40*0.001,0)</f>
        <v/>
      </c>
      <c r="J40" s="342" t="n"/>
      <c r="K40" s="12">
        <f>IF(D40="MUA",IFERROR((J40*F40+E40*F40)/(F40*2),E40),J40)</f>
        <v/>
      </c>
      <c r="L40" s="12">
        <f>IF(AND(D40="BÁN",E40&lt;&gt;"",F40&lt;&gt;"",J40&lt;&gt;""),ROUND((E40-J40)*F40-H40-I40,0),"")</f>
        <v/>
      </c>
      <c r="M40" s="12">
        <f>IF(AND(L40&lt;&gt;"",J40&gt;0),L40/(J40*F40),"")</f>
        <v/>
      </c>
      <c r="N40" s="343" t="n"/>
      <c r="O40" s="343" t="n"/>
      <c r="P40" s="343" t="n"/>
    </row>
    <row r="41" ht="21.75" customHeight="1" s="981">
      <c r="A41" s="344" t="n"/>
      <c r="B41" s="344" t="n"/>
      <c r="C41" s="12">
        <f>IFERROR(VLOOKUP(B41,'📈 Cổ Phiếu VN 🔍'!$A:$C,2,0),"")</f>
        <v/>
      </c>
      <c r="D41" s="344" t="n"/>
      <c r="E41" s="344" t="n"/>
      <c r="F41" s="344" t="n"/>
      <c r="G41" s="12">
        <f>IF(AND(E41&lt;&gt;"",F41&lt;&gt;""),E41*F41,"")</f>
        <v/>
      </c>
      <c r="H41" s="12">
        <f>IF(G41&lt;&gt;"",G41*0.0015,"")</f>
        <v/>
      </c>
      <c r="I41" s="12">
        <f>IF(AND(D41="BÁN",G41&lt;&gt;""),G41*0.001,0)</f>
        <v/>
      </c>
      <c r="J41" s="344" t="n"/>
      <c r="K41" s="12">
        <f>IF(D41="MUA",IFERROR((J41*F41+E41*F41)/(F41*2),E41),J41)</f>
        <v/>
      </c>
      <c r="L41" s="12">
        <f>IF(AND(D41="BÁN",E41&lt;&gt;"",F41&lt;&gt;"",J41&lt;&gt;""),ROUND((E41-J41)*F41-H41-I41,0),"")</f>
        <v/>
      </c>
      <c r="M41" s="12">
        <f>IF(AND(L41&lt;&gt;"",J41&gt;0),L41/(J41*F41),"")</f>
        <v/>
      </c>
      <c r="N41" s="345" t="n"/>
      <c r="O41" s="345" t="n"/>
      <c r="P41" s="345" t="n"/>
    </row>
    <row r="42" ht="21.75" customHeight="1" s="981">
      <c r="A42" s="342" t="n"/>
      <c r="B42" s="342" t="n"/>
      <c r="C42" s="12">
        <f>IFERROR(VLOOKUP(B42,'📈 Cổ Phiếu VN 🔍'!$A:$C,2,0),"")</f>
        <v/>
      </c>
      <c r="D42" s="342" t="n"/>
      <c r="E42" s="342" t="n"/>
      <c r="F42" s="342" t="n"/>
      <c r="G42" s="12">
        <f>IF(AND(E42&lt;&gt;"",F42&lt;&gt;""),E42*F42,"")</f>
        <v/>
      </c>
      <c r="H42" s="12">
        <f>IF(G42&lt;&gt;"",G42*0.0015,"")</f>
        <v/>
      </c>
      <c r="I42" s="12">
        <f>IF(AND(D42="BÁN",G42&lt;&gt;""),G42*0.001,0)</f>
        <v/>
      </c>
      <c r="J42" s="342" t="n"/>
      <c r="K42" s="12">
        <f>IF(D42="MUA",IFERROR((J42*F42+E42*F42)/(F42*2),E42),J42)</f>
        <v/>
      </c>
      <c r="L42" s="12">
        <f>IF(AND(D42="BÁN",E42&lt;&gt;"",F42&lt;&gt;"",J42&lt;&gt;""),ROUND((E42-J42)*F42-H42-I42,0),"")</f>
        <v/>
      </c>
      <c r="M42" s="12">
        <f>IF(AND(L42&lt;&gt;"",J42&gt;0),L42/(J42*F42),"")</f>
        <v/>
      </c>
      <c r="N42" s="343" t="n"/>
      <c r="O42" s="343" t="n"/>
      <c r="P42" s="343" t="n"/>
    </row>
    <row r="43" ht="21.75" customHeight="1" s="981">
      <c r="A43" s="344" t="n"/>
      <c r="B43" s="344" t="n"/>
      <c r="C43" s="12">
        <f>IFERROR(VLOOKUP(B43,'📈 Cổ Phiếu VN 🔍'!$A:$C,2,0),"")</f>
        <v/>
      </c>
      <c r="D43" s="344" t="n"/>
      <c r="E43" s="344" t="n"/>
      <c r="F43" s="344" t="n"/>
      <c r="G43" s="12">
        <f>IF(AND(E43&lt;&gt;"",F43&lt;&gt;""),E43*F43,"")</f>
        <v/>
      </c>
      <c r="H43" s="12">
        <f>IF(G43&lt;&gt;"",G43*0.0015,"")</f>
        <v/>
      </c>
      <c r="I43" s="12">
        <f>IF(AND(D43="BÁN",G43&lt;&gt;""),G43*0.001,0)</f>
        <v/>
      </c>
      <c r="J43" s="344" t="n"/>
      <c r="K43" s="12">
        <f>IF(D43="MUA",IFERROR((J43*F43+E43*F43)/(F43*2),E43),J43)</f>
        <v/>
      </c>
      <c r="L43" s="12">
        <f>IF(AND(D43="BÁN",E43&lt;&gt;"",F43&lt;&gt;"",J43&lt;&gt;""),ROUND((E43-J43)*F43-H43-I43,0),"")</f>
        <v/>
      </c>
      <c r="M43" s="12">
        <f>IF(AND(L43&lt;&gt;"",J43&gt;0),L43/(J43*F43),"")</f>
        <v/>
      </c>
      <c r="N43" s="345" t="n"/>
      <c r="O43" s="345" t="n"/>
      <c r="P43" s="345" t="n"/>
    </row>
    <row r="44" ht="21.75" customHeight="1" s="981">
      <c r="A44" s="342" t="n"/>
      <c r="B44" s="342" t="n"/>
      <c r="C44" s="12">
        <f>IFERROR(VLOOKUP(B44,'📈 Cổ Phiếu VN 🔍'!$A:$C,2,0),"")</f>
        <v/>
      </c>
      <c r="D44" s="342" t="n"/>
      <c r="E44" s="342" t="n"/>
      <c r="F44" s="342" t="n"/>
      <c r="G44" s="12">
        <f>IF(AND(E44&lt;&gt;"",F44&lt;&gt;""),E44*F44,"")</f>
        <v/>
      </c>
      <c r="H44" s="12">
        <f>IF(G44&lt;&gt;"",G44*0.0015,"")</f>
        <v/>
      </c>
      <c r="I44" s="12">
        <f>IF(AND(D44="BÁN",G44&lt;&gt;""),G44*0.001,0)</f>
        <v/>
      </c>
      <c r="J44" s="342" t="n"/>
      <c r="K44" s="12">
        <f>IF(D44="MUA",IFERROR((J44*F44+E44*F44)/(F44*2),E44),J44)</f>
        <v/>
      </c>
      <c r="L44" s="12">
        <f>IF(AND(D44="BÁN",E44&lt;&gt;"",F44&lt;&gt;"",J44&lt;&gt;""),ROUND((E44-J44)*F44-H44-I44,0),"")</f>
        <v/>
      </c>
      <c r="M44" s="12">
        <f>IF(AND(L44&lt;&gt;"",J44&gt;0),L44/(J44*F44),"")</f>
        <v/>
      </c>
      <c r="N44" s="343" t="n"/>
      <c r="O44" s="343" t="n"/>
      <c r="P44" s="343" t="n"/>
    </row>
    <row r="45" ht="21.75" customHeight="1" s="981">
      <c r="A45" s="344" t="n"/>
      <c r="B45" s="344" t="n"/>
      <c r="C45" s="12">
        <f>IFERROR(VLOOKUP(B45,'📈 Cổ Phiếu VN 🔍'!$A:$C,2,0),"")</f>
        <v/>
      </c>
      <c r="D45" s="344" t="n"/>
      <c r="E45" s="344" t="n"/>
      <c r="F45" s="344" t="n"/>
      <c r="G45" s="12">
        <f>IF(AND(E45&lt;&gt;"",F45&lt;&gt;""),E45*F45,"")</f>
        <v/>
      </c>
      <c r="H45" s="12">
        <f>IF(G45&lt;&gt;"",G45*0.0015,"")</f>
        <v/>
      </c>
      <c r="I45" s="12">
        <f>IF(AND(D45="BÁN",G45&lt;&gt;""),G45*0.001,0)</f>
        <v/>
      </c>
      <c r="J45" s="344" t="n"/>
      <c r="K45" s="12">
        <f>IF(D45="MUA",IFERROR((J45*F45+E45*F45)/(F45*2),E45),J45)</f>
        <v/>
      </c>
      <c r="L45" s="12">
        <f>IF(AND(D45="BÁN",E45&lt;&gt;"",F45&lt;&gt;"",J45&lt;&gt;""),ROUND((E45-J45)*F45-H45-I45,0),"")</f>
        <v/>
      </c>
      <c r="M45" s="12">
        <f>IF(AND(L45&lt;&gt;"",J45&gt;0),L45/(J45*F45),"")</f>
        <v/>
      </c>
      <c r="N45" s="345" t="n"/>
      <c r="O45" s="345" t="n"/>
      <c r="P45" s="345" t="n"/>
    </row>
    <row r="46" ht="21.75" customHeight="1" s="981">
      <c r="A46" s="342" t="n"/>
      <c r="B46" s="342" t="n"/>
      <c r="C46" s="12">
        <f>IFERROR(VLOOKUP(B46,'📈 Cổ Phiếu VN 🔍'!$A:$C,2,0),"")</f>
        <v/>
      </c>
      <c r="D46" s="342" t="n"/>
      <c r="E46" s="342" t="n"/>
      <c r="F46" s="342" t="n"/>
      <c r="G46" s="12">
        <f>IF(AND(E46&lt;&gt;"",F46&lt;&gt;""),E46*F46,"")</f>
        <v/>
      </c>
      <c r="H46" s="12">
        <f>IF(G46&lt;&gt;"",G46*0.0015,"")</f>
        <v/>
      </c>
      <c r="I46" s="12">
        <f>IF(AND(D46="BÁN",G46&lt;&gt;""),G46*0.001,0)</f>
        <v/>
      </c>
      <c r="J46" s="342" t="n"/>
      <c r="K46" s="12">
        <f>IF(D46="MUA",IFERROR((J46*F46+E46*F46)/(F46*2),E46),J46)</f>
        <v/>
      </c>
      <c r="L46" s="12">
        <f>IF(AND(D46="BÁN",E46&lt;&gt;"",F46&lt;&gt;"",J46&lt;&gt;""),ROUND((E46-J46)*F46-H46-I46,0),"")</f>
        <v/>
      </c>
      <c r="M46" s="12">
        <f>IF(AND(L46&lt;&gt;"",J46&gt;0),L46/(J46*F46),"")</f>
        <v/>
      </c>
      <c r="N46" s="343" t="n"/>
      <c r="O46" s="343" t="n"/>
      <c r="P46" s="343" t="n"/>
    </row>
    <row r="47" ht="21.75" customHeight="1" s="981">
      <c r="A47" s="344" t="n"/>
      <c r="B47" s="344" t="n"/>
      <c r="C47" s="12">
        <f>IFERROR(VLOOKUP(B47,'📈 Cổ Phiếu VN 🔍'!$A:$C,2,0),"")</f>
        <v/>
      </c>
      <c r="D47" s="344" t="n"/>
      <c r="E47" s="344" t="n"/>
      <c r="F47" s="344" t="n"/>
      <c r="G47" s="12">
        <f>IF(AND(E47&lt;&gt;"",F47&lt;&gt;""),E47*F47,"")</f>
        <v/>
      </c>
      <c r="H47" s="12">
        <f>IF(G47&lt;&gt;"",G47*0.0015,"")</f>
        <v/>
      </c>
      <c r="I47" s="12">
        <f>IF(AND(D47="BÁN",G47&lt;&gt;""),G47*0.001,0)</f>
        <v/>
      </c>
      <c r="J47" s="344" t="n"/>
      <c r="K47" s="12">
        <f>IF(D47="MUA",IFERROR((J47*F47+E47*F47)/(F47*2),E47),J47)</f>
        <v/>
      </c>
      <c r="L47" s="12">
        <f>IF(AND(D47="BÁN",E47&lt;&gt;"",F47&lt;&gt;"",J47&lt;&gt;""),ROUND((E47-J47)*F47-H47-I47,0),"")</f>
        <v/>
      </c>
      <c r="M47" s="12">
        <f>IF(AND(L47&lt;&gt;"",J47&gt;0),L47/(J47*F47),"")</f>
        <v/>
      </c>
      <c r="N47" s="345" t="n"/>
      <c r="O47" s="345" t="n"/>
      <c r="P47" s="345" t="n"/>
    </row>
    <row r="48" ht="21.75" customHeight="1" s="981">
      <c r="A48" s="342" t="n"/>
      <c r="B48" s="342" t="n"/>
      <c r="C48" s="12">
        <f>IFERROR(VLOOKUP(B48,'📈 Cổ Phiếu VN 🔍'!$A:$C,2,0),"")</f>
        <v/>
      </c>
      <c r="D48" s="342" t="n"/>
      <c r="E48" s="342" t="n"/>
      <c r="F48" s="342" t="n"/>
      <c r="G48" s="12">
        <f>IF(AND(E48&lt;&gt;"",F48&lt;&gt;""),E48*F48,"")</f>
        <v/>
      </c>
      <c r="H48" s="12">
        <f>IF(G48&lt;&gt;"",G48*0.0015,"")</f>
        <v/>
      </c>
      <c r="I48" s="12">
        <f>IF(AND(D48="BÁN",G48&lt;&gt;""),G48*0.001,0)</f>
        <v/>
      </c>
      <c r="J48" s="342" t="n"/>
      <c r="K48" s="12">
        <f>IF(D48="MUA",IFERROR((J48*F48+E48*F48)/(F48*2),E48),J48)</f>
        <v/>
      </c>
      <c r="L48" s="12">
        <f>IF(AND(D48="BÁN",E48&lt;&gt;"",F48&lt;&gt;"",J48&lt;&gt;""),ROUND((E48-J48)*F48-H48-I48,0),"")</f>
        <v/>
      </c>
      <c r="M48" s="12">
        <f>IF(AND(L48&lt;&gt;"",J48&gt;0),L48/(J48*F48),"")</f>
        <v/>
      </c>
      <c r="N48" s="343" t="n"/>
      <c r="O48" s="343" t="n"/>
      <c r="P48" s="343" t="n"/>
    </row>
    <row r="49" ht="21.75" customHeight="1" s="981">
      <c r="A49" s="344" t="n"/>
      <c r="B49" s="344" t="n"/>
      <c r="C49" s="12">
        <f>IFERROR(VLOOKUP(B49,'📈 Cổ Phiếu VN 🔍'!$A:$C,2,0),"")</f>
        <v/>
      </c>
      <c r="D49" s="344" t="n"/>
      <c r="E49" s="344" t="n"/>
      <c r="F49" s="344" t="n"/>
      <c r="G49" s="12">
        <f>IF(AND(E49&lt;&gt;"",F49&lt;&gt;""),E49*F49,"")</f>
        <v/>
      </c>
      <c r="H49" s="12">
        <f>IF(G49&lt;&gt;"",G49*0.0015,"")</f>
        <v/>
      </c>
      <c r="I49" s="12">
        <f>IF(AND(D49="BÁN",G49&lt;&gt;""),G49*0.001,0)</f>
        <v/>
      </c>
      <c r="J49" s="344" t="n"/>
      <c r="K49" s="12">
        <f>IF(D49="MUA",IFERROR((J49*F49+E49*F49)/(F49*2),E49),J49)</f>
        <v/>
      </c>
      <c r="L49" s="12">
        <f>IF(AND(D49="BÁN",E49&lt;&gt;"",F49&lt;&gt;"",J49&lt;&gt;""),ROUND((E49-J49)*F49-H49-I49,0),"")</f>
        <v/>
      </c>
      <c r="M49" s="12">
        <f>IF(AND(L49&lt;&gt;"",J49&gt;0),L49/(J49*F49),"")</f>
        <v/>
      </c>
      <c r="N49" s="345" t="n"/>
      <c r="O49" s="345" t="n"/>
      <c r="P49" s="345" t="n"/>
    </row>
    <row r="50" ht="21.75" customHeight="1" s="981">
      <c r="A50" s="342" t="n"/>
      <c r="B50" s="342" t="n"/>
      <c r="C50" s="12">
        <f>IFERROR(VLOOKUP(B50,'📈 Cổ Phiếu VN 🔍'!$A:$C,2,0),"")</f>
        <v/>
      </c>
      <c r="D50" s="342" t="n"/>
      <c r="E50" s="342" t="n"/>
      <c r="F50" s="342" t="n"/>
      <c r="G50" s="12">
        <f>IF(AND(E50&lt;&gt;"",F50&lt;&gt;""),E50*F50,"")</f>
        <v/>
      </c>
      <c r="H50" s="12">
        <f>IF(G50&lt;&gt;"",G50*0.0015,"")</f>
        <v/>
      </c>
      <c r="I50" s="12">
        <f>IF(AND(D50="BÁN",G50&lt;&gt;""),G50*0.001,0)</f>
        <v/>
      </c>
      <c r="J50" s="342" t="n"/>
      <c r="K50" s="12">
        <f>IF(D50="MUA",IFERROR((J50*F50+E50*F50)/(F50*2),E50),J50)</f>
        <v/>
      </c>
      <c r="L50" s="12">
        <f>IF(AND(D50="BÁN",E50&lt;&gt;"",F50&lt;&gt;"",J50&lt;&gt;""),ROUND((E50-J50)*F50-H50-I50,0),"")</f>
        <v/>
      </c>
      <c r="M50" s="12">
        <f>IF(AND(L50&lt;&gt;"",J50&gt;0),L50/(J50*F50),"")</f>
        <v/>
      </c>
      <c r="N50" s="343" t="n"/>
      <c r="O50" s="343" t="n"/>
      <c r="P50" s="343" t="n"/>
    </row>
    <row r="51" ht="21.75" customHeight="1" s="981">
      <c r="A51" s="344" t="n"/>
      <c r="B51" s="344" t="n"/>
      <c r="C51" s="12">
        <f>IFERROR(VLOOKUP(B51,'📈 Cổ Phiếu VN 🔍'!$A:$C,2,0),"")</f>
        <v/>
      </c>
      <c r="D51" s="344" t="n"/>
      <c r="E51" s="344" t="n"/>
      <c r="F51" s="344" t="n"/>
      <c r="G51" s="12">
        <f>IF(AND(E51&lt;&gt;"",F51&lt;&gt;""),E51*F51,"")</f>
        <v/>
      </c>
      <c r="H51" s="12">
        <f>IF(G51&lt;&gt;"",G51*0.0015,"")</f>
        <v/>
      </c>
      <c r="I51" s="12">
        <f>IF(AND(D51="BÁN",G51&lt;&gt;""),G51*0.001,0)</f>
        <v/>
      </c>
      <c r="J51" s="344" t="n"/>
      <c r="K51" s="12">
        <f>IF(D51="MUA",IFERROR((J51*F51+E51*F51)/(F51*2),E51),J51)</f>
        <v/>
      </c>
      <c r="L51" s="12">
        <f>IF(AND(D51="BÁN",E51&lt;&gt;"",F51&lt;&gt;"",J51&lt;&gt;""),ROUND((E51-J51)*F51-H51-I51,0),"")</f>
        <v/>
      </c>
      <c r="M51" s="12">
        <f>IF(AND(L51&lt;&gt;"",J51&gt;0),L51/(J51*F51),"")</f>
        <v/>
      </c>
      <c r="N51" s="345" t="n"/>
      <c r="O51" s="345" t="n"/>
      <c r="P51" s="345" t="n"/>
    </row>
    <row r="52" ht="21.75" customHeight="1" s="981">
      <c r="A52" s="342" t="n"/>
      <c r="B52" s="342" t="n"/>
      <c r="C52" s="12">
        <f>IFERROR(VLOOKUP(B52,'📈 Cổ Phiếu VN 🔍'!$A:$C,2,0),"")</f>
        <v/>
      </c>
      <c r="D52" s="342" t="n"/>
      <c r="E52" s="342" t="n"/>
      <c r="F52" s="342" t="n"/>
      <c r="G52" s="12">
        <f>IF(AND(E52&lt;&gt;"",F52&lt;&gt;""),E52*F52,"")</f>
        <v/>
      </c>
      <c r="H52" s="12">
        <f>IF(G52&lt;&gt;"",G52*0.0015,"")</f>
        <v/>
      </c>
      <c r="I52" s="12">
        <f>IF(AND(D52="BÁN",G52&lt;&gt;""),G52*0.001,0)</f>
        <v/>
      </c>
      <c r="J52" s="342" t="n"/>
      <c r="K52" s="12">
        <f>IF(D52="MUA",IFERROR((J52*F52+E52*F52)/(F52*2),E52),J52)</f>
        <v/>
      </c>
      <c r="L52" s="12">
        <f>IF(AND(D52="BÁN",E52&lt;&gt;"",F52&lt;&gt;"",J52&lt;&gt;""),ROUND((E52-J52)*F52-H52-I52,0),"")</f>
        <v/>
      </c>
      <c r="M52" s="12">
        <f>IF(AND(L52&lt;&gt;"",J52&gt;0),L52/(J52*F52),"")</f>
        <v/>
      </c>
      <c r="N52" s="343" t="n"/>
      <c r="O52" s="343" t="n"/>
      <c r="P52" s="343" t="n"/>
    </row>
    <row r="53" ht="21.75" customHeight="1" s="981">
      <c r="A53" s="344" t="n"/>
      <c r="B53" s="344" t="n"/>
      <c r="C53" s="12">
        <f>IFERROR(VLOOKUP(B53,'📈 Cổ Phiếu VN 🔍'!$A:$C,2,0),"")</f>
        <v/>
      </c>
      <c r="D53" s="344" t="n"/>
      <c r="E53" s="344" t="n"/>
      <c r="F53" s="344" t="n"/>
      <c r="G53" s="12">
        <f>IF(AND(E53&lt;&gt;"",F53&lt;&gt;""),E53*F53,"")</f>
        <v/>
      </c>
      <c r="H53" s="12">
        <f>IF(G53&lt;&gt;"",G53*0.0015,"")</f>
        <v/>
      </c>
      <c r="I53" s="12">
        <f>IF(AND(D53="BÁN",G53&lt;&gt;""),G53*0.001,0)</f>
        <v/>
      </c>
      <c r="J53" s="344" t="n"/>
      <c r="K53" s="12">
        <f>IF(D53="MUA",IFERROR((J53*F53+E53*F53)/(F53*2),E53),J53)</f>
        <v/>
      </c>
      <c r="L53" s="12">
        <f>IF(AND(D53="BÁN",E53&lt;&gt;"",F53&lt;&gt;"",J53&lt;&gt;""),ROUND((E53-J53)*F53-H53-I53,0),"")</f>
        <v/>
      </c>
      <c r="M53" s="12">
        <f>IF(AND(L53&lt;&gt;"",J53&gt;0),L53/(J53*F53),"")</f>
        <v/>
      </c>
      <c r="N53" s="345" t="n"/>
      <c r="O53" s="345" t="n"/>
      <c r="P53" s="345" t="n"/>
    </row>
    <row r="54" ht="21.75" customHeight="1" s="981">
      <c r="A54" s="342" t="n"/>
      <c r="B54" s="342" t="n"/>
      <c r="C54" s="12">
        <f>IFERROR(VLOOKUP(B54,'📈 Cổ Phiếu VN 🔍'!$A:$C,2,0),"")</f>
        <v/>
      </c>
      <c r="D54" s="342" t="n"/>
      <c r="E54" s="342" t="n"/>
      <c r="F54" s="342" t="n"/>
      <c r="G54" s="12">
        <f>IF(AND(E54&lt;&gt;"",F54&lt;&gt;""),E54*F54,"")</f>
        <v/>
      </c>
      <c r="H54" s="12">
        <f>IF(G54&lt;&gt;"",G54*0.0015,"")</f>
        <v/>
      </c>
      <c r="I54" s="12">
        <f>IF(AND(D54="BÁN",G54&lt;&gt;""),G54*0.001,0)</f>
        <v/>
      </c>
      <c r="J54" s="342" t="n"/>
      <c r="K54" s="12">
        <f>IF(D54="MUA",IFERROR((J54*F54+E54*F54)/(F54*2),E54),J54)</f>
        <v/>
      </c>
      <c r="L54" s="12">
        <f>IF(AND(D54="BÁN",E54&lt;&gt;"",F54&lt;&gt;"",J54&lt;&gt;""),ROUND((E54-J54)*F54-H54-I54,0),"")</f>
        <v/>
      </c>
      <c r="M54" s="12">
        <f>IF(AND(L54&lt;&gt;"",J54&gt;0),L54/(J54*F54),"")</f>
        <v/>
      </c>
      <c r="N54" s="343" t="n"/>
      <c r="O54" s="343" t="n"/>
      <c r="P54" s="343" t="n"/>
    </row>
    <row r="55" ht="21.75" customHeight="1" s="981">
      <c r="A55" s="344" t="n"/>
      <c r="B55" s="344" t="n"/>
      <c r="C55" s="12">
        <f>IFERROR(VLOOKUP(B55,'📈 Cổ Phiếu VN 🔍'!$A:$C,2,0),"")</f>
        <v/>
      </c>
      <c r="D55" s="344" t="n"/>
      <c r="E55" s="344" t="n"/>
      <c r="F55" s="344" t="n"/>
      <c r="G55" s="12">
        <f>IF(AND(E55&lt;&gt;"",F55&lt;&gt;""),E55*F55,"")</f>
        <v/>
      </c>
      <c r="H55" s="12">
        <f>IF(G55&lt;&gt;"",G55*0.0015,"")</f>
        <v/>
      </c>
      <c r="I55" s="12">
        <f>IF(AND(D55="BÁN",G55&lt;&gt;""),G55*0.001,0)</f>
        <v/>
      </c>
      <c r="J55" s="344" t="n"/>
      <c r="K55" s="12">
        <f>IF(D55="MUA",IFERROR((J55*F55+E55*F55)/(F55*2),E55),J55)</f>
        <v/>
      </c>
      <c r="L55" s="12">
        <f>IF(AND(D55="BÁN",E55&lt;&gt;"",F55&lt;&gt;"",J55&lt;&gt;""),ROUND((E55-J55)*F55-H55-I55,0),"")</f>
        <v/>
      </c>
      <c r="M55" s="12">
        <f>IF(AND(L55&lt;&gt;"",J55&gt;0),L55/(J55*F55),"")</f>
        <v/>
      </c>
      <c r="N55" s="345" t="n"/>
      <c r="O55" s="345" t="n"/>
      <c r="P55" s="345" t="n"/>
    </row>
    <row r="56" ht="21.75" customHeight="1" s="981">
      <c r="A56" s="342" t="n"/>
      <c r="B56" s="342" t="n"/>
      <c r="C56" s="12">
        <f>IFERROR(VLOOKUP(B56,'📈 Cổ Phiếu VN 🔍'!$A:$C,2,0),"")</f>
        <v/>
      </c>
      <c r="D56" s="342" t="n"/>
      <c r="E56" s="342" t="n"/>
      <c r="F56" s="342" t="n"/>
      <c r="G56" s="12">
        <f>IF(AND(E56&lt;&gt;"",F56&lt;&gt;""),E56*F56,"")</f>
        <v/>
      </c>
      <c r="H56" s="12">
        <f>IF(G56&lt;&gt;"",G56*0.0015,"")</f>
        <v/>
      </c>
      <c r="I56" s="12">
        <f>IF(AND(D56="BÁN",G56&lt;&gt;""),G56*0.001,0)</f>
        <v/>
      </c>
      <c r="J56" s="342" t="n"/>
      <c r="K56" s="12">
        <f>IF(D56="MUA",IFERROR((J56*F56+E56*F56)/(F56*2),E56),J56)</f>
        <v/>
      </c>
      <c r="L56" s="12">
        <f>IF(AND(D56="BÁN",E56&lt;&gt;"",F56&lt;&gt;"",J56&lt;&gt;""),ROUND((E56-J56)*F56-H56-I56,0),"")</f>
        <v/>
      </c>
      <c r="M56" s="12">
        <f>IF(AND(L56&lt;&gt;"",J56&gt;0),L56/(J56*F56),"")</f>
        <v/>
      </c>
      <c r="N56" s="343" t="n"/>
      <c r="O56" s="343" t="n"/>
      <c r="P56" s="343" t="n"/>
    </row>
    <row r="57" ht="21.75" customHeight="1" s="981">
      <c r="A57" s="344" t="n"/>
      <c r="B57" s="344" t="n"/>
      <c r="C57" s="12">
        <f>IFERROR(VLOOKUP(B57,'📈 Cổ Phiếu VN 🔍'!$A:$C,2,0),"")</f>
        <v/>
      </c>
      <c r="D57" s="344" t="n"/>
      <c r="E57" s="344" t="n"/>
      <c r="F57" s="344" t="n"/>
      <c r="G57" s="12">
        <f>IF(AND(E57&lt;&gt;"",F57&lt;&gt;""),E57*F57,"")</f>
        <v/>
      </c>
      <c r="H57" s="12">
        <f>IF(G57&lt;&gt;"",G57*0.0015,"")</f>
        <v/>
      </c>
      <c r="I57" s="12">
        <f>IF(AND(D57="BÁN",G57&lt;&gt;""),G57*0.001,0)</f>
        <v/>
      </c>
      <c r="J57" s="344" t="n"/>
      <c r="K57" s="12">
        <f>IF(D57="MUA",IFERROR((J57*F57+E57*F57)/(F57*2),E57),J57)</f>
        <v/>
      </c>
      <c r="L57" s="12">
        <f>IF(AND(D57="BÁN",E57&lt;&gt;"",F57&lt;&gt;"",J57&lt;&gt;""),ROUND((E57-J57)*F57-H57-I57,0),"")</f>
        <v/>
      </c>
      <c r="M57" s="12">
        <f>IF(AND(L57&lt;&gt;"",J57&gt;0),L57/(J57*F57),"")</f>
        <v/>
      </c>
      <c r="N57" s="345" t="n"/>
      <c r="O57" s="345" t="n"/>
      <c r="P57" s="345" t="n"/>
    </row>
    <row r="58" ht="21.75" customHeight="1" s="981">
      <c r="A58" s="342" t="n"/>
      <c r="B58" s="342" t="n"/>
      <c r="C58" s="12">
        <f>IFERROR(VLOOKUP(B58,'📈 Cổ Phiếu VN 🔍'!$A:$C,2,0),"")</f>
        <v/>
      </c>
      <c r="D58" s="342" t="n"/>
      <c r="E58" s="342" t="n"/>
      <c r="F58" s="342" t="n"/>
      <c r="G58" s="12">
        <f>IF(AND(E58&lt;&gt;"",F58&lt;&gt;""),E58*F58,"")</f>
        <v/>
      </c>
      <c r="H58" s="12">
        <f>IF(G58&lt;&gt;"",G58*0.0015,"")</f>
        <v/>
      </c>
      <c r="I58" s="12">
        <f>IF(AND(D58="BÁN",G58&lt;&gt;""),G58*0.001,0)</f>
        <v/>
      </c>
      <c r="J58" s="342" t="n"/>
      <c r="K58" s="12">
        <f>IF(D58="MUA",IFERROR((J58*F58+E58*F58)/(F58*2),E58),J58)</f>
        <v/>
      </c>
      <c r="L58" s="12">
        <f>IF(AND(D58="BÁN",E58&lt;&gt;"",F58&lt;&gt;"",J58&lt;&gt;""),ROUND((E58-J58)*F58-H58-I58,0),"")</f>
        <v/>
      </c>
      <c r="M58" s="12">
        <f>IF(AND(L58&lt;&gt;"",J58&gt;0),L58/(J58*F58),"")</f>
        <v/>
      </c>
      <c r="N58" s="343" t="n"/>
      <c r="O58" s="343" t="n"/>
      <c r="P58" s="343" t="n"/>
    </row>
    <row r="59" ht="21.75" customHeight="1" s="981">
      <c r="A59" s="344" t="n"/>
      <c r="B59" s="344" t="n"/>
      <c r="C59" s="12">
        <f>IFERROR(VLOOKUP(B59,'📈 Cổ Phiếu VN 🔍'!$A:$C,2,0),"")</f>
        <v/>
      </c>
      <c r="D59" s="344" t="n"/>
      <c r="E59" s="344" t="n"/>
      <c r="F59" s="344" t="n"/>
      <c r="G59" s="12">
        <f>IF(AND(E59&lt;&gt;"",F59&lt;&gt;""),E59*F59,"")</f>
        <v/>
      </c>
      <c r="H59" s="12">
        <f>IF(G59&lt;&gt;"",G59*0.0015,"")</f>
        <v/>
      </c>
      <c r="I59" s="12">
        <f>IF(AND(D59="BÁN",G59&lt;&gt;""),G59*0.001,0)</f>
        <v/>
      </c>
      <c r="J59" s="344" t="n"/>
      <c r="K59" s="12">
        <f>IF(D59="MUA",IFERROR((J59*F59+E59*F59)/(F59*2),E59),J59)</f>
        <v/>
      </c>
      <c r="L59" s="12">
        <f>IF(AND(D59="BÁN",E59&lt;&gt;"",F59&lt;&gt;"",J59&lt;&gt;""),ROUND((E59-J59)*F59-H59-I59,0),"")</f>
        <v/>
      </c>
      <c r="M59" s="12">
        <f>IF(AND(L59&lt;&gt;"",J59&gt;0),L59/(J59*F59),"")</f>
        <v/>
      </c>
      <c r="N59" s="345" t="n"/>
      <c r="O59" s="345" t="n"/>
      <c r="P59" s="345" t="n"/>
    </row>
    <row r="60" ht="21.75" customHeight="1" s="981">
      <c r="A60" s="342" t="n"/>
      <c r="B60" s="342" t="n"/>
      <c r="C60" s="12">
        <f>IFERROR(VLOOKUP(B60,'📈 Cổ Phiếu VN 🔍'!$A:$C,2,0),"")</f>
        <v/>
      </c>
      <c r="D60" s="342" t="n"/>
      <c r="E60" s="342" t="n"/>
      <c r="F60" s="342" t="n"/>
      <c r="G60" s="12">
        <f>IF(AND(E60&lt;&gt;"",F60&lt;&gt;""),E60*F60,"")</f>
        <v/>
      </c>
      <c r="H60" s="12">
        <f>IF(G60&lt;&gt;"",G60*0.0015,"")</f>
        <v/>
      </c>
      <c r="I60" s="12">
        <f>IF(AND(D60="BÁN",G60&lt;&gt;""),G60*0.001,0)</f>
        <v/>
      </c>
      <c r="J60" s="342" t="n"/>
      <c r="K60" s="12">
        <f>IF(D60="MUA",IFERROR((J60*F60+E60*F60)/(F60*2),E60),J60)</f>
        <v/>
      </c>
      <c r="L60" s="12">
        <f>IF(AND(D60="BÁN",E60&lt;&gt;"",F60&lt;&gt;"",J60&lt;&gt;""),ROUND((E60-J60)*F60-H60-I60,0),"")</f>
        <v/>
      </c>
      <c r="M60" s="12">
        <f>IF(AND(L60&lt;&gt;"",J60&gt;0),L60/(J60*F60),"")</f>
        <v/>
      </c>
      <c r="N60" s="343" t="n"/>
      <c r="O60" s="343" t="n"/>
      <c r="P60" s="343" t="n"/>
    </row>
    <row r="61" ht="21.75" customHeight="1" s="981">
      <c r="A61" s="344" t="n"/>
      <c r="B61" s="344" t="n"/>
      <c r="C61" s="12">
        <f>IFERROR(VLOOKUP(B61,'📈 Cổ Phiếu VN 🔍'!$A:$C,2,0),"")</f>
        <v/>
      </c>
      <c r="D61" s="344" t="n"/>
      <c r="E61" s="344" t="n"/>
      <c r="F61" s="344" t="n"/>
      <c r="G61" s="12">
        <f>IF(AND(E61&lt;&gt;"",F61&lt;&gt;""),E61*F61,"")</f>
        <v/>
      </c>
      <c r="H61" s="12">
        <f>IF(G61&lt;&gt;"",G61*0.0015,"")</f>
        <v/>
      </c>
      <c r="I61" s="12">
        <f>IF(AND(D61="BÁN",G61&lt;&gt;""),G61*0.001,0)</f>
        <v/>
      </c>
      <c r="J61" s="344" t="n"/>
      <c r="K61" s="12">
        <f>IF(D61="MUA",IFERROR((J61*F61+E61*F61)/(F61*2),E61),J61)</f>
        <v/>
      </c>
      <c r="L61" s="12">
        <f>IF(AND(D61="BÁN",E61&lt;&gt;"",F61&lt;&gt;"",J61&lt;&gt;""),ROUND((E61-J61)*F61-H61-I61,0),"")</f>
        <v/>
      </c>
      <c r="M61" s="12">
        <f>IF(AND(L61&lt;&gt;"",J61&gt;0),L61/(J61*F61),"")</f>
        <v/>
      </c>
      <c r="N61" s="345" t="n"/>
      <c r="O61" s="345" t="n"/>
      <c r="P61" s="345" t="n"/>
    </row>
    <row r="62" ht="21.75" customHeight="1" s="981">
      <c r="A62" s="342" t="n"/>
      <c r="B62" s="342" t="n"/>
      <c r="C62" s="12">
        <f>IFERROR(VLOOKUP(B62,'📈 Cổ Phiếu VN 🔍'!$A:$C,2,0),"")</f>
        <v/>
      </c>
      <c r="D62" s="342" t="n"/>
      <c r="E62" s="342" t="n"/>
      <c r="F62" s="342" t="n"/>
      <c r="G62" s="12">
        <f>IF(AND(E62&lt;&gt;"",F62&lt;&gt;""),E62*F62,"")</f>
        <v/>
      </c>
      <c r="H62" s="12">
        <f>IF(G62&lt;&gt;"",G62*0.0015,"")</f>
        <v/>
      </c>
      <c r="I62" s="12">
        <f>IF(AND(D62="BÁN",G62&lt;&gt;""),G62*0.001,0)</f>
        <v/>
      </c>
      <c r="J62" s="342" t="n"/>
      <c r="K62" s="12">
        <f>IF(D62="MUA",IFERROR((J62*F62+E62*F62)/(F62*2),E62),J62)</f>
        <v/>
      </c>
      <c r="L62" s="12">
        <f>IF(AND(D62="BÁN",E62&lt;&gt;"",F62&lt;&gt;"",J62&lt;&gt;""),ROUND((E62-J62)*F62-H62-I62,0),"")</f>
        <v/>
      </c>
      <c r="M62" s="12">
        <f>IF(AND(L62&lt;&gt;"",J62&gt;0),L62/(J62*F62),"")</f>
        <v/>
      </c>
      <c r="N62" s="343" t="n"/>
      <c r="O62" s="343" t="n"/>
      <c r="P62" s="343" t="n"/>
    </row>
    <row r="63" ht="21.75" customHeight="1" s="981">
      <c r="A63" s="344" t="n"/>
      <c r="B63" s="344" t="n"/>
      <c r="C63" s="12">
        <f>IFERROR(VLOOKUP(B63,'📈 Cổ Phiếu VN 🔍'!$A:$C,2,0),"")</f>
        <v/>
      </c>
      <c r="D63" s="344" t="n"/>
      <c r="E63" s="344" t="n"/>
      <c r="F63" s="344" t="n"/>
      <c r="G63" s="12">
        <f>IF(AND(E63&lt;&gt;"",F63&lt;&gt;""),E63*F63,"")</f>
        <v/>
      </c>
      <c r="H63" s="12">
        <f>IF(G63&lt;&gt;"",G63*0.0015,"")</f>
        <v/>
      </c>
      <c r="I63" s="12">
        <f>IF(AND(D63="BÁN",G63&lt;&gt;""),G63*0.001,0)</f>
        <v/>
      </c>
      <c r="J63" s="344" t="n"/>
      <c r="K63" s="12">
        <f>IF(D63="MUA",IFERROR((J63*F63+E63*F63)/(F63*2),E63),J63)</f>
        <v/>
      </c>
      <c r="L63" s="12">
        <f>IF(AND(D63="BÁN",E63&lt;&gt;"",F63&lt;&gt;"",J63&lt;&gt;""),ROUND((E63-J63)*F63-H63-I63,0),"")</f>
        <v/>
      </c>
      <c r="M63" s="12">
        <f>IF(AND(L63&lt;&gt;"",J63&gt;0),L63/(J63*F63),"")</f>
        <v/>
      </c>
      <c r="N63" s="345" t="n"/>
      <c r="O63" s="345" t="n"/>
      <c r="P63" s="345" t="n"/>
    </row>
    <row r="64" ht="21.75" customHeight="1" s="981">
      <c r="A64" s="342" t="n"/>
      <c r="B64" s="342" t="n"/>
      <c r="C64" s="12">
        <f>IFERROR(VLOOKUP(B64,'📈 Cổ Phiếu VN 🔍'!$A:$C,2,0),"")</f>
        <v/>
      </c>
      <c r="D64" s="342" t="n"/>
      <c r="E64" s="342" t="n"/>
      <c r="F64" s="342" t="n"/>
      <c r="G64" s="12">
        <f>IF(AND(E64&lt;&gt;"",F64&lt;&gt;""),E64*F64,"")</f>
        <v/>
      </c>
      <c r="H64" s="12">
        <f>IF(G64&lt;&gt;"",G64*0.0015,"")</f>
        <v/>
      </c>
      <c r="I64" s="12">
        <f>IF(AND(D64="BÁN",G64&lt;&gt;""),G64*0.001,0)</f>
        <v/>
      </c>
      <c r="J64" s="342" t="n"/>
      <c r="K64" s="12">
        <f>IF(D64="MUA",IFERROR((J64*F64+E64*F64)/(F64*2),E64),J64)</f>
        <v/>
      </c>
      <c r="L64" s="12">
        <f>IF(AND(D64="BÁN",E64&lt;&gt;"",F64&lt;&gt;"",J64&lt;&gt;""),ROUND((E64-J64)*F64-H64-I64,0),"")</f>
        <v/>
      </c>
      <c r="M64" s="12">
        <f>IF(AND(L64&lt;&gt;"",J64&gt;0),L64/(J64*F64),"")</f>
        <v/>
      </c>
      <c r="N64" s="343" t="n"/>
      <c r="O64" s="343" t="n"/>
      <c r="P64" s="343" t="n"/>
    </row>
    <row r="65" ht="21.75" customHeight="1" s="981">
      <c r="A65" s="344" t="n"/>
      <c r="B65" s="344" t="n"/>
      <c r="C65" s="12">
        <f>IFERROR(VLOOKUP(B65,'📈 Cổ Phiếu VN 🔍'!$A:$C,2,0),"")</f>
        <v/>
      </c>
      <c r="D65" s="344" t="n"/>
      <c r="E65" s="344" t="n"/>
      <c r="F65" s="344" t="n"/>
      <c r="G65" s="12">
        <f>IF(AND(E65&lt;&gt;"",F65&lt;&gt;""),E65*F65,"")</f>
        <v/>
      </c>
      <c r="H65" s="12">
        <f>IF(G65&lt;&gt;"",G65*0.0015,"")</f>
        <v/>
      </c>
      <c r="I65" s="12">
        <f>IF(AND(D65="BÁN",G65&lt;&gt;""),G65*0.001,0)</f>
        <v/>
      </c>
      <c r="J65" s="344" t="n"/>
      <c r="K65" s="12">
        <f>IF(D65="MUA",IFERROR((J65*F65+E65*F65)/(F65*2),E65),J65)</f>
        <v/>
      </c>
      <c r="L65" s="12">
        <f>IF(AND(D65="BÁN",E65&lt;&gt;"",F65&lt;&gt;"",J65&lt;&gt;""),ROUND((E65-J65)*F65-H65-I65,0),"")</f>
        <v/>
      </c>
      <c r="M65" s="12">
        <f>IF(AND(L65&lt;&gt;"",J65&gt;0),L65/(J65*F65),"")</f>
        <v/>
      </c>
      <c r="N65" s="345" t="n"/>
      <c r="O65" s="345" t="n"/>
      <c r="P65" s="345" t="n"/>
    </row>
    <row r="66" ht="21.75" customHeight="1" s="981">
      <c r="A66" s="342" t="n"/>
      <c r="B66" s="342" t="n"/>
      <c r="C66" s="12">
        <f>IFERROR(VLOOKUP(B66,'📈 Cổ Phiếu VN 🔍'!$A:$C,2,0),"")</f>
        <v/>
      </c>
      <c r="D66" s="342" t="n"/>
      <c r="E66" s="342" t="n"/>
      <c r="F66" s="342" t="n"/>
      <c r="G66" s="12">
        <f>IF(AND(E66&lt;&gt;"",F66&lt;&gt;""),E66*F66,"")</f>
        <v/>
      </c>
      <c r="H66" s="12">
        <f>IF(G66&lt;&gt;"",G66*0.0015,"")</f>
        <v/>
      </c>
      <c r="I66" s="12">
        <f>IF(AND(D66="BÁN",G66&lt;&gt;""),G66*0.001,0)</f>
        <v/>
      </c>
      <c r="J66" s="342" t="n"/>
      <c r="K66" s="12">
        <f>IF(D66="MUA",IFERROR((J66*F66+E66*F66)/(F66*2),E66),J66)</f>
        <v/>
      </c>
      <c r="L66" s="12">
        <f>IF(AND(D66="BÁN",E66&lt;&gt;"",F66&lt;&gt;"",J66&lt;&gt;""),ROUND((E66-J66)*F66-H66-I66,0),"")</f>
        <v/>
      </c>
      <c r="M66" s="12">
        <f>IF(AND(L66&lt;&gt;"",J66&gt;0),L66/(J66*F66),"")</f>
        <v/>
      </c>
      <c r="N66" s="343" t="n"/>
      <c r="O66" s="343" t="n"/>
      <c r="P66" s="343" t="n"/>
    </row>
    <row r="67" ht="21.75" customHeight="1" s="981">
      <c r="A67" s="344" t="n"/>
      <c r="B67" s="344" t="n"/>
      <c r="C67" s="12">
        <f>IFERROR(VLOOKUP(B67,'📈 Cổ Phiếu VN 🔍'!$A:$C,2,0),"")</f>
        <v/>
      </c>
      <c r="D67" s="344" t="n"/>
      <c r="E67" s="344" t="n"/>
      <c r="F67" s="344" t="n"/>
      <c r="G67" s="12">
        <f>IF(AND(E67&lt;&gt;"",F67&lt;&gt;""),E67*F67,"")</f>
        <v/>
      </c>
      <c r="H67" s="12">
        <f>IF(G67&lt;&gt;"",G67*0.0015,"")</f>
        <v/>
      </c>
      <c r="I67" s="12">
        <f>IF(AND(D67="BÁN",G67&lt;&gt;""),G67*0.001,0)</f>
        <v/>
      </c>
      <c r="J67" s="344" t="n"/>
      <c r="K67" s="12">
        <f>IF(D67="MUA",IFERROR((J67*F67+E67*F67)/(F67*2),E67),J67)</f>
        <v/>
      </c>
      <c r="L67" s="12">
        <f>IF(AND(D67="BÁN",E67&lt;&gt;"",F67&lt;&gt;"",J67&lt;&gt;""),ROUND((E67-J67)*F67-H67-I67,0),"")</f>
        <v/>
      </c>
      <c r="M67" s="12">
        <f>IF(AND(L67&lt;&gt;"",J67&gt;0),L67/(J67*F67),"")</f>
        <v/>
      </c>
      <c r="N67" s="345" t="n"/>
      <c r="O67" s="345" t="n"/>
      <c r="P67" s="345" t="n"/>
    </row>
    <row r="68" ht="21.75" customHeight="1" s="981">
      <c r="A68" s="342" t="n"/>
      <c r="B68" s="342" t="n"/>
      <c r="C68" s="12">
        <f>IFERROR(VLOOKUP(B68,'📈 Cổ Phiếu VN 🔍'!$A:$C,2,0),"")</f>
        <v/>
      </c>
      <c r="D68" s="342" t="n"/>
      <c r="E68" s="342" t="n"/>
      <c r="F68" s="342" t="n"/>
      <c r="G68" s="12">
        <f>IF(AND(E68&lt;&gt;"",F68&lt;&gt;""),E68*F68,"")</f>
        <v/>
      </c>
      <c r="H68" s="12">
        <f>IF(G68&lt;&gt;"",G68*0.0015,"")</f>
        <v/>
      </c>
      <c r="I68" s="12">
        <f>IF(AND(D68="BÁN",G68&lt;&gt;""),G68*0.001,0)</f>
        <v/>
      </c>
      <c r="J68" s="342" t="n"/>
      <c r="K68" s="12">
        <f>IF(D68="MUA",IFERROR((J68*F68+E68*F68)/(F68*2),E68),J68)</f>
        <v/>
      </c>
      <c r="L68" s="12">
        <f>IF(AND(D68="BÁN",E68&lt;&gt;"",F68&lt;&gt;"",J68&lt;&gt;""),ROUND((E68-J68)*F68-H68-I68,0),"")</f>
        <v/>
      </c>
      <c r="M68" s="12">
        <f>IF(AND(L68&lt;&gt;"",J68&gt;0),L68/(J68*F68),"")</f>
        <v/>
      </c>
      <c r="N68" s="343" t="n"/>
      <c r="O68" s="343" t="n"/>
      <c r="P68" s="343" t="n"/>
    </row>
    <row r="69" ht="21.75" customHeight="1" s="981">
      <c r="A69" s="344" t="n"/>
      <c r="B69" s="344" t="n"/>
      <c r="C69" s="12">
        <f>IFERROR(VLOOKUP(B69,'📈 Cổ Phiếu VN 🔍'!$A:$C,2,0),"")</f>
        <v/>
      </c>
      <c r="D69" s="344" t="n"/>
      <c r="E69" s="344" t="n"/>
      <c r="F69" s="344" t="n"/>
      <c r="G69" s="12">
        <f>IF(AND(E69&lt;&gt;"",F69&lt;&gt;""),E69*F69,"")</f>
        <v/>
      </c>
      <c r="H69" s="12">
        <f>IF(G69&lt;&gt;"",G69*0.0015,"")</f>
        <v/>
      </c>
      <c r="I69" s="12">
        <f>IF(AND(D69="BÁN",G69&lt;&gt;""),G69*0.001,0)</f>
        <v/>
      </c>
      <c r="J69" s="344" t="n"/>
      <c r="K69" s="12">
        <f>IF(D69="MUA",IFERROR((J69*F69+E69*F69)/(F69*2),E69),J69)</f>
        <v/>
      </c>
      <c r="L69" s="12">
        <f>IF(AND(D69="BÁN",E69&lt;&gt;"",F69&lt;&gt;"",J69&lt;&gt;""),ROUND((E69-J69)*F69-H69-I69,0),"")</f>
        <v/>
      </c>
      <c r="M69" s="12">
        <f>IF(AND(L69&lt;&gt;"",J69&gt;0),L69/(J69*F69),"")</f>
        <v/>
      </c>
      <c r="N69" s="345" t="n"/>
      <c r="O69" s="345" t="n"/>
      <c r="P69" s="345" t="n"/>
    </row>
    <row r="70" ht="21.75" customHeight="1" s="981">
      <c r="A70" s="342" t="n"/>
      <c r="B70" s="342" t="n"/>
      <c r="C70" s="12">
        <f>IFERROR(VLOOKUP(B70,'📈 Cổ Phiếu VN 🔍'!$A:$C,2,0),"")</f>
        <v/>
      </c>
      <c r="D70" s="342" t="n"/>
      <c r="E70" s="342" t="n"/>
      <c r="F70" s="342" t="n"/>
      <c r="G70" s="12">
        <f>IF(AND(E70&lt;&gt;"",F70&lt;&gt;""),E70*F70,"")</f>
        <v/>
      </c>
      <c r="H70" s="12">
        <f>IF(G70&lt;&gt;"",G70*0.0015,"")</f>
        <v/>
      </c>
      <c r="I70" s="12">
        <f>IF(AND(D70="BÁN",G70&lt;&gt;""),G70*0.001,0)</f>
        <v/>
      </c>
      <c r="J70" s="342" t="n"/>
      <c r="K70" s="12">
        <f>IF(D70="MUA",IFERROR((J70*F70+E70*F70)/(F70*2),E70),J70)</f>
        <v/>
      </c>
      <c r="L70" s="12">
        <f>IF(AND(D70="BÁN",E70&lt;&gt;"",F70&lt;&gt;"",J70&lt;&gt;""),ROUND((E70-J70)*F70-H70-I70,0),"")</f>
        <v/>
      </c>
      <c r="M70" s="12">
        <f>IF(AND(L70&lt;&gt;"",J70&gt;0),L70/(J70*F70),"")</f>
        <v/>
      </c>
      <c r="N70" s="343" t="n"/>
      <c r="O70" s="343" t="n"/>
      <c r="P70" s="343" t="n"/>
    </row>
    <row r="71" ht="21.75" customHeight="1" s="981">
      <c r="A71" s="344" t="n"/>
      <c r="B71" s="344" t="n"/>
      <c r="C71" s="12">
        <f>IFERROR(VLOOKUP(B71,'📈 Cổ Phiếu VN 🔍'!$A:$C,2,0),"")</f>
        <v/>
      </c>
      <c r="D71" s="344" t="n"/>
      <c r="E71" s="344" t="n"/>
      <c r="F71" s="344" t="n"/>
      <c r="G71" s="12">
        <f>IF(AND(E71&lt;&gt;"",F71&lt;&gt;""),E71*F71,"")</f>
        <v/>
      </c>
      <c r="H71" s="12">
        <f>IF(G71&lt;&gt;"",G71*0.0015,"")</f>
        <v/>
      </c>
      <c r="I71" s="12">
        <f>IF(AND(D71="BÁN",G71&lt;&gt;""),G71*0.001,0)</f>
        <v/>
      </c>
      <c r="J71" s="344" t="n"/>
      <c r="K71" s="12">
        <f>IF(D71="MUA",IFERROR((J71*F71+E71*F71)/(F71*2),E71),J71)</f>
        <v/>
      </c>
      <c r="L71" s="12">
        <f>IF(AND(D71="BÁN",E71&lt;&gt;"",F71&lt;&gt;"",J71&lt;&gt;""),ROUND((E71-J71)*F71-H71-I71,0),"")</f>
        <v/>
      </c>
      <c r="M71" s="12">
        <f>IF(AND(L71&lt;&gt;"",J71&gt;0),L71/(J71*F71),"")</f>
        <v/>
      </c>
      <c r="N71" s="345" t="n"/>
      <c r="O71" s="345" t="n"/>
      <c r="P71" s="345" t="n"/>
    </row>
    <row r="72" ht="21.75" customHeight="1" s="981">
      <c r="A72" s="342" t="n"/>
      <c r="B72" s="342" t="n"/>
      <c r="C72" s="12">
        <f>IFERROR(VLOOKUP(B72,'📈 Cổ Phiếu VN 🔍'!$A:$C,2,0),"")</f>
        <v/>
      </c>
      <c r="D72" s="342" t="n"/>
      <c r="E72" s="342" t="n"/>
      <c r="F72" s="342" t="n"/>
      <c r="G72" s="12">
        <f>IF(AND(E72&lt;&gt;"",F72&lt;&gt;""),E72*F72,"")</f>
        <v/>
      </c>
      <c r="H72" s="12">
        <f>IF(G72&lt;&gt;"",G72*0.0015,"")</f>
        <v/>
      </c>
      <c r="I72" s="12">
        <f>IF(AND(D72="BÁN",G72&lt;&gt;""),G72*0.001,0)</f>
        <v/>
      </c>
      <c r="J72" s="342" t="n"/>
      <c r="K72" s="12">
        <f>IF(D72="MUA",IFERROR((J72*F72+E72*F72)/(F72*2),E72),J72)</f>
        <v/>
      </c>
      <c r="L72" s="12">
        <f>IF(AND(D72="BÁN",E72&lt;&gt;"",F72&lt;&gt;"",J72&lt;&gt;""),ROUND((E72-J72)*F72-H72-I72,0),"")</f>
        <v/>
      </c>
      <c r="M72" s="12">
        <f>IF(AND(L72&lt;&gt;"",J72&gt;0),L72/(J72*F72),"")</f>
        <v/>
      </c>
      <c r="N72" s="343" t="n"/>
      <c r="O72" s="343" t="n"/>
      <c r="P72" s="343" t="n"/>
    </row>
    <row r="73" ht="21.75" customHeight="1" s="981">
      <c r="A73" s="344" t="n"/>
      <c r="B73" s="344" t="n"/>
      <c r="C73" s="12">
        <f>IFERROR(VLOOKUP(B73,'📈 Cổ Phiếu VN 🔍'!$A:$C,2,0),"")</f>
        <v/>
      </c>
      <c r="D73" s="344" t="n"/>
      <c r="E73" s="344" t="n"/>
      <c r="F73" s="344" t="n"/>
      <c r="G73" s="12">
        <f>IF(AND(E73&lt;&gt;"",F73&lt;&gt;""),E73*F73,"")</f>
        <v/>
      </c>
      <c r="H73" s="12">
        <f>IF(G73&lt;&gt;"",G73*0.0015,"")</f>
        <v/>
      </c>
      <c r="I73" s="12">
        <f>IF(AND(D73="BÁN",G73&lt;&gt;""),G73*0.001,0)</f>
        <v/>
      </c>
      <c r="J73" s="344" t="n"/>
      <c r="K73" s="12">
        <f>IF(D73="MUA",IFERROR((J73*F73+E73*F73)/(F73*2),E73),J73)</f>
        <v/>
      </c>
      <c r="L73" s="12">
        <f>IF(AND(D73="BÁN",E73&lt;&gt;"",F73&lt;&gt;"",J73&lt;&gt;""),ROUND((E73-J73)*F73-H73-I73,0),"")</f>
        <v/>
      </c>
      <c r="M73" s="12">
        <f>IF(AND(L73&lt;&gt;"",J73&gt;0),L73/(J73*F73),"")</f>
        <v/>
      </c>
      <c r="N73" s="345" t="n"/>
      <c r="O73" s="345" t="n"/>
      <c r="P73" s="345" t="n"/>
    </row>
    <row r="74" ht="21.75" customHeight="1" s="981">
      <c r="A74" s="342" t="n"/>
      <c r="B74" s="342" t="n"/>
      <c r="C74" s="12">
        <f>IFERROR(VLOOKUP(B74,'📈 Cổ Phiếu VN 🔍'!$A:$C,2,0),"")</f>
        <v/>
      </c>
      <c r="D74" s="342" t="n"/>
      <c r="E74" s="342" t="n"/>
      <c r="F74" s="342" t="n"/>
      <c r="G74" s="12">
        <f>IF(AND(E74&lt;&gt;"",F74&lt;&gt;""),E74*F74,"")</f>
        <v/>
      </c>
      <c r="H74" s="12">
        <f>IF(G74&lt;&gt;"",G74*0.0015,"")</f>
        <v/>
      </c>
      <c r="I74" s="12">
        <f>IF(AND(D74="BÁN",G74&lt;&gt;""),G74*0.001,0)</f>
        <v/>
      </c>
      <c r="J74" s="342" t="n"/>
      <c r="K74" s="12">
        <f>IF(D74="MUA",IFERROR((J74*F74+E74*F74)/(F74*2),E74),J74)</f>
        <v/>
      </c>
      <c r="L74" s="12">
        <f>IF(AND(D74="BÁN",E74&lt;&gt;"",F74&lt;&gt;"",J74&lt;&gt;""),ROUND((E74-J74)*F74-H74-I74,0),"")</f>
        <v/>
      </c>
      <c r="M74" s="12">
        <f>IF(AND(L74&lt;&gt;"",J74&gt;0),L74/(J74*F74),"")</f>
        <v/>
      </c>
      <c r="N74" s="343" t="n"/>
      <c r="O74" s="343" t="n"/>
      <c r="P74" s="343" t="n"/>
    </row>
    <row r="75" ht="21.75" customHeight="1" s="981">
      <c r="A75" s="344" t="n"/>
      <c r="B75" s="344" t="n"/>
      <c r="C75" s="12">
        <f>IFERROR(VLOOKUP(B75,'📈 Cổ Phiếu VN 🔍'!$A:$C,2,0),"")</f>
        <v/>
      </c>
      <c r="D75" s="344" t="n"/>
      <c r="E75" s="344" t="n"/>
      <c r="F75" s="344" t="n"/>
      <c r="G75" s="12">
        <f>IF(AND(E75&lt;&gt;"",F75&lt;&gt;""),E75*F75,"")</f>
        <v/>
      </c>
      <c r="H75" s="12">
        <f>IF(G75&lt;&gt;"",G75*0.0015,"")</f>
        <v/>
      </c>
      <c r="I75" s="12">
        <f>IF(AND(D75="BÁN",G75&lt;&gt;""),G75*0.001,0)</f>
        <v/>
      </c>
      <c r="J75" s="344" t="n"/>
      <c r="K75" s="12">
        <f>IF(D75="MUA",IFERROR((J75*F75+E75*F75)/(F75*2),E75),J75)</f>
        <v/>
      </c>
      <c r="L75" s="12">
        <f>IF(AND(D75="BÁN",E75&lt;&gt;"",F75&lt;&gt;"",J75&lt;&gt;""),ROUND((E75-J75)*F75-H75-I75,0),"")</f>
        <v/>
      </c>
      <c r="M75" s="12">
        <f>IF(AND(L75&lt;&gt;"",J75&gt;0),L75/(J75*F75),"")</f>
        <v/>
      </c>
      <c r="N75" s="345" t="n"/>
      <c r="O75" s="345" t="n"/>
      <c r="P75" s="345" t="n"/>
    </row>
    <row r="76" ht="21.75" customHeight="1" s="981">
      <c r="A76" s="342" t="n"/>
      <c r="B76" s="342" t="n"/>
      <c r="C76" s="12">
        <f>IFERROR(VLOOKUP(B76,'📈 Cổ Phiếu VN 🔍'!$A:$C,2,0),"")</f>
        <v/>
      </c>
      <c r="D76" s="342" t="n"/>
      <c r="E76" s="342" t="n"/>
      <c r="F76" s="342" t="n"/>
      <c r="G76" s="12">
        <f>IF(AND(E76&lt;&gt;"",F76&lt;&gt;""),E76*F76,"")</f>
        <v/>
      </c>
      <c r="H76" s="12">
        <f>IF(G76&lt;&gt;"",G76*0.0015,"")</f>
        <v/>
      </c>
      <c r="I76" s="12">
        <f>IF(AND(D76="BÁN",G76&lt;&gt;""),G76*0.001,0)</f>
        <v/>
      </c>
      <c r="J76" s="342" t="n"/>
      <c r="K76" s="12">
        <f>IF(D76="MUA",IFERROR((J76*F76+E76*F76)/(F76*2),E76),J76)</f>
        <v/>
      </c>
      <c r="L76" s="12">
        <f>IF(AND(D76="BÁN",E76&lt;&gt;"",F76&lt;&gt;"",J76&lt;&gt;""),ROUND((E76-J76)*F76-H76-I76,0),"")</f>
        <v/>
      </c>
      <c r="M76" s="12">
        <f>IF(AND(L76&lt;&gt;"",J76&gt;0),L76/(J76*F76),"")</f>
        <v/>
      </c>
      <c r="N76" s="343" t="n"/>
      <c r="O76" s="343" t="n"/>
      <c r="P76" s="343" t="n"/>
    </row>
    <row r="77" ht="21.75" customHeight="1" s="981">
      <c r="A77" s="344" t="n"/>
      <c r="B77" s="344" t="n"/>
      <c r="C77" s="12">
        <f>IFERROR(VLOOKUP(B77,'📈 Cổ Phiếu VN 🔍'!$A:$C,2,0),"")</f>
        <v/>
      </c>
      <c r="D77" s="344" t="n"/>
      <c r="E77" s="344" t="n"/>
      <c r="F77" s="344" t="n"/>
      <c r="G77" s="12">
        <f>IF(AND(E77&lt;&gt;"",F77&lt;&gt;""),E77*F77,"")</f>
        <v/>
      </c>
      <c r="H77" s="12">
        <f>IF(G77&lt;&gt;"",G77*0.0015,"")</f>
        <v/>
      </c>
      <c r="I77" s="12">
        <f>IF(AND(D77="BÁN",G77&lt;&gt;""),G77*0.001,0)</f>
        <v/>
      </c>
      <c r="J77" s="344" t="n"/>
      <c r="K77" s="12">
        <f>IF(D77="MUA",IFERROR((J77*F77+E77*F77)/(F77*2),E77),J77)</f>
        <v/>
      </c>
      <c r="L77" s="12">
        <f>IF(AND(D77="BÁN",E77&lt;&gt;"",F77&lt;&gt;"",J77&lt;&gt;""),ROUND((E77-J77)*F77-H77-I77,0),"")</f>
        <v/>
      </c>
      <c r="M77" s="12">
        <f>IF(AND(L77&lt;&gt;"",J77&gt;0),L77/(J77*F77),"")</f>
        <v/>
      </c>
      <c r="N77" s="345" t="n"/>
      <c r="O77" s="345" t="n"/>
      <c r="P77" s="345" t="n"/>
    </row>
    <row r="78" ht="21.75" customHeight="1" s="981">
      <c r="A78" s="342" t="n"/>
      <c r="B78" s="342" t="n"/>
      <c r="C78" s="12">
        <f>IFERROR(VLOOKUP(B78,'📈 Cổ Phiếu VN 🔍'!$A:$C,2,0),"")</f>
        <v/>
      </c>
      <c r="D78" s="342" t="n"/>
      <c r="E78" s="342" t="n"/>
      <c r="F78" s="342" t="n"/>
      <c r="G78" s="12">
        <f>IF(AND(E78&lt;&gt;"",F78&lt;&gt;""),E78*F78,"")</f>
        <v/>
      </c>
      <c r="H78" s="12">
        <f>IF(G78&lt;&gt;"",G78*0.0015,"")</f>
        <v/>
      </c>
      <c r="I78" s="12">
        <f>IF(AND(D78="BÁN",G78&lt;&gt;""),G78*0.001,0)</f>
        <v/>
      </c>
      <c r="J78" s="342" t="n"/>
      <c r="K78" s="12">
        <f>IF(D78="MUA",IFERROR((J78*F78+E78*F78)/(F78*2),E78),J78)</f>
        <v/>
      </c>
      <c r="L78" s="12">
        <f>IF(AND(D78="BÁN",E78&lt;&gt;"",F78&lt;&gt;"",J78&lt;&gt;""),ROUND((E78-J78)*F78-H78-I78,0),"")</f>
        <v/>
      </c>
      <c r="M78" s="12">
        <f>IF(AND(L78&lt;&gt;"",J78&gt;0),L78/(J78*F78),"")</f>
        <v/>
      </c>
      <c r="N78" s="343" t="n"/>
      <c r="O78" s="343" t="n"/>
      <c r="P78" s="343" t="n"/>
    </row>
    <row r="79" ht="21.75" customHeight="1" s="981">
      <c r="A79" s="344" t="n"/>
      <c r="B79" s="344" t="n"/>
      <c r="C79" s="12">
        <f>IFERROR(VLOOKUP(B79,'📈 Cổ Phiếu VN 🔍'!$A:$C,2,0),"")</f>
        <v/>
      </c>
      <c r="D79" s="344" t="n"/>
      <c r="E79" s="344" t="n"/>
      <c r="F79" s="344" t="n"/>
      <c r="G79" s="12">
        <f>IF(AND(E79&lt;&gt;"",F79&lt;&gt;""),E79*F79,"")</f>
        <v/>
      </c>
      <c r="H79" s="12">
        <f>IF(G79&lt;&gt;"",G79*0.0015,"")</f>
        <v/>
      </c>
      <c r="I79" s="12">
        <f>IF(AND(D79="BÁN",G79&lt;&gt;""),G79*0.001,0)</f>
        <v/>
      </c>
      <c r="J79" s="344" t="n"/>
      <c r="K79" s="12">
        <f>IF(D79="MUA",IFERROR((J79*F79+E79*F79)/(F79*2),E79),J79)</f>
        <v/>
      </c>
      <c r="L79" s="12">
        <f>IF(AND(D79="BÁN",E79&lt;&gt;"",F79&lt;&gt;"",J79&lt;&gt;""),ROUND((E79-J79)*F79-H79-I79,0),"")</f>
        <v/>
      </c>
      <c r="M79" s="12">
        <f>IF(AND(L79&lt;&gt;"",J79&gt;0),L79/(J79*F79),"")</f>
        <v/>
      </c>
      <c r="N79" s="345" t="n"/>
      <c r="O79" s="345" t="n"/>
      <c r="P79" s="345" t="n"/>
    </row>
    <row r="80" ht="21.75" customHeight="1" s="981">
      <c r="A80" s="342" t="n"/>
      <c r="B80" s="342" t="n"/>
      <c r="C80" s="12">
        <f>IFERROR(VLOOKUP(B80,'📈 Cổ Phiếu VN 🔍'!$A:$C,2,0),"")</f>
        <v/>
      </c>
      <c r="D80" s="342" t="n"/>
      <c r="E80" s="342" t="n"/>
      <c r="F80" s="342" t="n"/>
      <c r="G80" s="12">
        <f>IF(AND(E80&lt;&gt;"",F80&lt;&gt;""),E80*F80,"")</f>
        <v/>
      </c>
      <c r="H80" s="12">
        <f>IF(G80&lt;&gt;"",G80*0.0015,"")</f>
        <v/>
      </c>
      <c r="I80" s="12">
        <f>IF(AND(D80="BÁN",G80&lt;&gt;""),G80*0.001,0)</f>
        <v/>
      </c>
      <c r="J80" s="342" t="n"/>
      <c r="K80" s="12">
        <f>IF(D80="MUA",IFERROR((J80*F80+E80*F80)/(F80*2),E80),J80)</f>
        <v/>
      </c>
      <c r="L80" s="12">
        <f>IF(AND(D80="BÁN",E80&lt;&gt;"",F80&lt;&gt;"",J80&lt;&gt;""),ROUND((E80-J80)*F80-H80-I80,0),"")</f>
        <v/>
      </c>
      <c r="M80" s="12">
        <f>IF(AND(L80&lt;&gt;"",J80&gt;0),L80/(J80*F80),"")</f>
        <v/>
      </c>
      <c r="N80" s="343" t="n"/>
      <c r="O80" s="343" t="n"/>
      <c r="P80" s="343" t="n"/>
    </row>
    <row r="81" ht="21.75" customHeight="1" s="981">
      <c r="A81" s="344" t="n"/>
      <c r="B81" s="344" t="n"/>
      <c r="C81" s="12">
        <f>IFERROR(VLOOKUP(B81,'📈 Cổ Phiếu VN 🔍'!$A:$C,2,0),"")</f>
        <v/>
      </c>
      <c r="D81" s="344" t="n"/>
      <c r="E81" s="344" t="n"/>
      <c r="F81" s="344" t="n"/>
      <c r="G81" s="12">
        <f>IF(AND(E81&lt;&gt;"",F81&lt;&gt;""),E81*F81,"")</f>
        <v/>
      </c>
      <c r="H81" s="12">
        <f>IF(G81&lt;&gt;"",G81*0.0015,"")</f>
        <v/>
      </c>
      <c r="I81" s="12">
        <f>IF(AND(D81="BÁN",G81&lt;&gt;""),G81*0.001,0)</f>
        <v/>
      </c>
      <c r="J81" s="344" t="n"/>
      <c r="K81" s="12">
        <f>IF(D81="MUA",IFERROR((J81*F81+E81*F81)/(F81*2),E81),J81)</f>
        <v/>
      </c>
      <c r="L81" s="12">
        <f>IF(AND(D81="BÁN",E81&lt;&gt;"",F81&lt;&gt;"",J81&lt;&gt;""),ROUND((E81-J81)*F81-H81-I81,0),"")</f>
        <v/>
      </c>
      <c r="M81" s="12">
        <f>IF(AND(L81&lt;&gt;"",J81&gt;0),L81/(J81*F81),"")</f>
        <v/>
      </c>
      <c r="N81" s="345" t="n"/>
      <c r="O81" s="345" t="n"/>
      <c r="P81" s="345" t="n"/>
    </row>
    <row r="82" ht="21.75" customHeight="1" s="981">
      <c r="A82" s="342" t="n"/>
      <c r="B82" s="342" t="n"/>
      <c r="C82" s="12">
        <f>IFERROR(VLOOKUP(B82,'📈 Cổ Phiếu VN 🔍'!$A:$C,2,0),"")</f>
        <v/>
      </c>
      <c r="D82" s="342" t="n"/>
      <c r="E82" s="342" t="n"/>
      <c r="F82" s="342" t="n"/>
      <c r="G82" s="12">
        <f>IF(AND(E82&lt;&gt;"",F82&lt;&gt;""),E82*F82,"")</f>
        <v/>
      </c>
      <c r="H82" s="12">
        <f>IF(G82&lt;&gt;"",G82*0.0015,"")</f>
        <v/>
      </c>
      <c r="I82" s="12">
        <f>IF(AND(D82="BÁN",G82&lt;&gt;""),G82*0.001,0)</f>
        <v/>
      </c>
      <c r="J82" s="342" t="n"/>
      <c r="K82" s="12">
        <f>IF(D82="MUA",IFERROR((J82*F82+E82*F82)/(F82*2),E82),J82)</f>
        <v/>
      </c>
      <c r="L82" s="12">
        <f>IF(AND(D82="BÁN",E82&lt;&gt;"",F82&lt;&gt;"",J82&lt;&gt;""),ROUND((E82-J82)*F82-H82-I82,0),"")</f>
        <v/>
      </c>
      <c r="M82" s="12">
        <f>IF(AND(L82&lt;&gt;"",J82&gt;0),L82/(J82*F82),"")</f>
        <v/>
      </c>
      <c r="N82" s="343" t="n"/>
      <c r="O82" s="343" t="n"/>
      <c r="P82" s="343" t="n"/>
    </row>
    <row r="83" ht="21.75" customHeight="1" s="981">
      <c r="A83" s="344" t="n"/>
      <c r="B83" s="344" t="n"/>
      <c r="C83" s="12">
        <f>IFERROR(VLOOKUP(B83,'📈 Cổ Phiếu VN 🔍'!$A:$C,2,0),"")</f>
        <v/>
      </c>
      <c r="D83" s="344" t="n"/>
      <c r="E83" s="344" t="n"/>
      <c r="F83" s="344" t="n"/>
      <c r="G83" s="12">
        <f>IF(AND(E83&lt;&gt;"",F83&lt;&gt;""),E83*F83,"")</f>
        <v/>
      </c>
      <c r="H83" s="12">
        <f>IF(G83&lt;&gt;"",G83*0.0015,"")</f>
        <v/>
      </c>
      <c r="I83" s="12">
        <f>IF(AND(D83="BÁN",G83&lt;&gt;""),G83*0.001,0)</f>
        <v/>
      </c>
      <c r="J83" s="344" t="n"/>
      <c r="K83" s="12">
        <f>IF(D83="MUA",IFERROR((J83*F83+E83*F83)/(F83*2),E83),J83)</f>
        <v/>
      </c>
      <c r="L83" s="12">
        <f>IF(AND(D83="BÁN",E83&lt;&gt;"",F83&lt;&gt;"",J83&lt;&gt;""),ROUND((E83-J83)*F83-H83-I83,0),"")</f>
        <v/>
      </c>
      <c r="M83" s="12">
        <f>IF(AND(L83&lt;&gt;"",J83&gt;0),L83/(J83*F83),"")</f>
        <v/>
      </c>
      <c r="N83" s="345" t="n"/>
      <c r="O83" s="345" t="n"/>
      <c r="P83" s="345" t="n"/>
    </row>
    <row r="84" ht="21.75" customHeight="1" s="981">
      <c r="A84" s="342" t="n"/>
      <c r="B84" s="342" t="n"/>
      <c r="C84" s="12">
        <f>IFERROR(VLOOKUP(B84,'📈 Cổ Phiếu VN 🔍'!$A:$C,2,0),"")</f>
        <v/>
      </c>
      <c r="D84" s="342" t="n"/>
      <c r="E84" s="342" t="n"/>
      <c r="F84" s="342" t="n"/>
      <c r="G84" s="12">
        <f>IF(AND(E84&lt;&gt;"",F84&lt;&gt;""),E84*F84,"")</f>
        <v/>
      </c>
      <c r="H84" s="12">
        <f>IF(G84&lt;&gt;"",G84*0.0015,"")</f>
        <v/>
      </c>
      <c r="I84" s="12">
        <f>IF(AND(D84="BÁN",G84&lt;&gt;""),G84*0.001,0)</f>
        <v/>
      </c>
      <c r="J84" s="342" t="n"/>
      <c r="K84" s="12">
        <f>IF(D84="MUA",IFERROR((J84*F84+E84*F84)/(F84*2),E84),J84)</f>
        <v/>
      </c>
      <c r="L84" s="12">
        <f>IF(AND(D84="BÁN",E84&lt;&gt;"",F84&lt;&gt;"",J84&lt;&gt;""),ROUND((E84-J84)*F84-H84-I84,0),"")</f>
        <v/>
      </c>
      <c r="M84" s="12">
        <f>IF(AND(L84&lt;&gt;"",J84&gt;0),L84/(J84*F84),"")</f>
        <v/>
      </c>
      <c r="N84" s="343" t="n"/>
      <c r="O84" s="343" t="n"/>
      <c r="P84" s="343" t="n"/>
    </row>
    <row r="85" ht="21.75" customHeight="1" s="981">
      <c r="A85" s="344" t="n"/>
      <c r="B85" s="344" t="n"/>
      <c r="C85" s="12">
        <f>IFERROR(VLOOKUP(B85,'📈 Cổ Phiếu VN 🔍'!$A:$C,2,0),"")</f>
        <v/>
      </c>
      <c r="D85" s="344" t="n"/>
      <c r="E85" s="344" t="n"/>
      <c r="F85" s="344" t="n"/>
      <c r="G85" s="12">
        <f>IF(AND(E85&lt;&gt;"",F85&lt;&gt;""),E85*F85,"")</f>
        <v/>
      </c>
      <c r="H85" s="12">
        <f>IF(G85&lt;&gt;"",G85*0.0015,"")</f>
        <v/>
      </c>
      <c r="I85" s="12">
        <f>IF(AND(D85="BÁN",G85&lt;&gt;""),G85*0.001,0)</f>
        <v/>
      </c>
      <c r="J85" s="344" t="n"/>
      <c r="K85" s="12">
        <f>IF(D85="MUA",IFERROR((J85*F85+E85*F85)/(F85*2),E85),J85)</f>
        <v/>
      </c>
      <c r="L85" s="12">
        <f>IF(AND(D85="BÁN",E85&lt;&gt;"",F85&lt;&gt;"",J85&lt;&gt;""),ROUND((E85-J85)*F85-H85-I85,0),"")</f>
        <v/>
      </c>
      <c r="M85" s="12">
        <f>IF(AND(L85&lt;&gt;"",J85&gt;0),L85/(J85*F85),"")</f>
        <v/>
      </c>
      <c r="N85" s="345" t="n"/>
      <c r="O85" s="345" t="n"/>
      <c r="P85" s="345" t="n"/>
    </row>
    <row r="86" ht="21.75" customHeight="1" s="981">
      <c r="A86" s="342" t="n"/>
      <c r="B86" s="342" t="n"/>
      <c r="C86" s="12">
        <f>IFERROR(VLOOKUP(B86,'📈 Cổ Phiếu VN 🔍'!$A:$C,2,0),"")</f>
        <v/>
      </c>
      <c r="D86" s="342" t="n"/>
      <c r="E86" s="342" t="n"/>
      <c r="F86" s="342" t="n"/>
      <c r="G86" s="12">
        <f>IF(AND(E86&lt;&gt;"",F86&lt;&gt;""),E86*F86,"")</f>
        <v/>
      </c>
      <c r="H86" s="12">
        <f>IF(G86&lt;&gt;"",G86*0.0015,"")</f>
        <v/>
      </c>
      <c r="I86" s="12">
        <f>IF(AND(D86="BÁN",G86&lt;&gt;""),G86*0.001,0)</f>
        <v/>
      </c>
      <c r="J86" s="342" t="n"/>
      <c r="K86" s="12">
        <f>IF(D86="MUA",IFERROR((J86*F86+E86*F86)/(F86*2),E86),J86)</f>
        <v/>
      </c>
      <c r="L86" s="12">
        <f>IF(AND(D86="BÁN",E86&lt;&gt;"",F86&lt;&gt;"",J86&lt;&gt;""),ROUND((E86-J86)*F86-H86-I86,0),"")</f>
        <v/>
      </c>
      <c r="M86" s="12">
        <f>IF(AND(L86&lt;&gt;"",J86&gt;0),L86/(J86*F86),"")</f>
        <v/>
      </c>
      <c r="N86" s="343" t="n"/>
      <c r="O86" s="343" t="n"/>
      <c r="P86" s="343" t="n"/>
    </row>
    <row r="87" ht="21.75" customHeight="1" s="981">
      <c r="A87" s="344" t="n"/>
      <c r="B87" s="344" t="n"/>
      <c r="C87" s="12">
        <f>IFERROR(VLOOKUP(B87,'📈 Cổ Phiếu VN 🔍'!$A:$C,2,0),"")</f>
        <v/>
      </c>
      <c r="D87" s="344" t="n"/>
      <c r="E87" s="344" t="n"/>
      <c r="F87" s="344" t="n"/>
      <c r="G87" s="12">
        <f>IF(AND(E87&lt;&gt;"",F87&lt;&gt;""),E87*F87,"")</f>
        <v/>
      </c>
      <c r="H87" s="12">
        <f>IF(G87&lt;&gt;"",G87*0.0015,"")</f>
        <v/>
      </c>
      <c r="I87" s="12">
        <f>IF(AND(D87="BÁN",G87&lt;&gt;""),G87*0.001,0)</f>
        <v/>
      </c>
      <c r="J87" s="344" t="n"/>
      <c r="K87" s="12">
        <f>IF(D87="MUA",IFERROR((J87*F87+E87*F87)/(F87*2),E87),J87)</f>
        <v/>
      </c>
      <c r="L87" s="12">
        <f>IF(AND(D87="BÁN",E87&lt;&gt;"",F87&lt;&gt;"",J87&lt;&gt;""),ROUND((E87-J87)*F87-H87-I87,0),"")</f>
        <v/>
      </c>
      <c r="M87" s="12">
        <f>IF(AND(L87&lt;&gt;"",J87&gt;0),L87/(J87*F87),"")</f>
        <v/>
      </c>
      <c r="N87" s="345" t="n"/>
      <c r="O87" s="345" t="n"/>
      <c r="P87" s="345" t="n"/>
    </row>
    <row r="88" ht="21.75" customHeight="1" s="981">
      <c r="A88" s="342" t="n"/>
      <c r="B88" s="342" t="n"/>
      <c r="C88" s="12">
        <f>IFERROR(VLOOKUP(B88,'📈 Cổ Phiếu VN 🔍'!$A:$C,2,0),"")</f>
        <v/>
      </c>
      <c r="D88" s="342" t="n"/>
      <c r="E88" s="342" t="n"/>
      <c r="F88" s="342" t="n"/>
      <c r="G88" s="12">
        <f>IF(AND(E88&lt;&gt;"",F88&lt;&gt;""),E88*F88,"")</f>
        <v/>
      </c>
      <c r="H88" s="12">
        <f>IF(G88&lt;&gt;"",G88*0.0015,"")</f>
        <v/>
      </c>
      <c r="I88" s="12">
        <f>IF(AND(D88="BÁN",G88&lt;&gt;""),G88*0.001,0)</f>
        <v/>
      </c>
      <c r="J88" s="342" t="n"/>
      <c r="K88" s="12">
        <f>IF(D88="MUA",IFERROR((J88*F88+E88*F88)/(F88*2),E88),J88)</f>
        <v/>
      </c>
      <c r="L88" s="12">
        <f>IF(AND(D88="BÁN",E88&lt;&gt;"",F88&lt;&gt;"",J88&lt;&gt;""),ROUND((E88-J88)*F88-H88-I88,0),"")</f>
        <v/>
      </c>
      <c r="M88" s="12">
        <f>IF(AND(L88&lt;&gt;"",J88&gt;0),L88/(J88*F88),"")</f>
        <v/>
      </c>
      <c r="N88" s="343" t="n"/>
      <c r="O88" s="343" t="n"/>
      <c r="P88" s="343" t="n"/>
    </row>
    <row r="89" ht="21.75" customHeight="1" s="981">
      <c r="A89" s="344" t="n"/>
      <c r="B89" s="344" t="n"/>
      <c r="C89" s="12">
        <f>IFERROR(VLOOKUP(B89,'📈 Cổ Phiếu VN 🔍'!$A:$C,2,0),"")</f>
        <v/>
      </c>
      <c r="D89" s="344" t="n"/>
      <c r="E89" s="344" t="n"/>
      <c r="F89" s="344" t="n"/>
      <c r="G89" s="12">
        <f>IF(AND(E89&lt;&gt;"",F89&lt;&gt;""),E89*F89,"")</f>
        <v/>
      </c>
      <c r="H89" s="12">
        <f>IF(G89&lt;&gt;"",G89*0.0015,"")</f>
        <v/>
      </c>
      <c r="I89" s="12">
        <f>IF(AND(D89="BÁN",G89&lt;&gt;""),G89*0.001,0)</f>
        <v/>
      </c>
      <c r="J89" s="344" t="n"/>
      <c r="K89" s="12">
        <f>IF(D89="MUA",IFERROR((J89*F89+E89*F89)/(F89*2),E89),J89)</f>
        <v/>
      </c>
      <c r="L89" s="12">
        <f>IF(AND(D89="BÁN",E89&lt;&gt;"",F89&lt;&gt;"",J89&lt;&gt;""),ROUND((E89-J89)*F89-H89-I89,0),"")</f>
        <v/>
      </c>
      <c r="M89" s="12">
        <f>IF(AND(L89&lt;&gt;"",J89&gt;0),L89/(J89*F89),"")</f>
        <v/>
      </c>
      <c r="N89" s="345" t="n"/>
      <c r="O89" s="345" t="n"/>
      <c r="P89" s="345" t="n"/>
    </row>
    <row r="90" ht="21.75" customHeight="1" s="981">
      <c r="A90" s="342" t="n"/>
      <c r="B90" s="342" t="n"/>
      <c r="C90" s="12">
        <f>IFERROR(VLOOKUP(B90,'📈 Cổ Phiếu VN 🔍'!$A:$C,2,0),"")</f>
        <v/>
      </c>
      <c r="D90" s="342" t="n"/>
      <c r="E90" s="342" t="n"/>
      <c r="F90" s="342" t="n"/>
      <c r="G90" s="12">
        <f>IF(AND(E90&lt;&gt;"",F90&lt;&gt;""),E90*F90,"")</f>
        <v/>
      </c>
      <c r="H90" s="12">
        <f>IF(G90&lt;&gt;"",G90*0.0015,"")</f>
        <v/>
      </c>
      <c r="I90" s="12">
        <f>IF(AND(D90="BÁN",G90&lt;&gt;""),G90*0.001,0)</f>
        <v/>
      </c>
      <c r="J90" s="342" t="n"/>
      <c r="K90" s="12">
        <f>IF(D90="MUA",IFERROR((J90*F90+E90*F90)/(F90*2),E90),J90)</f>
        <v/>
      </c>
      <c r="L90" s="12">
        <f>IF(AND(D90="BÁN",E90&lt;&gt;"",F90&lt;&gt;"",J90&lt;&gt;""),ROUND((E90-J90)*F90-H90-I90,0),"")</f>
        <v/>
      </c>
      <c r="M90" s="12">
        <f>IF(AND(L90&lt;&gt;"",J90&gt;0),L90/(J90*F90),"")</f>
        <v/>
      </c>
      <c r="N90" s="343" t="n"/>
      <c r="O90" s="343" t="n"/>
      <c r="P90" s="343" t="n"/>
    </row>
    <row r="91" ht="21.75" customHeight="1" s="981">
      <c r="A91" s="344" t="n"/>
      <c r="B91" s="344" t="n"/>
      <c r="C91" s="12">
        <f>IFERROR(VLOOKUP(B91,'📈 Cổ Phiếu VN 🔍'!$A:$C,2,0),"")</f>
        <v/>
      </c>
      <c r="D91" s="344" t="n"/>
      <c r="E91" s="344" t="n"/>
      <c r="F91" s="344" t="n"/>
      <c r="G91" s="12">
        <f>IF(AND(E91&lt;&gt;"",F91&lt;&gt;""),E91*F91,"")</f>
        <v/>
      </c>
      <c r="H91" s="12">
        <f>IF(G91&lt;&gt;"",G91*0.0015,"")</f>
        <v/>
      </c>
      <c r="I91" s="12">
        <f>IF(AND(D91="BÁN",G91&lt;&gt;""),G91*0.001,0)</f>
        <v/>
      </c>
      <c r="J91" s="344" t="n"/>
      <c r="K91" s="12">
        <f>IF(D91="MUA",IFERROR((J91*F91+E91*F91)/(F91*2),E91),J91)</f>
        <v/>
      </c>
      <c r="L91" s="12">
        <f>IF(AND(D91="BÁN",E91&lt;&gt;"",F91&lt;&gt;"",J91&lt;&gt;""),ROUND((E91-J91)*F91-H91-I91,0),"")</f>
        <v/>
      </c>
      <c r="M91" s="12">
        <f>IF(AND(L91&lt;&gt;"",J91&gt;0),L91/(J91*F91),"")</f>
        <v/>
      </c>
      <c r="N91" s="345" t="n"/>
      <c r="O91" s="345" t="n"/>
      <c r="P91" s="345" t="n"/>
    </row>
    <row r="92" ht="21.75" customHeight="1" s="981">
      <c r="A92" s="342" t="n"/>
      <c r="B92" s="342" t="n"/>
      <c r="C92" s="12">
        <f>IFERROR(VLOOKUP(B92,'📈 Cổ Phiếu VN 🔍'!$A:$C,2,0),"")</f>
        <v/>
      </c>
      <c r="D92" s="342" t="n"/>
      <c r="E92" s="342" t="n"/>
      <c r="F92" s="342" t="n"/>
      <c r="G92" s="12">
        <f>IF(AND(E92&lt;&gt;"",F92&lt;&gt;""),E92*F92,"")</f>
        <v/>
      </c>
      <c r="H92" s="12">
        <f>IF(G92&lt;&gt;"",G92*0.0015,"")</f>
        <v/>
      </c>
      <c r="I92" s="12">
        <f>IF(AND(D92="BÁN",G92&lt;&gt;""),G92*0.001,0)</f>
        <v/>
      </c>
      <c r="J92" s="342" t="n"/>
      <c r="K92" s="12">
        <f>IF(D92="MUA",IFERROR((J92*F92+E92*F92)/(F92*2),E92),J92)</f>
        <v/>
      </c>
      <c r="L92" s="12">
        <f>IF(AND(D92="BÁN",E92&lt;&gt;"",F92&lt;&gt;"",J92&lt;&gt;""),ROUND((E92-J92)*F92-H92-I92,0),"")</f>
        <v/>
      </c>
      <c r="M92" s="12">
        <f>IF(AND(L92&lt;&gt;"",J92&gt;0),L92/(J92*F92),"")</f>
        <v/>
      </c>
      <c r="N92" s="343" t="n"/>
      <c r="O92" s="343" t="n"/>
      <c r="P92" s="343" t="n"/>
    </row>
    <row r="93" ht="21.75" customHeight="1" s="981">
      <c r="A93" s="344" t="n"/>
      <c r="B93" s="344" t="n"/>
      <c r="C93" s="12">
        <f>IFERROR(VLOOKUP(B93,'📈 Cổ Phiếu VN 🔍'!$A:$C,2,0),"")</f>
        <v/>
      </c>
      <c r="D93" s="344" t="n"/>
      <c r="E93" s="344" t="n"/>
      <c r="F93" s="344" t="n"/>
      <c r="G93" s="12">
        <f>IF(AND(E93&lt;&gt;"",F93&lt;&gt;""),E93*F93,"")</f>
        <v/>
      </c>
      <c r="H93" s="12">
        <f>IF(G93&lt;&gt;"",G93*0.0015,"")</f>
        <v/>
      </c>
      <c r="I93" s="12">
        <f>IF(AND(D93="BÁN",G93&lt;&gt;""),G93*0.001,0)</f>
        <v/>
      </c>
      <c r="J93" s="344" t="n"/>
      <c r="K93" s="12">
        <f>IF(D93="MUA",IFERROR((J93*F93+E93*F93)/(F93*2),E93),J93)</f>
        <v/>
      </c>
      <c r="L93" s="12">
        <f>IF(AND(D93="BÁN",E93&lt;&gt;"",F93&lt;&gt;"",J93&lt;&gt;""),ROUND((E93-J93)*F93-H93-I93,0),"")</f>
        <v/>
      </c>
      <c r="M93" s="12">
        <f>IF(AND(L93&lt;&gt;"",J93&gt;0),L93/(J93*F93),"")</f>
        <v/>
      </c>
      <c r="N93" s="345" t="n"/>
      <c r="O93" s="345" t="n"/>
      <c r="P93" s="345" t="n"/>
    </row>
    <row r="94" ht="21.75" customHeight="1" s="981">
      <c r="A94" s="342" t="n"/>
      <c r="B94" s="342" t="n"/>
      <c r="C94" s="12">
        <f>IFERROR(VLOOKUP(B94,'📈 Cổ Phiếu VN 🔍'!$A:$C,2,0),"")</f>
        <v/>
      </c>
      <c r="D94" s="342" t="n"/>
      <c r="E94" s="342" t="n"/>
      <c r="F94" s="342" t="n"/>
      <c r="G94" s="12">
        <f>IF(AND(E94&lt;&gt;"",F94&lt;&gt;""),E94*F94,"")</f>
        <v/>
      </c>
      <c r="H94" s="12">
        <f>IF(G94&lt;&gt;"",G94*0.0015,"")</f>
        <v/>
      </c>
      <c r="I94" s="12">
        <f>IF(AND(D94="BÁN",G94&lt;&gt;""),G94*0.001,0)</f>
        <v/>
      </c>
      <c r="J94" s="342" t="n"/>
      <c r="K94" s="12">
        <f>IF(D94="MUA",IFERROR((J94*F94+E94*F94)/(F94*2),E94),J94)</f>
        <v/>
      </c>
      <c r="L94" s="12">
        <f>IF(AND(D94="BÁN",E94&lt;&gt;"",F94&lt;&gt;"",J94&lt;&gt;""),ROUND((E94-J94)*F94-H94-I94,0),"")</f>
        <v/>
      </c>
      <c r="M94" s="12">
        <f>IF(AND(L94&lt;&gt;"",J94&gt;0),L94/(J94*F94),"")</f>
        <v/>
      </c>
      <c r="N94" s="343" t="n"/>
      <c r="O94" s="343" t="n"/>
      <c r="P94" s="343" t="n"/>
    </row>
    <row r="95" ht="21.75" customHeight="1" s="981">
      <c r="A95" s="344" t="n"/>
      <c r="B95" s="344" t="n"/>
      <c r="C95" s="12">
        <f>IFERROR(VLOOKUP(B95,'📈 Cổ Phiếu VN 🔍'!$A:$C,2,0),"")</f>
        <v/>
      </c>
      <c r="D95" s="344" t="n"/>
      <c r="E95" s="344" t="n"/>
      <c r="F95" s="344" t="n"/>
      <c r="G95" s="12">
        <f>IF(AND(E95&lt;&gt;"",F95&lt;&gt;""),E95*F95,"")</f>
        <v/>
      </c>
      <c r="H95" s="12">
        <f>IF(G95&lt;&gt;"",G95*0.0015,"")</f>
        <v/>
      </c>
      <c r="I95" s="12">
        <f>IF(AND(D95="BÁN",G95&lt;&gt;""),G95*0.001,0)</f>
        <v/>
      </c>
      <c r="J95" s="344" t="n"/>
      <c r="K95" s="12">
        <f>IF(D95="MUA",IFERROR((J95*F95+E95*F95)/(F95*2),E95),J95)</f>
        <v/>
      </c>
      <c r="L95" s="12">
        <f>IF(AND(D95="BÁN",E95&lt;&gt;"",F95&lt;&gt;"",J95&lt;&gt;""),ROUND((E95-J95)*F95-H95-I95,0),"")</f>
        <v/>
      </c>
      <c r="M95" s="12">
        <f>IF(AND(L95&lt;&gt;"",J95&gt;0),L95/(J95*F95),"")</f>
        <v/>
      </c>
      <c r="N95" s="345" t="n"/>
      <c r="O95" s="345" t="n"/>
      <c r="P95" s="345" t="n"/>
    </row>
    <row r="96" ht="21.75" customHeight="1" s="981">
      <c r="A96" s="342" t="n"/>
      <c r="B96" s="342" t="n"/>
      <c r="C96" s="12">
        <f>IFERROR(VLOOKUP(B96,'📈 Cổ Phiếu VN 🔍'!$A:$C,2,0),"")</f>
        <v/>
      </c>
      <c r="D96" s="342" t="n"/>
      <c r="E96" s="342" t="n"/>
      <c r="F96" s="342" t="n"/>
      <c r="G96" s="12">
        <f>IF(AND(E96&lt;&gt;"",F96&lt;&gt;""),E96*F96,"")</f>
        <v/>
      </c>
      <c r="H96" s="12">
        <f>IF(G96&lt;&gt;"",G96*0.0015,"")</f>
        <v/>
      </c>
      <c r="I96" s="12">
        <f>IF(AND(D96="BÁN",G96&lt;&gt;""),G96*0.001,0)</f>
        <v/>
      </c>
      <c r="J96" s="342" t="n"/>
      <c r="K96" s="12">
        <f>IF(D96="MUA",IFERROR((J96*F96+E96*F96)/(F96*2),E96),J96)</f>
        <v/>
      </c>
      <c r="L96" s="12">
        <f>IF(AND(D96="BÁN",E96&lt;&gt;"",F96&lt;&gt;"",J96&lt;&gt;""),ROUND((E96-J96)*F96-H96-I96,0),"")</f>
        <v/>
      </c>
      <c r="M96" s="12">
        <f>IF(AND(L96&lt;&gt;"",J96&gt;0),L96/(J96*F96),"")</f>
        <v/>
      </c>
      <c r="N96" s="343" t="n"/>
      <c r="O96" s="343" t="n"/>
      <c r="P96" s="343" t="n"/>
    </row>
    <row r="97" ht="21.75" customHeight="1" s="981">
      <c r="A97" s="344" t="n"/>
      <c r="B97" s="344" t="n"/>
      <c r="C97" s="12">
        <f>IFERROR(VLOOKUP(B97,'📈 Cổ Phiếu VN 🔍'!$A:$C,2,0),"")</f>
        <v/>
      </c>
      <c r="D97" s="344" t="n"/>
      <c r="E97" s="344" t="n"/>
      <c r="F97" s="344" t="n"/>
      <c r="G97" s="12">
        <f>IF(AND(E97&lt;&gt;"",F97&lt;&gt;""),E97*F97,"")</f>
        <v/>
      </c>
      <c r="H97" s="12">
        <f>IF(G97&lt;&gt;"",G97*0.0015,"")</f>
        <v/>
      </c>
      <c r="I97" s="12">
        <f>IF(AND(D97="BÁN",G97&lt;&gt;""),G97*0.001,0)</f>
        <v/>
      </c>
      <c r="J97" s="344" t="n"/>
      <c r="K97" s="12">
        <f>IF(D97="MUA",IFERROR((J97*F97+E97*F97)/(F97*2),E97),J97)</f>
        <v/>
      </c>
      <c r="L97" s="12">
        <f>IF(AND(D97="BÁN",E97&lt;&gt;"",F97&lt;&gt;"",J97&lt;&gt;""),ROUND((E97-J97)*F97-H97-I97,0),"")</f>
        <v/>
      </c>
      <c r="M97" s="12">
        <f>IF(AND(L97&lt;&gt;"",J97&gt;0),L97/(J97*F97),"")</f>
        <v/>
      </c>
      <c r="N97" s="345" t="n"/>
      <c r="O97" s="345" t="n"/>
      <c r="P97" s="345" t="n"/>
    </row>
    <row r="98" ht="21.75" customHeight="1" s="981">
      <c r="A98" s="342" t="n"/>
      <c r="B98" s="342" t="n"/>
      <c r="C98" s="12">
        <f>IFERROR(VLOOKUP(B98,'📈 Cổ Phiếu VN 🔍'!$A:$C,2,0),"")</f>
        <v/>
      </c>
      <c r="D98" s="342" t="n"/>
      <c r="E98" s="342" t="n"/>
      <c r="F98" s="342" t="n"/>
      <c r="G98" s="12">
        <f>IF(AND(E98&lt;&gt;"",F98&lt;&gt;""),E98*F98,"")</f>
        <v/>
      </c>
      <c r="H98" s="12">
        <f>IF(G98&lt;&gt;"",G98*0.0015,"")</f>
        <v/>
      </c>
      <c r="I98" s="12">
        <f>IF(AND(D98="BÁN",G98&lt;&gt;""),G98*0.001,0)</f>
        <v/>
      </c>
      <c r="J98" s="342" t="n"/>
      <c r="K98" s="12">
        <f>IF(D98="MUA",IFERROR((J98*F98+E98*F98)/(F98*2),E98),J98)</f>
        <v/>
      </c>
      <c r="L98" s="12">
        <f>IF(AND(D98="BÁN",E98&lt;&gt;"",F98&lt;&gt;"",J98&lt;&gt;""),ROUND((E98-J98)*F98-H98-I98,0),"")</f>
        <v/>
      </c>
      <c r="M98" s="12">
        <f>IF(AND(L98&lt;&gt;"",J98&gt;0),L98/(J98*F98),"")</f>
        <v/>
      </c>
      <c r="N98" s="343" t="n"/>
      <c r="O98" s="343" t="n"/>
      <c r="P98" s="343" t="n"/>
    </row>
    <row r="99" ht="21.75" customHeight="1" s="981">
      <c r="A99" s="344" t="n"/>
      <c r="B99" s="344" t="n"/>
      <c r="C99" s="12">
        <f>IFERROR(VLOOKUP(B99,'📈 Cổ Phiếu VN 🔍'!$A:$C,2,0),"")</f>
        <v/>
      </c>
      <c r="D99" s="344" t="n"/>
      <c r="E99" s="344" t="n"/>
      <c r="F99" s="344" t="n"/>
      <c r="G99" s="12">
        <f>IF(AND(E99&lt;&gt;"",F99&lt;&gt;""),E99*F99,"")</f>
        <v/>
      </c>
      <c r="H99" s="12">
        <f>IF(G99&lt;&gt;"",G99*0.0015,"")</f>
        <v/>
      </c>
      <c r="I99" s="12">
        <f>IF(AND(D99="BÁN",G99&lt;&gt;""),G99*0.001,0)</f>
        <v/>
      </c>
      <c r="J99" s="344" t="n"/>
      <c r="K99" s="12">
        <f>IF(D99="MUA",IFERROR((J99*F99+E99*F99)/(F99*2),E99),J99)</f>
        <v/>
      </c>
      <c r="L99" s="12">
        <f>IF(AND(D99="BÁN",E99&lt;&gt;"",F99&lt;&gt;"",J99&lt;&gt;""),ROUND((E99-J99)*F99-H99-I99,0),"")</f>
        <v/>
      </c>
      <c r="M99" s="12">
        <f>IF(AND(L99&lt;&gt;"",J99&gt;0),L99/(J99*F99),"")</f>
        <v/>
      </c>
      <c r="N99" s="345" t="n"/>
      <c r="O99" s="345" t="n"/>
      <c r="P99" s="345" t="n"/>
    </row>
    <row r="100" ht="21.75" customHeight="1" s="981">
      <c r="A100" s="342" t="n"/>
      <c r="B100" s="342" t="n"/>
      <c r="C100" s="12">
        <f>IFERROR(VLOOKUP(B100,'📈 Cổ Phiếu VN 🔍'!$A:$C,2,0),"")</f>
        <v/>
      </c>
      <c r="D100" s="342" t="n"/>
      <c r="E100" s="342" t="n"/>
      <c r="F100" s="342" t="n"/>
      <c r="G100" s="12">
        <f>IF(AND(E100&lt;&gt;"",F100&lt;&gt;""),E100*F100,"")</f>
        <v/>
      </c>
      <c r="H100" s="12">
        <f>IF(G100&lt;&gt;"",G100*0.0015,"")</f>
        <v/>
      </c>
      <c r="I100" s="12">
        <f>IF(AND(D100="BÁN",G100&lt;&gt;""),G100*0.001,0)</f>
        <v/>
      </c>
      <c r="J100" s="342" t="n"/>
      <c r="K100" s="12">
        <f>IF(D100="MUA",IFERROR((J100*F100+E100*F100)/(F100*2),E100),J100)</f>
        <v/>
      </c>
      <c r="L100" s="12">
        <f>IF(AND(D100="BÁN",E100&lt;&gt;"",F100&lt;&gt;"",J100&lt;&gt;""),ROUND((E100-J100)*F100-H100-I100,0),"")</f>
        <v/>
      </c>
      <c r="M100" s="12">
        <f>IF(AND(L100&lt;&gt;"",J100&gt;0),L100/(J100*F100),"")</f>
        <v/>
      </c>
      <c r="N100" s="343" t="n"/>
      <c r="O100" s="343" t="n"/>
      <c r="P100" s="343" t="n"/>
    </row>
    <row r="101" ht="21.75" customHeight="1" s="981">
      <c r="A101" s="344" t="n"/>
      <c r="B101" s="344" t="n"/>
      <c r="C101" s="12">
        <f>IFERROR(VLOOKUP(B101,'📈 Cổ Phiếu VN 🔍'!$A:$C,2,0),"")</f>
        <v/>
      </c>
      <c r="D101" s="344" t="n"/>
      <c r="E101" s="344" t="n"/>
      <c r="F101" s="344" t="n"/>
      <c r="G101" s="12">
        <f>IF(AND(E101&lt;&gt;"",F101&lt;&gt;""),E101*F101,"")</f>
        <v/>
      </c>
      <c r="H101" s="12">
        <f>IF(G101&lt;&gt;"",G101*0.0015,"")</f>
        <v/>
      </c>
      <c r="I101" s="12">
        <f>IF(AND(D101="BÁN",G101&lt;&gt;""),G101*0.001,0)</f>
        <v/>
      </c>
      <c r="J101" s="344" t="n"/>
      <c r="K101" s="12">
        <f>IF(D101="MUA",IFERROR((J101*F101+E101*F101)/(F101*2),E101),J101)</f>
        <v/>
      </c>
      <c r="L101" s="12">
        <f>IF(AND(D101="BÁN",E101&lt;&gt;"",F101&lt;&gt;"",J101&lt;&gt;""),ROUND((E101-J101)*F101-H101-I101,0),"")</f>
        <v/>
      </c>
      <c r="M101" s="12">
        <f>IF(AND(L101&lt;&gt;"",J101&gt;0),L101/(J101*F101),"")</f>
        <v/>
      </c>
      <c r="N101" s="345" t="n"/>
      <c r="O101" s="345" t="n"/>
      <c r="P101" s="345" t="n"/>
    </row>
    <row r="102" ht="21.75" customHeight="1" s="981">
      <c r="A102" s="342" t="n"/>
      <c r="B102" s="342" t="n"/>
      <c r="C102" s="12">
        <f>IFERROR(VLOOKUP(B102,'📈 Cổ Phiếu VN 🔍'!$A:$C,2,0),"")</f>
        <v/>
      </c>
      <c r="D102" s="342" t="n"/>
      <c r="E102" s="342" t="n"/>
      <c r="F102" s="342" t="n"/>
      <c r="G102" s="12">
        <f>IF(AND(E102&lt;&gt;"",F102&lt;&gt;""),E102*F102,"")</f>
        <v/>
      </c>
      <c r="H102" s="12">
        <f>IF(G102&lt;&gt;"",G102*0.0015,"")</f>
        <v/>
      </c>
      <c r="I102" s="12">
        <f>IF(AND(D102="BÁN",G102&lt;&gt;""),G102*0.001,0)</f>
        <v/>
      </c>
      <c r="J102" s="342" t="n"/>
      <c r="K102" s="12">
        <f>IF(D102="MUA",IFERROR((J102*F102+E102*F102)/(F102*2),E102),J102)</f>
        <v/>
      </c>
      <c r="L102" s="12">
        <f>IF(AND(D102="BÁN",E102&lt;&gt;"",F102&lt;&gt;"",J102&lt;&gt;""),ROUND((E102-J102)*F102-H102-I102,0),"")</f>
        <v/>
      </c>
      <c r="M102" s="12">
        <f>IF(AND(L102&lt;&gt;"",J102&gt;0),L102/(J102*F102),"")</f>
        <v/>
      </c>
      <c r="N102" s="343" t="n"/>
      <c r="O102" s="343" t="n"/>
      <c r="P102" s="343" t="n"/>
    </row>
    <row r="103" ht="21.75" customHeight="1" s="981">
      <c r="A103" s="344" t="n"/>
      <c r="B103" s="344" t="n"/>
      <c r="C103" s="12">
        <f>IFERROR(VLOOKUP(B103,'📈 Cổ Phiếu VN 🔍'!$A:$C,2,0),"")</f>
        <v/>
      </c>
      <c r="D103" s="344" t="n"/>
      <c r="E103" s="344" t="n"/>
      <c r="F103" s="344" t="n"/>
      <c r="G103" s="12">
        <f>IF(AND(E103&lt;&gt;"",F103&lt;&gt;""),E103*F103,"")</f>
        <v/>
      </c>
      <c r="H103" s="12">
        <f>IF(G103&lt;&gt;"",G103*0.0015,"")</f>
        <v/>
      </c>
      <c r="I103" s="12">
        <f>IF(AND(D103="BÁN",G103&lt;&gt;""),G103*0.001,0)</f>
        <v/>
      </c>
      <c r="J103" s="344" t="n"/>
      <c r="K103" s="12">
        <f>IF(D103="MUA",IFERROR((J103*F103+E103*F103)/(F103*2),E103),J103)</f>
        <v/>
      </c>
      <c r="L103" s="12">
        <f>IF(AND(D103="BÁN",E103&lt;&gt;"",F103&lt;&gt;"",J103&lt;&gt;""),ROUND((E103-J103)*F103-H103-I103,0),"")</f>
        <v/>
      </c>
      <c r="M103" s="12">
        <f>IF(AND(L103&lt;&gt;"",J103&gt;0),L103/(J103*F103),"")</f>
        <v/>
      </c>
      <c r="N103" s="345" t="n"/>
      <c r="O103" s="345" t="n"/>
      <c r="P103" s="345" t="n"/>
    </row>
    <row r="104" ht="21.75" customHeight="1" s="981">
      <c r="A104" s="342" t="n"/>
      <c r="B104" s="342" t="n"/>
      <c r="C104" s="12">
        <f>IFERROR(VLOOKUP(B104,'📈 Cổ Phiếu VN 🔍'!$A:$C,2,0),"")</f>
        <v/>
      </c>
      <c r="D104" s="342" t="n"/>
      <c r="E104" s="342" t="n"/>
      <c r="F104" s="342" t="n"/>
      <c r="G104" s="12">
        <f>IF(AND(E104&lt;&gt;"",F104&lt;&gt;""),E104*F104,"")</f>
        <v/>
      </c>
      <c r="H104" s="12">
        <f>IF(G104&lt;&gt;"",G104*0.0015,"")</f>
        <v/>
      </c>
      <c r="I104" s="12">
        <f>IF(AND(D104="BÁN",G104&lt;&gt;""),G104*0.001,0)</f>
        <v/>
      </c>
      <c r="J104" s="342" t="n"/>
      <c r="K104" s="12">
        <f>IF(D104="MUA",IFERROR((J104*F104+E104*F104)/(F104*2),E104),J104)</f>
        <v/>
      </c>
      <c r="L104" s="12">
        <f>IF(AND(D104="BÁN",E104&lt;&gt;"",F104&lt;&gt;"",J104&lt;&gt;""),ROUND((E104-J104)*F104-H104-I104,0),"")</f>
        <v/>
      </c>
      <c r="M104" s="12">
        <f>IF(AND(L104&lt;&gt;"",J104&gt;0),L104/(J104*F104),"")</f>
        <v/>
      </c>
      <c r="N104" s="343" t="n"/>
      <c r="O104" s="343" t="n"/>
      <c r="P104" s="343" t="n"/>
    </row>
    <row r="105" ht="21.75" customHeight="1" s="981">
      <c r="A105" s="344" t="n"/>
      <c r="B105" s="344" t="n"/>
      <c r="C105" s="12">
        <f>IFERROR(VLOOKUP(B105,'📈 Cổ Phiếu VN 🔍'!$A:$C,2,0),"")</f>
        <v/>
      </c>
      <c r="D105" s="344" t="n"/>
      <c r="E105" s="344" t="n"/>
      <c r="F105" s="344" t="n"/>
      <c r="G105" s="12">
        <f>IF(AND(E105&lt;&gt;"",F105&lt;&gt;""),E105*F105,"")</f>
        <v/>
      </c>
      <c r="H105" s="12">
        <f>IF(G105&lt;&gt;"",G105*0.0015,"")</f>
        <v/>
      </c>
      <c r="I105" s="12">
        <f>IF(AND(D105="BÁN",G105&lt;&gt;""),G105*0.001,0)</f>
        <v/>
      </c>
      <c r="J105" s="344" t="n"/>
      <c r="K105" s="12">
        <f>IF(D105="MUA",IFERROR((J105*F105+E105*F105)/(F105*2),E105),J105)</f>
        <v/>
      </c>
      <c r="L105" s="12">
        <f>IF(AND(D105="BÁN",E105&lt;&gt;"",F105&lt;&gt;"",J105&lt;&gt;""),ROUND((E105-J105)*F105-H105-I105,0),"")</f>
        <v/>
      </c>
      <c r="M105" s="12">
        <f>IF(AND(L105&lt;&gt;"",J105&gt;0),L105/(J105*F105),"")</f>
        <v/>
      </c>
      <c r="N105" s="345" t="n"/>
      <c r="O105" s="345" t="n"/>
      <c r="P105" s="345" t="n"/>
    </row>
    <row r="106" ht="21.75" customHeight="1" s="981">
      <c r="A106" s="342" t="n"/>
      <c r="B106" s="342" t="n"/>
      <c r="C106" s="12">
        <f>IFERROR(VLOOKUP(B106,'📈 Cổ Phiếu VN 🔍'!$A:$C,2,0),"")</f>
        <v/>
      </c>
      <c r="D106" s="342" t="n"/>
      <c r="E106" s="342" t="n"/>
      <c r="F106" s="342" t="n"/>
      <c r="G106" s="12">
        <f>IF(AND(E106&lt;&gt;"",F106&lt;&gt;""),E106*F106,"")</f>
        <v/>
      </c>
      <c r="H106" s="12">
        <f>IF(G106&lt;&gt;"",G106*0.0015,"")</f>
        <v/>
      </c>
      <c r="I106" s="12">
        <f>IF(AND(D106="BÁN",G106&lt;&gt;""),G106*0.001,0)</f>
        <v/>
      </c>
      <c r="J106" s="342" t="n"/>
      <c r="K106" s="12">
        <f>IF(D106="MUA",IFERROR((J106*F106+E106*F106)/(F106*2),E106),J106)</f>
        <v/>
      </c>
      <c r="L106" s="12">
        <f>IF(AND(D106="BÁN",E106&lt;&gt;"",F106&lt;&gt;"",J106&lt;&gt;""),ROUND((E106-J106)*F106-H106-I106,0),"")</f>
        <v/>
      </c>
      <c r="M106" s="12">
        <f>IF(AND(L106&lt;&gt;"",J106&gt;0),L106/(J106*F106),"")</f>
        <v/>
      </c>
      <c r="N106" s="343" t="n"/>
      <c r="O106" s="343" t="n"/>
      <c r="P106" s="343" t="n"/>
    </row>
    <row r="107" ht="21.75" customHeight="1" s="981">
      <c r="A107" s="344" t="n"/>
      <c r="B107" s="344" t="n"/>
      <c r="C107" s="12">
        <f>IFERROR(VLOOKUP(B107,'📈 Cổ Phiếu VN 🔍'!$A:$C,2,0),"")</f>
        <v/>
      </c>
      <c r="D107" s="344" t="n"/>
      <c r="E107" s="344" t="n"/>
      <c r="F107" s="344" t="n"/>
      <c r="G107" s="12">
        <f>IF(AND(E107&lt;&gt;"",F107&lt;&gt;""),E107*F107,"")</f>
        <v/>
      </c>
      <c r="H107" s="12">
        <f>IF(G107&lt;&gt;"",G107*0.0015,"")</f>
        <v/>
      </c>
      <c r="I107" s="12">
        <f>IF(AND(D107="BÁN",G107&lt;&gt;""),G107*0.001,0)</f>
        <v/>
      </c>
      <c r="J107" s="344" t="n"/>
      <c r="K107" s="12">
        <f>IF(D107="MUA",IFERROR((J107*F107+E107*F107)/(F107*2),E107),J107)</f>
        <v/>
      </c>
      <c r="L107" s="12">
        <f>IF(AND(D107="BÁN",E107&lt;&gt;"",F107&lt;&gt;"",J107&lt;&gt;""),ROUND((E107-J107)*F107-H107-I107,0),"")</f>
        <v/>
      </c>
      <c r="M107" s="12">
        <f>IF(AND(L107&lt;&gt;"",J107&gt;0),L107/(J107*F107),"")</f>
        <v/>
      </c>
      <c r="N107" s="345" t="n"/>
      <c r="O107" s="345" t="n"/>
      <c r="P107" s="345" t="n"/>
    </row>
    <row r="108" ht="21.75" customHeight="1" s="981">
      <c r="A108" s="342" t="n"/>
      <c r="B108" s="342" t="n"/>
      <c r="C108" s="12">
        <f>IFERROR(VLOOKUP(B108,'📈 Cổ Phiếu VN 🔍'!$A:$C,2,0),"")</f>
        <v/>
      </c>
      <c r="D108" s="342" t="n"/>
      <c r="E108" s="342" t="n"/>
      <c r="F108" s="342" t="n"/>
      <c r="G108" s="12">
        <f>IF(AND(E108&lt;&gt;"",F108&lt;&gt;""),E108*F108,"")</f>
        <v/>
      </c>
      <c r="H108" s="12">
        <f>IF(G108&lt;&gt;"",G108*0.0015,"")</f>
        <v/>
      </c>
      <c r="I108" s="12">
        <f>IF(AND(D108="BÁN",G108&lt;&gt;""),G108*0.001,0)</f>
        <v/>
      </c>
      <c r="J108" s="342" t="n"/>
      <c r="K108" s="12">
        <f>IF(D108="MUA",IFERROR((J108*F108+E108*F108)/(F108*2),E108),J108)</f>
        <v/>
      </c>
      <c r="L108" s="12">
        <f>IF(AND(D108="BÁN",E108&lt;&gt;"",F108&lt;&gt;"",J108&lt;&gt;""),ROUND((E108-J108)*F108-H108-I108,0),"")</f>
        <v/>
      </c>
      <c r="M108" s="12">
        <f>IF(AND(L108&lt;&gt;"",J108&gt;0),L108/(J108*F108),"")</f>
        <v/>
      </c>
      <c r="N108" s="343" t="n"/>
      <c r="O108" s="343" t="n"/>
      <c r="P108" s="343" t="n"/>
    </row>
    <row r="109" ht="21.75" customHeight="1" s="981">
      <c r="A109" s="344" t="n"/>
      <c r="B109" s="344" t="n"/>
      <c r="C109" s="12">
        <f>IFERROR(VLOOKUP(B109,'📈 Cổ Phiếu VN 🔍'!$A:$C,2,0),"")</f>
        <v/>
      </c>
      <c r="D109" s="344" t="n"/>
      <c r="E109" s="344" t="n"/>
      <c r="F109" s="344" t="n"/>
      <c r="G109" s="12">
        <f>IF(AND(E109&lt;&gt;"",F109&lt;&gt;""),E109*F109,"")</f>
        <v/>
      </c>
      <c r="H109" s="12">
        <f>IF(G109&lt;&gt;"",G109*0.0015,"")</f>
        <v/>
      </c>
      <c r="I109" s="12">
        <f>IF(AND(D109="BÁN",G109&lt;&gt;""),G109*0.001,0)</f>
        <v/>
      </c>
      <c r="J109" s="344" t="n"/>
      <c r="K109" s="12">
        <f>IF(D109="MUA",IFERROR((J109*F109+E109*F109)/(F109*2),E109),J109)</f>
        <v/>
      </c>
      <c r="L109" s="12">
        <f>IF(AND(D109="BÁN",E109&lt;&gt;"",F109&lt;&gt;"",J109&lt;&gt;""),ROUND((E109-J109)*F109-H109-I109,0),"")</f>
        <v/>
      </c>
      <c r="M109" s="12">
        <f>IF(AND(L109&lt;&gt;"",J109&gt;0),L109/(J109*F109),"")</f>
        <v/>
      </c>
      <c r="N109" s="345" t="n"/>
      <c r="O109" s="345" t="n"/>
      <c r="P109" s="345" t="n"/>
    </row>
    <row r="110" ht="21.75" customHeight="1" s="981">
      <c r="A110" s="342" t="n"/>
      <c r="B110" s="342" t="n"/>
      <c r="C110" s="12">
        <f>IFERROR(VLOOKUP(B110,'📈 Cổ Phiếu VN 🔍'!$A:$C,2,0),"")</f>
        <v/>
      </c>
      <c r="D110" s="342" t="n"/>
      <c r="E110" s="342" t="n"/>
      <c r="F110" s="342" t="n"/>
      <c r="G110" s="12">
        <f>IF(AND(E110&lt;&gt;"",F110&lt;&gt;""),E110*F110,"")</f>
        <v/>
      </c>
      <c r="H110" s="12">
        <f>IF(G110&lt;&gt;"",G110*0.0015,"")</f>
        <v/>
      </c>
      <c r="I110" s="12">
        <f>IF(AND(D110="BÁN",G110&lt;&gt;""),G110*0.001,0)</f>
        <v/>
      </c>
      <c r="J110" s="342" t="n"/>
      <c r="K110" s="12">
        <f>IF(D110="MUA",IFERROR((J110*F110+E110*F110)/(F110*2),E110),J110)</f>
        <v/>
      </c>
      <c r="L110" s="12">
        <f>IF(AND(D110="BÁN",E110&lt;&gt;"",F110&lt;&gt;"",J110&lt;&gt;""),ROUND((E110-J110)*F110-H110-I110,0),"")</f>
        <v/>
      </c>
      <c r="M110" s="12">
        <f>IF(AND(L110&lt;&gt;"",J110&gt;0),L110/(J110*F110),"")</f>
        <v/>
      </c>
      <c r="N110" s="343" t="n"/>
      <c r="O110" s="343" t="n"/>
      <c r="P110" s="343" t="n"/>
    </row>
    <row r="111" ht="21.75" customHeight="1" s="981">
      <c r="A111" s="344" t="n"/>
      <c r="B111" s="344" t="n"/>
      <c r="C111" s="12">
        <f>IFERROR(VLOOKUP(B111,'📈 Cổ Phiếu VN 🔍'!$A:$C,2,0),"")</f>
        <v/>
      </c>
      <c r="D111" s="344" t="n"/>
      <c r="E111" s="344" t="n"/>
      <c r="F111" s="344" t="n"/>
      <c r="G111" s="12">
        <f>IF(AND(E111&lt;&gt;"",F111&lt;&gt;""),E111*F111,"")</f>
        <v/>
      </c>
      <c r="H111" s="12">
        <f>IF(G111&lt;&gt;"",G111*0.0015,"")</f>
        <v/>
      </c>
      <c r="I111" s="12">
        <f>IF(AND(D111="BÁN",G111&lt;&gt;""),G111*0.001,0)</f>
        <v/>
      </c>
      <c r="J111" s="344" t="n"/>
      <c r="K111" s="12">
        <f>IF(D111="MUA",IFERROR((J111*F111+E111*F111)/(F111*2),E111),J111)</f>
        <v/>
      </c>
      <c r="L111" s="12">
        <f>IF(AND(D111="BÁN",E111&lt;&gt;"",F111&lt;&gt;"",J111&lt;&gt;""),ROUND((E111-J111)*F111-H111-I111,0),"")</f>
        <v/>
      </c>
      <c r="M111" s="12">
        <f>IF(AND(L111&lt;&gt;"",J111&gt;0),L111/(J111*F111),"")</f>
        <v/>
      </c>
      <c r="N111" s="345" t="n"/>
      <c r="O111" s="345" t="n"/>
      <c r="P111" s="345" t="n"/>
    </row>
    <row r="112" ht="21.75" customHeight="1" s="981">
      <c r="A112" s="342" t="n"/>
      <c r="B112" s="342" t="n"/>
      <c r="C112" s="12">
        <f>IFERROR(VLOOKUP(B112,'📈 Cổ Phiếu VN 🔍'!$A:$C,2,0),"")</f>
        <v/>
      </c>
      <c r="D112" s="342" t="n"/>
      <c r="E112" s="342" t="n"/>
      <c r="F112" s="342" t="n"/>
      <c r="G112" s="12">
        <f>IF(AND(E112&lt;&gt;"",F112&lt;&gt;""),E112*F112,"")</f>
        <v/>
      </c>
      <c r="H112" s="12">
        <f>IF(G112&lt;&gt;"",G112*0.0015,"")</f>
        <v/>
      </c>
      <c r="I112" s="12">
        <f>IF(AND(D112="BÁN",G112&lt;&gt;""),G112*0.001,0)</f>
        <v/>
      </c>
      <c r="J112" s="342" t="n"/>
      <c r="K112" s="12">
        <f>IF(D112="MUA",IFERROR((J112*F112+E112*F112)/(F112*2),E112),J112)</f>
        <v/>
      </c>
      <c r="L112" s="12">
        <f>IF(AND(D112="BÁN",E112&lt;&gt;"",F112&lt;&gt;"",J112&lt;&gt;""),ROUND((E112-J112)*F112-H112-I112,0),"")</f>
        <v/>
      </c>
      <c r="M112" s="12">
        <f>IF(AND(L112&lt;&gt;"",J112&gt;0),L112/(J112*F112),"")</f>
        <v/>
      </c>
      <c r="N112" s="343" t="n"/>
      <c r="O112" s="343" t="n"/>
      <c r="P112" s="343" t="n"/>
    </row>
    <row r="113" ht="21.75" customHeight="1" s="981">
      <c r="A113" s="344" t="n"/>
      <c r="B113" s="344" t="n"/>
      <c r="C113" s="12">
        <f>IFERROR(VLOOKUP(B113,'📈 Cổ Phiếu VN 🔍'!$A:$C,2,0),"")</f>
        <v/>
      </c>
      <c r="D113" s="344" t="n"/>
      <c r="E113" s="344" t="n"/>
      <c r="F113" s="344" t="n"/>
      <c r="G113" s="12">
        <f>IF(AND(E113&lt;&gt;"",F113&lt;&gt;""),E113*F113,"")</f>
        <v/>
      </c>
      <c r="H113" s="12">
        <f>IF(G113&lt;&gt;"",G113*0.0015,"")</f>
        <v/>
      </c>
      <c r="I113" s="12">
        <f>IF(AND(D113="BÁN",G113&lt;&gt;""),G113*0.001,0)</f>
        <v/>
      </c>
      <c r="J113" s="344" t="n"/>
      <c r="K113" s="12">
        <f>IF(D113="MUA",IFERROR((J113*F113+E113*F113)/(F113*2),E113),J113)</f>
        <v/>
      </c>
      <c r="L113" s="12">
        <f>IF(AND(D113="BÁN",E113&lt;&gt;"",F113&lt;&gt;"",J113&lt;&gt;""),ROUND((E113-J113)*F113-H113-I113,0),"")</f>
        <v/>
      </c>
      <c r="M113" s="12">
        <f>IF(AND(L113&lt;&gt;"",J113&gt;0),L113/(J113*F113),"")</f>
        <v/>
      </c>
      <c r="N113" s="345" t="n"/>
      <c r="O113" s="345" t="n"/>
      <c r="P113" s="345" t="n"/>
    </row>
    <row r="114" ht="21.75" customHeight="1" s="981">
      <c r="A114" s="342" t="n"/>
      <c r="B114" s="342" t="n"/>
      <c r="C114" s="12">
        <f>IFERROR(VLOOKUP(B114,'📈 Cổ Phiếu VN 🔍'!$A:$C,2,0),"")</f>
        <v/>
      </c>
      <c r="D114" s="342" t="n"/>
      <c r="E114" s="342" t="n"/>
      <c r="F114" s="342" t="n"/>
      <c r="G114" s="12">
        <f>IF(AND(E114&lt;&gt;"",F114&lt;&gt;""),E114*F114,"")</f>
        <v/>
      </c>
      <c r="H114" s="12">
        <f>IF(G114&lt;&gt;"",G114*0.0015,"")</f>
        <v/>
      </c>
      <c r="I114" s="12">
        <f>IF(AND(D114="BÁN",G114&lt;&gt;""),G114*0.001,0)</f>
        <v/>
      </c>
      <c r="J114" s="342" t="n"/>
      <c r="K114" s="12">
        <f>IF(D114="MUA",IFERROR((J114*F114+E114*F114)/(F114*2),E114),J114)</f>
        <v/>
      </c>
      <c r="L114" s="12">
        <f>IF(AND(D114="BÁN",E114&lt;&gt;"",F114&lt;&gt;"",J114&lt;&gt;""),ROUND((E114-J114)*F114-H114-I114,0),"")</f>
        <v/>
      </c>
      <c r="M114" s="12">
        <f>IF(AND(L114&lt;&gt;"",J114&gt;0),L114/(J114*F114),"")</f>
        <v/>
      </c>
      <c r="N114" s="343" t="n"/>
      <c r="O114" s="343" t="n"/>
      <c r="P114" s="343" t="n"/>
    </row>
    <row r="115" ht="21.75" customHeight="1" s="981">
      <c r="A115" s="344" t="n"/>
      <c r="B115" s="344" t="n"/>
      <c r="C115" s="12">
        <f>IFERROR(VLOOKUP(B115,'📈 Cổ Phiếu VN 🔍'!$A:$C,2,0),"")</f>
        <v/>
      </c>
      <c r="D115" s="344" t="n"/>
      <c r="E115" s="344" t="n"/>
      <c r="F115" s="344" t="n"/>
      <c r="G115" s="12">
        <f>IF(AND(E115&lt;&gt;"",F115&lt;&gt;""),E115*F115,"")</f>
        <v/>
      </c>
      <c r="H115" s="12">
        <f>IF(G115&lt;&gt;"",G115*0.0015,"")</f>
        <v/>
      </c>
      <c r="I115" s="12">
        <f>IF(AND(D115="BÁN",G115&lt;&gt;""),G115*0.001,0)</f>
        <v/>
      </c>
      <c r="J115" s="344" t="n"/>
      <c r="K115" s="12">
        <f>IF(D115="MUA",IFERROR((J115*F115+E115*F115)/(F115*2),E115),J115)</f>
        <v/>
      </c>
      <c r="L115" s="12">
        <f>IF(AND(D115="BÁN",E115&lt;&gt;"",F115&lt;&gt;"",J115&lt;&gt;""),ROUND((E115-J115)*F115-H115-I115,0),"")</f>
        <v/>
      </c>
      <c r="M115" s="12">
        <f>IF(AND(L115&lt;&gt;"",J115&gt;0),L115/(J115*F115),"")</f>
        <v/>
      </c>
      <c r="N115" s="345" t="n"/>
      <c r="O115" s="345" t="n"/>
      <c r="P115" s="345" t="n"/>
    </row>
    <row r="116" ht="21.75" customHeight="1" s="981">
      <c r="A116" s="342" t="n"/>
      <c r="B116" s="342" t="n"/>
      <c r="C116" s="12">
        <f>IFERROR(VLOOKUP(B116,'📈 Cổ Phiếu VN 🔍'!$A:$C,2,0),"")</f>
        <v/>
      </c>
      <c r="D116" s="342" t="n"/>
      <c r="E116" s="342" t="n"/>
      <c r="F116" s="342" t="n"/>
      <c r="G116" s="12">
        <f>IF(AND(E116&lt;&gt;"",F116&lt;&gt;""),E116*F116,"")</f>
        <v/>
      </c>
      <c r="H116" s="12">
        <f>IF(G116&lt;&gt;"",G116*0.0015,"")</f>
        <v/>
      </c>
      <c r="I116" s="12">
        <f>IF(AND(D116="BÁN",G116&lt;&gt;""),G116*0.001,0)</f>
        <v/>
      </c>
      <c r="J116" s="342" t="n"/>
      <c r="K116" s="12">
        <f>IF(D116="MUA",IFERROR((J116*F116+E116*F116)/(F116*2),E116),J116)</f>
        <v/>
      </c>
      <c r="L116" s="12">
        <f>IF(AND(D116="BÁN",E116&lt;&gt;"",F116&lt;&gt;"",J116&lt;&gt;""),ROUND((E116-J116)*F116-H116-I116,0),"")</f>
        <v/>
      </c>
      <c r="M116" s="12">
        <f>IF(AND(L116&lt;&gt;"",J116&gt;0),L116/(J116*F116),"")</f>
        <v/>
      </c>
      <c r="N116" s="343" t="n"/>
      <c r="O116" s="343" t="n"/>
      <c r="P116" s="343" t="n"/>
    </row>
    <row r="117" ht="21.75" customHeight="1" s="981">
      <c r="A117" s="344" t="n"/>
      <c r="B117" s="344" t="n"/>
      <c r="C117" s="12">
        <f>IFERROR(VLOOKUP(B117,'📈 Cổ Phiếu VN 🔍'!$A:$C,2,0),"")</f>
        <v/>
      </c>
      <c r="D117" s="344" t="n"/>
      <c r="E117" s="344" t="n"/>
      <c r="F117" s="344" t="n"/>
      <c r="G117" s="12">
        <f>IF(AND(E117&lt;&gt;"",F117&lt;&gt;""),E117*F117,"")</f>
        <v/>
      </c>
      <c r="H117" s="12">
        <f>IF(G117&lt;&gt;"",G117*0.0015,"")</f>
        <v/>
      </c>
      <c r="I117" s="12">
        <f>IF(AND(D117="BÁN",G117&lt;&gt;""),G117*0.001,0)</f>
        <v/>
      </c>
      <c r="J117" s="344" t="n"/>
      <c r="K117" s="12">
        <f>IF(D117="MUA",IFERROR((J117*F117+E117*F117)/(F117*2),E117),J117)</f>
        <v/>
      </c>
      <c r="L117" s="12">
        <f>IF(AND(D117="BÁN",E117&lt;&gt;"",F117&lt;&gt;"",J117&lt;&gt;""),ROUND((E117-J117)*F117-H117-I117,0),"")</f>
        <v/>
      </c>
      <c r="M117" s="12">
        <f>IF(AND(L117&lt;&gt;"",J117&gt;0),L117/(J117*F117),"")</f>
        <v/>
      </c>
      <c r="N117" s="345" t="n"/>
      <c r="O117" s="345" t="n"/>
      <c r="P117" s="345" t="n"/>
    </row>
    <row r="118" ht="21.75" customHeight="1" s="981">
      <c r="A118" s="342" t="n"/>
      <c r="B118" s="342" t="n"/>
      <c r="C118" s="12">
        <f>IFERROR(VLOOKUP(B118,'📈 Cổ Phiếu VN 🔍'!$A:$C,2,0),"")</f>
        <v/>
      </c>
      <c r="D118" s="342" t="n"/>
      <c r="E118" s="342" t="n"/>
      <c r="F118" s="342" t="n"/>
      <c r="G118" s="12">
        <f>IF(AND(E118&lt;&gt;"",F118&lt;&gt;""),E118*F118,"")</f>
        <v/>
      </c>
      <c r="H118" s="12">
        <f>IF(G118&lt;&gt;"",G118*0.0015,"")</f>
        <v/>
      </c>
      <c r="I118" s="12">
        <f>IF(AND(D118="BÁN",G118&lt;&gt;""),G118*0.001,0)</f>
        <v/>
      </c>
      <c r="J118" s="342" t="n"/>
      <c r="K118" s="12">
        <f>IF(D118="MUA",IFERROR((J118*F118+E118*F118)/(F118*2),E118),J118)</f>
        <v/>
      </c>
      <c r="L118" s="12">
        <f>IF(AND(D118="BÁN",E118&lt;&gt;"",F118&lt;&gt;"",J118&lt;&gt;""),ROUND((E118-J118)*F118-H118-I118,0),"")</f>
        <v/>
      </c>
      <c r="M118" s="12">
        <f>IF(AND(L118&lt;&gt;"",J118&gt;0),L118/(J118*F118),"")</f>
        <v/>
      </c>
      <c r="N118" s="343" t="n"/>
      <c r="O118" s="343" t="n"/>
      <c r="P118" s="343" t="n"/>
    </row>
    <row r="119" ht="21.75" customHeight="1" s="981">
      <c r="A119" s="344" t="n"/>
      <c r="B119" s="344" t="n"/>
      <c r="C119" s="12">
        <f>IFERROR(VLOOKUP(B119,'📈 Cổ Phiếu VN 🔍'!$A:$C,2,0),"")</f>
        <v/>
      </c>
      <c r="D119" s="344" t="n"/>
      <c r="E119" s="344" t="n"/>
      <c r="F119" s="344" t="n"/>
      <c r="G119" s="12">
        <f>IF(AND(E119&lt;&gt;"",F119&lt;&gt;""),E119*F119,"")</f>
        <v/>
      </c>
      <c r="H119" s="12">
        <f>IF(G119&lt;&gt;"",G119*0.0015,"")</f>
        <v/>
      </c>
      <c r="I119" s="12">
        <f>IF(AND(D119="BÁN",G119&lt;&gt;""),G119*0.001,0)</f>
        <v/>
      </c>
      <c r="J119" s="344" t="n"/>
      <c r="K119" s="12">
        <f>IF(D119="MUA",IFERROR((J119*F119+E119*F119)/(F119*2),E119),J119)</f>
        <v/>
      </c>
      <c r="L119" s="12">
        <f>IF(AND(D119="BÁN",E119&lt;&gt;"",F119&lt;&gt;"",J119&lt;&gt;""),ROUND((E119-J119)*F119-H119-I119,0),"")</f>
        <v/>
      </c>
      <c r="M119" s="12">
        <f>IF(AND(L119&lt;&gt;"",J119&gt;0),L119/(J119*F119),"")</f>
        <v/>
      </c>
      <c r="N119" s="345" t="n"/>
      <c r="O119" s="345" t="n"/>
      <c r="P119" s="345" t="n"/>
    </row>
    <row r="120" ht="21.75" customHeight="1" s="981">
      <c r="A120" s="342" t="n"/>
      <c r="B120" s="342" t="n"/>
      <c r="C120" s="12">
        <f>IFERROR(VLOOKUP(B120,'📈 Cổ Phiếu VN 🔍'!$A:$C,2,0),"")</f>
        <v/>
      </c>
      <c r="D120" s="342" t="n"/>
      <c r="E120" s="342" t="n"/>
      <c r="F120" s="342" t="n"/>
      <c r="G120" s="12">
        <f>IF(AND(E120&lt;&gt;"",F120&lt;&gt;""),E120*F120,"")</f>
        <v/>
      </c>
      <c r="H120" s="12">
        <f>IF(G120&lt;&gt;"",G120*0.0015,"")</f>
        <v/>
      </c>
      <c r="I120" s="12">
        <f>IF(AND(D120="BÁN",G120&lt;&gt;""),G120*0.001,0)</f>
        <v/>
      </c>
      <c r="J120" s="342" t="n"/>
      <c r="K120" s="12">
        <f>IF(D120="MUA",IFERROR((J120*F120+E120*F120)/(F120*2),E120),J120)</f>
        <v/>
      </c>
      <c r="L120" s="12">
        <f>IF(AND(D120="BÁN",E120&lt;&gt;"",F120&lt;&gt;"",J120&lt;&gt;""),ROUND((E120-J120)*F120-H120-I120,0),"")</f>
        <v/>
      </c>
      <c r="M120" s="12">
        <f>IF(AND(L120&lt;&gt;"",J120&gt;0),L120/(J120*F120),"")</f>
        <v/>
      </c>
      <c r="N120" s="343" t="n"/>
      <c r="O120" s="343" t="n"/>
      <c r="P120" s="343" t="n"/>
    </row>
    <row r="121" ht="21.75" customHeight="1" s="981">
      <c r="A121" s="344" t="n"/>
      <c r="B121" s="344" t="n"/>
      <c r="C121" s="12">
        <f>IFERROR(VLOOKUP(B121,'📈 Cổ Phiếu VN 🔍'!$A:$C,2,0),"")</f>
        <v/>
      </c>
      <c r="D121" s="344" t="n"/>
      <c r="E121" s="344" t="n"/>
      <c r="F121" s="344" t="n"/>
      <c r="G121" s="12">
        <f>IF(AND(E121&lt;&gt;"",F121&lt;&gt;""),E121*F121,"")</f>
        <v/>
      </c>
      <c r="H121" s="12">
        <f>IF(G121&lt;&gt;"",G121*0.0015,"")</f>
        <v/>
      </c>
      <c r="I121" s="12">
        <f>IF(AND(D121="BÁN",G121&lt;&gt;""),G121*0.001,0)</f>
        <v/>
      </c>
      <c r="J121" s="344" t="n"/>
      <c r="K121" s="12">
        <f>IF(D121="MUA",IFERROR((J121*F121+E121*F121)/(F121*2),E121),J121)</f>
        <v/>
      </c>
      <c r="L121" s="12">
        <f>IF(AND(D121="BÁN",E121&lt;&gt;"",F121&lt;&gt;"",J121&lt;&gt;""),ROUND((E121-J121)*F121-H121-I121,0),"")</f>
        <v/>
      </c>
      <c r="M121" s="12">
        <f>IF(AND(L121&lt;&gt;"",J121&gt;0),L121/(J121*F121),"")</f>
        <v/>
      </c>
      <c r="N121" s="345" t="n"/>
      <c r="O121" s="345" t="n"/>
      <c r="P121" s="345" t="n"/>
    </row>
    <row r="122" ht="21.75" customHeight="1" s="981">
      <c r="A122" s="342" t="n"/>
      <c r="B122" s="342" t="n"/>
      <c r="C122" s="12">
        <f>IFERROR(VLOOKUP(B122,'📈 Cổ Phiếu VN 🔍'!$A:$C,2,0),"")</f>
        <v/>
      </c>
      <c r="D122" s="342" t="n"/>
      <c r="E122" s="342" t="n"/>
      <c r="F122" s="342" t="n"/>
      <c r="G122" s="12">
        <f>IF(AND(E122&lt;&gt;"",F122&lt;&gt;""),E122*F122,"")</f>
        <v/>
      </c>
      <c r="H122" s="12">
        <f>IF(G122&lt;&gt;"",G122*0.0015,"")</f>
        <v/>
      </c>
      <c r="I122" s="12">
        <f>IF(AND(D122="BÁN",G122&lt;&gt;""),G122*0.001,0)</f>
        <v/>
      </c>
      <c r="J122" s="342" t="n"/>
      <c r="K122" s="12">
        <f>IF(D122="MUA",IFERROR((J122*F122+E122*F122)/(F122*2),E122),J122)</f>
        <v/>
      </c>
      <c r="L122" s="12">
        <f>IF(AND(D122="BÁN",E122&lt;&gt;"",F122&lt;&gt;"",J122&lt;&gt;""),ROUND((E122-J122)*F122-H122-I122,0),"")</f>
        <v/>
      </c>
      <c r="M122" s="12">
        <f>IF(AND(L122&lt;&gt;"",J122&gt;0),L122/(J122*F122),"")</f>
        <v/>
      </c>
      <c r="N122" s="343" t="n"/>
      <c r="O122" s="343" t="n"/>
      <c r="P122" s="343" t="n"/>
    </row>
    <row r="123" ht="21.75" customHeight="1" s="981">
      <c r="A123" s="344" t="n"/>
      <c r="B123" s="344" t="n"/>
      <c r="C123" s="12">
        <f>IFERROR(VLOOKUP(B123,'📈 Cổ Phiếu VN 🔍'!$A:$C,2,0),"")</f>
        <v/>
      </c>
      <c r="D123" s="344" t="n"/>
      <c r="E123" s="344" t="n"/>
      <c r="F123" s="344" t="n"/>
      <c r="G123" s="12">
        <f>IF(AND(E123&lt;&gt;"",F123&lt;&gt;""),E123*F123,"")</f>
        <v/>
      </c>
      <c r="H123" s="12">
        <f>IF(G123&lt;&gt;"",G123*0.0015,"")</f>
        <v/>
      </c>
      <c r="I123" s="12">
        <f>IF(AND(D123="BÁN",G123&lt;&gt;""),G123*0.001,0)</f>
        <v/>
      </c>
      <c r="J123" s="344" t="n"/>
      <c r="K123" s="12">
        <f>IF(D123="MUA",IFERROR((J123*F123+E123*F123)/(F123*2),E123),J123)</f>
        <v/>
      </c>
      <c r="L123" s="12">
        <f>IF(AND(D123="BÁN",E123&lt;&gt;"",F123&lt;&gt;"",J123&lt;&gt;""),ROUND((E123-J123)*F123-H123-I123,0),"")</f>
        <v/>
      </c>
      <c r="M123" s="12">
        <f>IF(AND(L123&lt;&gt;"",J123&gt;0),L123/(J123*F123),"")</f>
        <v/>
      </c>
      <c r="N123" s="345" t="n"/>
      <c r="O123" s="345" t="n"/>
      <c r="P123" s="345" t="n"/>
    </row>
    <row r="124" ht="21.75" customHeight="1" s="981">
      <c r="A124" s="342" t="n"/>
      <c r="B124" s="342" t="n"/>
      <c r="C124" s="12">
        <f>IFERROR(VLOOKUP(B124,'📈 Cổ Phiếu VN 🔍'!$A:$C,2,0),"")</f>
        <v/>
      </c>
      <c r="D124" s="342" t="n"/>
      <c r="E124" s="342" t="n"/>
      <c r="F124" s="342" t="n"/>
      <c r="G124" s="12">
        <f>IF(AND(E124&lt;&gt;"",F124&lt;&gt;""),E124*F124,"")</f>
        <v/>
      </c>
      <c r="H124" s="12">
        <f>IF(G124&lt;&gt;"",G124*0.0015,"")</f>
        <v/>
      </c>
      <c r="I124" s="12">
        <f>IF(AND(D124="BÁN",G124&lt;&gt;""),G124*0.001,0)</f>
        <v/>
      </c>
      <c r="J124" s="342" t="n"/>
      <c r="K124" s="12">
        <f>IF(D124="MUA",IFERROR((J124*F124+E124*F124)/(F124*2),E124),J124)</f>
        <v/>
      </c>
      <c r="L124" s="12">
        <f>IF(AND(D124="BÁN",E124&lt;&gt;"",F124&lt;&gt;"",J124&lt;&gt;""),ROUND((E124-J124)*F124-H124-I124,0),"")</f>
        <v/>
      </c>
      <c r="M124" s="12">
        <f>IF(AND(L124&lt;&gt;"",J124&gt;0),L124/(J124*F124),"")</f>
        <v/>
      </c>
      <c r="N124" s="343" t="n"/>
      <c r="O124" s="343" t="n"/>
      <c r="P124" s="343" t="n"/>
    </row>
    <row r="125" ht="21.75" customHeight="1" s="981">
      <c r="A125" s="344" t="n"/>
      <c r="B125" s="344" t="n"/>
      <c r="C125" s="12">
        <f>IFERROR(VLOOKUP(B125,'📈 Cổ Phiếu VN 🔍'!$A:$C,2,0),"")</f>
        <v/>
      </c>
      <c r="D125" s="344" t="n"/>
      <c r="E125" s="344" t="n"/>
      <c r="F125" s="344" t="n"/>
      <c r="G125" s="12">
        <f>IF(AND(E125&lt;&gt;"",F125&lt;&gt;""),E125*F125,"")</f>
        <v/>
      </c>
      <c r="H125" s="12">
        <f>IF(G125&lt;&gt;"",G125*0.0015,"")</f>
        <v/>
      </c>
      <c r="I125" s="12">
        <f>IF(AND(D125="BÁN",G125&lt;&gt;""),G125*0.001,0)</f>
        <v/>
      </c>
      <c r="J125" s="344" t="n"/>
      <c r="K125" s="12">
        <f>IF(D125="MUA",IFERROR((J125*F125+E125*F125)/(F125*2),E125),J125)</f>
        <v/>
      </c>
      <c r="L125" s="12">
        <f>IF(AND(D125="BÁN",E125&lt;&gt;"",F125&lt;&gt;"",J125&lt;&gt;""),ROUND((E125-J125)*F125-H125-I125,0),"")</f>
        <v/>
      </c>
      <c r="M125" s="12">
        <f>IF(AND(L125&lt;&gt;"",J125&gt;0),L125/(J125*F125),"")</f>
        <v/>
      </c>
      <c r="N125" s="345" t="n"/>
      <c r="O125" s="345" t="n"/>
      <c r="P125" s="345" t="n"/>
    </row>
    <row r="126" ht="21.75" customHeight="1" s="981">
      <c r="A126" s="342" t="n"/>
      <c r="B126" s="342" t="n"/>
      <c r="C126" s="12">
        <f>IFERROR(VLOOKUP(B126,'📈 Cổ Phiếu VN 🔍'!$A:$C,2,0),"")</f>
        <v/>
      </c>
      <c r="D126" s="342" t="n"/>
      <c r="E126" s="342" t="n"/>
      <c r="F126" s="342" t="n"/>
      <c r="G126" s="12">
        <f>IF(AND(E126&lt;&gt;"",F126&lt;&gt;""),E126*F126,"")</f>
        <v/>
      </c>
      <c r="H126" s="12">
        <f>IF(G126&lt;&gt;"",G126*0.0015,"")</f>
        <v/>
      </c>
      <c r="I126" s="12">
        <f>IF(AND(D126="BÁN",G126&lt;&gt;""),G126*0.001,0)</f>
        <v/>
      </c>
      <c r="J126" s="342" t="n"/>
      <c r="K126" s="12">
        <f>IF(D126="MUA",IFERROR((J126*F126+E126*F126)/(F126*2),E126),J126)</f>
        <v/>
      </c>
      <c r="L126" s="12">
        <f>IF(AND(D126="BÁN",E126&lt;&gt;"",F126&lt;&gt;"",J126&lt;&gt;""),ROUND((E126-J126)*F126-H126-I126,0),"")</f>
        <v/>
      </c>
      <c r="M126" s="12">
        <f>IF(AND(L126&lt;&gt;"",J126&gt;0),L126/(J126*F126),"")</f>
        <v/>
      </c>
      <c r="N126" s="343" t="n"/>
      <c r="O126" s="343" t="n"/>
      <c r="P126" s="343" t="n"/>
    </row>
    <row r="127" ht="21.75" customHeight="1" s="981">
      <c r="A127" s="344" t="n"/>
      <c r="B127" s="344" t="n"/>
      <c r="C127" s="12">
        <f>IFERROR(VLOOKUP(B127,'📈 Cổ Phiếu VN 🔍'!$A:$C,2,0),"")</f>
        <v/>
      </c>
      <c r="D127" s="344" t="n"/>
      <c r="E127" s="344" t="n"/>
      <c r="F127" s="344" t="n"/>
      <c r="G127" s="12">
        <f>IF(AND(E127&lt;&gt;"",F127&lt;&gt;""),E127*F127,"")</f>
        <v/>
      </c>
      <c r="H127" s="12">
        <f>IF(G127&lt;&gt;"",G127*0.0015,"")</f>
        <v/>
      </c>
      <c r="I127" s="12">
        <f>IF(AND(D127="BÁN",G127&lt;&gt;""),G127*0.001,0)</f>
        <v/>
      </c>
      <c r="J127" s="344" t="n"/>
      <c r="K127" s="12">
        <f>IF(D127="MUA",IFERROR((J127*F127+E127*F127)/(F127*2),E127),J127)</f>
        <v/>
      </c>
      <c r="L127" s="12">
        <f>IF(AND(D127="BÁN",E127&lt;&gt;"",F127&lt;&gt;"",J127&lt;&gt;""),ROUND((E127-J127)*F127-H127-I127,0),"")</f>
        <v/>
      </c>
      <c r="M127" s="12">
        <f>IF(AND(L127&lt;&gt;"",J127&gt;0),L127/(J127*F127),"")</f>
        <v/>
      </c>
      <c r="N127" s="345" t="n"/>
      <c r="O127" s="345" t="n"/>
      <c r="P127" s="345" t="n"/>
    </row>
    <row r="128" ht="21.75" customHeight="1" s="981">
      <c r="A128" s="342" t="n"/>
      <c r="B128" s="342" t="n"/>
      <c r="C128" s="12">
        <f>IFERROR(VLOOKUP(B128,'📈 Cổ Phiếu VN 🔍'!$A:$C,2,0),"")</f>
        <v/>
      </c>
      <c r="D128" s="342" t="n"/>
      <c r="E128" s="342" t="n"/>
      <c r="F128" s="342" t="n"/>
      <c r="G128" s="12">
        <f>IF(AND(E128&lt;&gt;"",F128&lt;&gt;""),E128*F128,"")</f>
        <v/>
      </c>
      <c r="H128" s="12">
        <f>IF(G128&lt;&gt;"",G128*0.0015,"")</f>
        <v/>
      </c>
      <c r="I128" s="12">
        <f>IF(AND(D128="BÁN",G128&lt;&gt;""),G128*0.001,0)</f>
        <v/>
      </c>
      <c r="J128" s="342" t="n"/>
      <c r="K128" s="12">
        <f>IF(D128="MUA",IFERROR((J128*F128+E128*F128)/(F128*2),E128),J128)</f>
        <v/>
      </c>
      <c r="L128" s="12">
        <f>IF(AND(D128="BÁN",E128&lt;&gt;"",F128&lt;&gt;"",J128&lt;&gt;""),ROUND((E128-J128)*F128-H128-I128,0),"")</f>
        <v/>
      </c>
      <c r="M128" s="12">
        <f>IF(AND(L128&lt;&gt;"",J128&gt;0),L128/(J128*F128),"")</f>
        <v/>
      </c>
      <c r="N128" s="343" t="n"/>
      <c r="O128" s="343" t="n"/>
      <c r="P128" s="343" t="n"/>
    </row>
    <row r="129" ht="21.75" customHeight="1" s="981">
      <c r="A129" s="344" t="n"/>
      <c r="B129" s="344" t="n"/>
      <c r="C129" s="12">
        <f>IFERROR(VLOOKUP(B129,'📈 Cổ Phiếu VN 🔍'!$A:$C,2,0),"")</f>
        <v/>
      </c>
      <c r="D129" s="344" t="n"/>
      <c r="E129" s="344" t="n"/>
      <c r="F129" s="344" t="n"/>
      <c r="G129" s="12">
        <f>IF(AND(E129&lt;&gt;"",F129&lt;&gt;""),E129*F129,"")</f>
        <v/>
      </c>
      <c r="H129" s="12">
        <f>IF(G129&lt;&gt;"",G129*0.0015,"")</f>
        <v/>
      </c>
      <c r="I129" s="12">
        <f>IF(AND(D129="BÁN",G129&lt;&gt;""),G129*0.001,0)</f>
        <v/>
      </c>
      <c r="J129" s="344" t="n"/>
      <c r="K129" s="12">
        <f>IF(D129="MUA",IFERROR((J129*F129+E129*F129)/(F129*2),E129),J129)</f>
        <v/>
      </c>
      <c r="L129" s="12">
        <f>IF(AND(D129="BÁN",E129&lt;&gt;"",F129&lt;&gt;"",J129&lt;&gt;""),ROUND((E129-J129)*F129-H129-I129,0),"")</f>
        <v/>
      </c>
      <c r="M129" s="12">
        <f>IF(AND(L129&lt;&gt;"",J129&gt;0),L129/(J129*F129),"")</f>
        <v/>
      </c>
      <c r="N129" s="345" t="n"/>
      <c r="O129" s="345" t="n"/>
      <c r="P129" s="345" t="n"/>
    </row>
    <row r="130" ht="21.75" customHeight="1" s="981">
      <c r="A130" s="342" t="n"/>
      <c r="B130" s="342" t="n"/>
      <c r="C130" s="12">
        <f>IFERROR(VLOOKUP(B130,'📈 Cổ Phiếu VN 🔍'!$A:$C,2,0),"")</f>
        <v/>
      </c>
      <c r="D130" s="342" t="n"/>
      <c r="E130" s="342" t="n"/>
      <c r="F130" s="342" t="n"/>
      <c r="G130" s="12">
        <f>IF(AND(E130&lt;&gt;"",F130&lt;&gt;""),E130*F130,"")</f>
        <v/>
      </c>
      <c r="H130" s="12">
        <f>IF(G130&lt;&gt;"",G130*0.0015,"")</f>
        <v/>
      </c>
      <c r="I130" s="12">
        <f>IF(AND(D130="BÁN",G130&lt;&gt;""),G130*0.001,0)</f>
        <v/>
      </c>
      <c r="J130" s="342" t="n"/>
      <c r="K130" s="12">
        <f>IF(D130="MUA",IFERROR((J130*F130+E130*F130)/(F130*2),E130),J130)</f>
        <v/>
      </c>
      <c r="L130" s="12">
        <f>IF(AND(D130="BÁN",E130&lt;&gt;"",F130&lt;&gt;"",J130&lt;&gt;""),ROUND((E130-J130)*F130-H130-I130,0),"")</f>
        <v/>
      </c>
      <c r="M130" s="12">
        <f>IF(AND(L130&lt;&gt;"",J130&gt;0),L130/(J130*F130),"")</f>
        <v/>
      </c>
      <c r="N130" s="343" t="n"/>
      <c r="O130" s="343" t="n"/>
      <c r="P130" s="343" t="n"/>
    </row>
    <row r="131" ht="21.75" customHeight="1" s="981">
      <c r="A131" s="344" t="n"/>
      <c r="B131" s="344" t="n"/>
      <c r="C131" s="12">
        <f>IFERROR(VLOOKUP(B131,'📈 Cổ Phiếu VN 🔍'!$A:$C,2,0),"")</f>
        <v/>
      </c>
      <c r="D131" s="344" t="n"/>
      <c r="E131" s="344" t="n"/>
      <c r="F131" s="344" t="n"/>
      <c r="G131" s="12">
        <f>IF(AND(E131&lt;&gt;"",F131&lt;&gt;""),E131*F131,"")</f>
        <v/>
      </c>
      <c r="H131" s="12">
        <f>IF(G131&lt;&gt;"",G131*0.0015,"")</f>
        <v/>
      </c>
      <c r="I131" s="12">
        <f>IF(AND(D131="BÁN",G131&lt;&gt;""),G131*0.001,0)</f>
        <v/>
      </c>
      <c r="J131" s="344" t="n"/>
      <c r="K131" s="12">
        <f>IF(D131="MUA",IFERROR((J131*F131+E131*F131)/(F131*2),E131),J131)</f>
        <v/>
      </c>
      <c r="L131" s="12">
        <f>IF(AND(D131="BÁN",E131&lt;&gt;"",F131&lt;&gt;"",J131&lt;&gt;""),ROUND((E131-J131)*F131-H131-I131,0),"")</f>
        <v/>
      </c>
      <c r="M131" s="12">
        <f>IF(AND(L131&lt;&gt;"",J131&gt;0),L131/(J131*F131),"")</f>
        <v/>
      </c>
      <c r="N131" s="345" t="n"/>
      <c r="O131" s="345" t="n"/>
      <c r="P131" s="345" t="n"/>
    </row>
    <row r="132" ht="21.75" customHeight="1" s="981">
      <c r="A132" s="342" t="n"/>
      <c r="B132" s="342" t="n"/>
      <c r="C132" s="12">
        <f>IFERROR(VLOOKUP(B132,'📈 Cổ Phiếu VN 🔍'!$A:$C,2,0),"")</f>
        <v/>
      </c>
      <c r="D132" s="342" t="n"/>
      <c r="E132" s="342" t="n"/>
      <c r="F132" s="342" t="n"/>
      <c r="G132" s="12">
        <f>IF(AND(E132&lt;&gt;"",F132&lt;&gt;""),E132*F132,"")</f>
        <v/>
      </c>
      <c r="H132" s="12">
        <f>IF(G132&lt;&gt;"",G132*0.0015,"")</f>
        <v/>
      </c>
      <c r="I132" s="12">
        <f>IF(AND(D132="BÁN",G132&lt;&gt;""),G132*0.001,0)</f>
        <v/>
      </c>
      <c r="J132" s="342" t="n"/>
      <c r="K132" s="12">
        <f>IF(D132="MUA",IFERROR((J132*F132+E132*F132)/(F132*2),E132),J132)</f>
        <v/>
      </c>
      <c r="L132" s="12">
        <f>IF(AND(D132="BÁN",E132&lt;&gt;"",F132&lt;&gt;"",J132&lt;&gt;""),ROUND((E132-J132)*F132-H132-I132,0),"")</f>
        <v/>
      </c>
      <c r="M132" s="12">
        <f>IF(AND(L132&lt;&gt;"",J132&gt;0),L132/(J132*F132),"")</f>
        <v/>
      </c>
      <c r="N132" s="343" t="n"/>
      <c r="O132" s="343" t="n"/>
      <c r="P132" s="343" t="n"/>
    </row>
    <row r="133" ht="21.75" customHeight="1" s="981">
      <c r="A133" s="344" t="n"/>
      <c r="B133" s="344" t="n"/>
      <c r="C133" s="12">
        <f>IFERROR(VLOOKUP(B133,'📈 Cổ Phiếu VN 🔍'!$A:$C,2,0),"")</f>
        <v/>
      </c>
      <c r="D133" s="344" t="n"/>
      <c r="E133" s="344" t="n"/>
      <c r="F133" s="344" t="n"/>
      <c r="G133" s="12">
        <f>IF(AND(E133&lt;&gt;"",F133&lt;&gt;""),E133*F133,"")</f>
        <v/>
      </c>
      <c r="H133" s="12">
        <f>IF(G133&lt;&gt;"",G133*0.0015,"")</f>
        <v/>
      </c>
      <c r="I133" s="12">
        <f>IF(AND(D133="BÁN",G133&lt;&gt;""),G133*0.001,0)</f>
        <v/>
      </c>
      <c r="J133" s="344" t="n"/>
      <c r="K133" s="12">
        <f>IF(D133="MUA",IFERROR((J133*F133+E133*F133)/(F133*2),E133),J133)</f>
        <v/>
      </c>
      <c r="L133" s="12">
        <f>IF(AND(D133="BÁN",E133&lt;&gt;"",F133&lt;&gt;"",J133&lt;&gt;""),ROUND((E133-J133)*F133-H133-I133,0),"")</f>
        <v/>
      </c>
      <c r="M133" s="12">
        <f>IF(AND(L133&lt;&gt;"",J133&gt;0),L133/(J133*F133),"")</f>
        <v/>
      </c>
      <c r="N133" s="345" t="n"/>
      <c r="O133" s="345" t="n"/>
      <c r="P133" s="345" t="n"/>
    </row>
    <row r="134" ht="21.75" customHeight="1" s="981">
      <c r="A134" s="342" t="n"/>
      <c r="B134" s="342" t="n"/>
      <c r="C134" s="12">
        <f>IFERROR(VLOOKUP(B134,'📈 Cổ Phiếu VN 🔍'!$A:$C,2,0),"")</f>
        <v/>
      </c>
      <c r="D134" s="342" t="n"/>
      <c r="E134" s="342" t="n"/>
      <c r="F134" s="342" t="n"/>
      <c r="G134" s="12">
        <f>IF(AND(E134&lt;&gt;"",F134&lt;&gt;""),E134*F134,"")</f>
        <v/>
      </c>
      <c r="H134" s="12">
        <f>IF(G134&lt;&gt;"",G134*0.0015,"")</f>
        <v/>
      </c>
      <c r="I134" s="12">
        <f>IF(AND(D134="BÁN",G134&lt;&gt;""),G134*0.001,0)</f>
        <v/>
      </c>
      <c r="J134" s="342" t="n"/>
      <c r="K134" s="12">
        <f>IF(D134="MUA",IFERROR((J134*F134+E134*F134)/(F134*2),E134),J134)</f>
        <v/>
      </c>
      <c r="L134" s="12">
        <f>IF(AND(D134="BÁN",E134&lt;&gt;"",F134&lt;&gt;"",J134&lt;&gt;""),ROUND((E134-J134)*F134-H134-I134,0),"")</f>
        <v/>
      </c>
      <c r="M134" s="12">
        <f>IF(AND(L134&lt;&gt;"",J134&gt;0),L134/(J134*F134),"")</f>
        <v/>
      </c>
      <c r="N134" s="343" t="n"/>
      <c r="O134" s="343" t="n"/>
      <c r="P134" s="343" t="n"/>
    </row>
    <row r="135" ht="21.75" customHeight="1" s="981">
      <c r="A135" s="344" t="n"/>
      <c r="B135" s="344" t="n"/>
      <c r="C135" s="12">
        <f>IFERROR(VLOOKUP(B135,'📈 Cổ Phiếu VN 🔍'!$A:$C,2,0),"")</f>
        <v/>
      </c>
      <c r="D135" s="344" t="n"/>
      <c r="E135" s="344" t="n"/>
      <c r="F135" s="344" t="n"/>
      <c r="G135" s="12">
        <f>IF(AND(E135&lt;&gt;"",F135&lt;&gt;""),E135*F135,"")</f>
        <v/>
      </c>
      <c r="H135" s="12">
        <f>IF(G135&lt;&gt;"",G135*0.0015,"")</f>
        <v/>
      </c>
      <c r="I135" s="12">
        <f>IF(AND(D135="BÁN",G135&lt;&gt;""),G135*0.001,0)</f>
        <v/>
      </c>
      <c r="J135" s="344" t="n"/>
      <c r="K135" s="12">
        <f>IF(D135="MUA",IFERROR((J135*F135+E135*F135)/(F135*2),E135),J135)</f>
        <v/>
      </c>
      <c r="L135" s="12">
        <f>IF(AND(D135="BÁN",E135&lt;&gt;"",F135&lt;&gt;"",J135&lt;&gt;""),ROUND((E135-J135)*F135-H135-I135,0),"")</f>
        <v/>
      </c>
      <c r="M135" s="12">
        <f>IF(AND(L135&lt;&gt;"",J135&gt;0),L135/(J135*F135),"")</f>
        <v/>
      </c>
      <c r="N135" s="345" t="n"/>
      <c r="O135" s="345" t="n"/>
      <c r="P135" s="345" t="n"/>
    </row>
    <row r="136" ht="21.75" customHeight="1" s="981">
      <c r="A136" s="342" t="n"/>
      <c r="B136" s="342" t="n"/>
      <c r="C136" s="12">
        <f>IFERROR(VLOOKUP(B136,'📈 Cổ Phiếu VN 🔍'!$A:$C,2,0),"")</f>
        <v/>
      </c>
      <c r="D136" s="342" t="n"/>
      <c r="E136" s="342" t="n"/>
      <c r="F136" s="342" t="n"/>
      <c r="G136" s="12">
        <f>IF(AND(E136&lt;&gt;"",F136&lt;&gt;""),E136*F136,"")</f>
        <v/>
      </c>
      <c r="H136" s="12">
        <f>IF(G136&lt;&gt;"",G136*0.0015,"")</f>
        <v/>
      </c>
      <c r="I136" s="12">
        <f>IF(AND(D136="BÁN",G136&lt;&gt;""),G136*0.001,0)</f>
        <v/>
      </c>
      <c r="J136" s="342" t="n"/>
      <c r="K136" s="12">
        <f>IF(D136="MUA",IFERROR((J136*F136+E136*F136)/(F136*2),E136),J136)</f>
        <v/>
      </c>
      <c r="L136" s="12">
        <f>IF(AND(D136="BÁN",E136&lt;&gt;"",F136&lt;&gt;"",J136&lt;&gt;""),ROUND((E136-J136)*F136-H136-I136,0),"")</f>
        <v/>
      </c>
      <c r="M136" s="12">
        <f>IF(AND(L136&lt;&gt;"",J136&gt;0),L136/(J136*F136),"")</f>
        <v/>
      </c>
      <c r="N136" s="343" t="n"/>
      <c r="O136" s="343" t="n"/>
      <c r="P136" s="343" t="n"/>
    </row>
    <row r="137" ht="21.75" customHeight="1" s="981">
      <c r="A137" s="344" t="n"/>
      <c r="B137" s="344" t="n"/>
      <c r="C137" s="12">
        <f>IFERROR(VLOOKUP(B137,'📈 Cổ Phiếu VN 🔍'!$A:$C,2,0),"")</f>
        <v/>
      </c>
      <c r="D137" s="344" t="n"/>
      <c r="E137" s="344" t="n"/>
      <c r="F137" s="344" t="n"/>
      <c r="G137" s="12">
        <f>IF(AND(E137&lt;&gt;"",F137&lt;&gt;""),E137*F137,"")</f>
        <v/>
      </c>
      <c r="H137" s="12">
        <f>IF(G137&lt;&gt;"",G137*0.0015,"")</f>
        <v/>
      </c>
      <c r="I137" s="12">
        <f>IF(AND(D137="BÁN",G137&lt;&gt;""),G137*0.001,0)</f>
        <v/>
      </c>
      <c r="J137" s="344" t="n"/>
      <c r="K137" s="12">
        <f>IF(D137="MUA",IFERROR((J137*F137+E137*F137)/(F137*2),E137),J137)</f>
        <v/>
      </c>
      <c r="L137" s="12">
        <f>IF(AND(D137="BÁN",E137&lt;&gt;"",F137&lt;&gt;"",J137&lt;&gt;""),ROUND((E137-J137)*F137-H137-I137,0),"")</f>
        <v/>
      </c>
      <c r="M137" s="12">
        <f>IF(AND(L137&lt;&gt;"",J137&gt;0),L137/(J137*F137),"")</f>
        <v/>
      </c>
      <c r="N137" s="345" t="n"/>
      <c r="O137" s="345" t="n"/>
      <c r="P137" s="345" t="n"/>
    </row>
    <row r="138" ht="21.75" customHeight="1" s="981">
      <c r="A138" s="342" t="n"/>
      <c r="B138" s="342" t="n"/>
      <c r="C138" s="12">
        <f>IFERROR(VLOOKUP(B138,'📈 Cổ Phiếu VN 🔍'!$A:$C,2,0),"")</f>
        <v/>
      </c>
      <c r="D138" s="342" t="n"/>
      <c r="E138" s="342" t="n"/>
      <c r="F138" s="342" t="n"/>
      <c r="G138" s="12">
        <f>IF(AND(E138&lt;&gt;"",F138&lt;&gt;""),E138*F138,"")</f>
        <v/>
      </c>
      <c r="H138" s="12">
        <f>IF(G138&lt;&gt;"",G138*0.0015,"")</f>
        <v/>
      </c>
      <c r="I138" s="12">
        <f>IF(AND(D138="BÁN",G138&lt;&gt;""),G138*0.001,0)</f>
        <v/>
      </c>
      <c r="J138" s="342" t="n"/>
      <c r="K138" s="12">
        <f>IF(D138="MUA",IFERROR((J138*F138+E138*F138)/(F138*2),E138),J138)</f>
        <v/>
      </c>
      <c r="L138" s="12">
        <f>IF(AND(D138="BÁN",E138&lt;&gt;"",F138&lt;&gt;"",J138&lt;&gt;""),ROUND((E138-J138)*F138-H138-I138,0),"")</f>
        <v/>
      </c>
      <c r="M138" s="12">
        <f>IF(AND(L138&lt;&gt;"",J138&gt;0),L138/(J138*F138),"")</f>
        <v/>
      </c>
      <c r="N138" s="343" t="n"/>
      <c r="O138" s="343" t="n"/>
      <c r="P138" s="343" t="n"/>
    </row>
    <row r="139" ht="21.75" customHeight="1" s="981">
      <c r="A139" s="344" t="n"/>
      <c r="B139" s="344" t="n"/>
      <c r="C139" s="12">
        <f>IFERROR(VLOOKUP(B139,'📈 Cổ Phiếu VN 🔍'!$A:$C,2,0),"")</f>
        <v/>
      </c>
      <c r="D139" s="344" t="n"/>
      <c r="E139" s="344" t="n"/>
      <c r="F139" s="344" t="n"/>
      <c r="G139" s="12">
        <f>IF(AND(E139&lt;&gt;"",F139&lt;&gt;""),E139*F139,"")</f>
        <v/>
      </c>
      <c r="H139" s="12">
        <f>IF(G139&lt;&gt;"",G139*0.0015,"")</f>
        <v/>
      </c>
      <c r="I139" s="12">
        <f>IF(AND(D139="BÁN",G139&lt;&gt;""),G139*0.001,0)</f>
        <v/>
      </c>
      <c r="J139" s="344" t="n"/>
      <c r="K139" s="12">
        <f>IF(D139="MUA",IFERROR((J139*F139+E139*F139)/(F139*2),E139),J139)</f>
        <v/>
      </c>
      <c r="L139" s="12">
        <f>IF(AND(D139="BÁN",E139&lt;&gt;"",F139&lt;&gt;"",J139&lt;&gt;""),ROUND((E139-J139)*F139-H139-I139,0),"")</f>
        <v/>
      </c>
      <c r="M139" s="12">
        <f>IF(AND(L139&lt;&gt;"",J139&gt;0),L139/(J139*F139),"")</f>
        <v/>
      </c>
      <c r="N139" s="345" t="n"/>
      <c r="O139" s="345" t="n"/>
      <c r="P139" s="345" t="n"/>
    </row>
    <row r="140" ht="21.75" customHeight="1" s="981">
      <c r="A140" s="342" t="n"/>
      <c r="B140" s="342" t="n"/>
      <c r="C140" s="12">
        <f>IFERROR(VLOOKUP(B140,'📈 Cổ Phiếu VN 🔍'!$A:$C,2,0),"")</f>
        <v/>
      </c>
      <c r="D140" s="342" t="n"/>
      <c r="E140" s="342" t="n"/>
      <c r="F140" s="342" t="n"/>
      <c r="G140" s="12">
        <f>IF(AND(E140&lt;&gt;"",F140&lt;&gt;""),E140*F140,"")</f>
        <v/>
      </c>
      <c r="H140" s="12">
        <f>IF(G140&lt;&gt;"",G140*0.0015,"")</f>
        <v/>
      </c>
      <c r="I140" s="12">
        <f>IF(AND(D140="BÁN",G140&lt;&gt;""),G140*0.001,0)</f>
        <v/>
      </c>
      <c r="J140" s="342" t="n"/>
      <c r="K140" s="12">
        <f>IF(D140="MUA",IFERROR((J140*F140+E140*F140)/(F140*2),E140),J140)</f>
        <v/>
      </c>
      <c r="L140" s="12">
        <f>IF(AND(D140="BÁN",E140&lt;&gt;"",F140&lt;&gt;"",J140&lt;&gt;""),ROUND((E140-J140)*F140-H140-I140,0),"")</f>
        <v/>
      </c>
      <c r="M140" s="12">
        <f>IF(AND(L140&lt;&gt;"",J140&gt;0),L140/(J140*F140),"")</f>
        <v/>
      </c>
      <c r="N140" s="343" t="n"/>
      <c r="O140" s="343" t="n"/>
      <c r="P140" s="343" t="n"/>
    </row>
    <row r="141" ht="21.75" customHeight="1" s="981">
      <c r="A141" s="344" t="n"/>
      <c r="B141" s="344" t="n"/>
      <c r="C141" s="12">
        <f>IFERROR(VLOOKUP(B141,'📈 Cổ Phiếu VN 🔍'!$A:$C,2,0),"")</f>
        <v/>
      </c>
      <c r="D141" s="344" t="n"/>
      <c r="E141" s="344" t="n"/>
      <c r="F141" s="344" t="n"/>
      <c r="G141" s="12">
        <f>IF(AND(E141&lt;&gt;"",F141&lt;&gt;""),E141*F141,"")</f>
        <v/>
      </c>
      <c r="H141" s="12">
        <f>IF(G141&lt;&gt;"",G141*0.0015,"")</f>
        <v/>
      </c>
      <c r="I141" s="12">
        <f>IF(AND(D141="BÁN",G141&lt;&gt;""),G141*0.001,0)</f>
        <v/>
      </c>
      <c r="J141" s="344" t="n"/>
      <c r="K141" s="12">
        <f>IF(D141="MUA",IFERROR((J141*F141+E141*F141)/(F141*2),E141),J141)</f>
        <v/>
      </c>
      <c r="L141" s="12">
        <f>IF(AND(D141="BÁN",E141&lt;&gt;"",F141&lt;&gt;"",J141&lt;&gt;""),ROUND((E141-J141)*F141-H141-I141,0),"")</f>
        <v/>
      </c>
      <c r="M141" s="12">
        <f>IF(AND(L141&lt;&gt;"",J141&gt;0),L141/(J141*F141),"")</f>
        <v/>
      </c>
      <c r="N141" s="345" t="n"/>
      <c r="O141" s="345" t="n"/>
      <c r="P141" s="345" t="n"/>
    </row>
    <row r="142" ht="21.75" customHeight="1" s="981">
      <c r="A142" s="342" t="n"/>
      <c r="B142" s="342" t="n"/>
      <c r="C142" s="12">
        <f>IFERROR(VLOOKUP(B142,'📈 Cổ Phiếu VN 🔍'!$A:$C,2,0),"")</f>
        <v/>
      </c>
      <c r="D142" s="342" t="n"/>
      <c r="E142" s="342" t="n"/>
      <c r="F142" s="342" t="n"/>
      <c r="G142" s="12">
        <f>IF(AND(E142&lt;&gt;"",F142&lt;&gt;""),E142*F142,"")</f>
        <v/>
      </c>
      <c r="H142" s="12">
        <f>IF(G142&lt;&gt;"",G142*0.0015,"")</f>
        <v/>
      </c>
      <c r="I142" s="12">
        <f>IF(AND(D142="BÁN",G142&lt;&gt;""),G142*0.001,0)</f>
        <v/>
      </c>
      <c r="J142" s="342" t="n"/>
      <c r="K142" s="12">
        <f>IF(D142="MUA",IFERROR((J142*F142+E142*F142)/(F142*2),E142),J142)</f>
        <v/>
      </c>
      <c r="L142" s="12">
        <f>IF(AND(D142="BÁN",E142&lt;&gt;"",F142&lt;&gt;"",J142&lt;&gt;""),ROUND((E142-J142)*F142-H142-I142,0),"")</f>
        <v/>
      </c>
      <c r="M142" s="12">
        <f>IF(AND(L142&lt;&gt;"",J142&gt;0),L142/(J142*F142),"")</f>
        <v/>
      </c>
      <c r="N142" s="343" t="n"/>
      <c r="O142" s="343" t="n"/>
      <c r="P142" s="343" t="n"/>
    </row>
    <row r="143" ht="21.75" customHeight="1" s="981">
      <c r="A143" s="344" t="n"/>
      <c r="B143" s="344" t="n"/>
      <c r="C143" s="12">
        <f>IFERROR(VLOOKUP(B143,'📈 Cổ Phiếu VN 🔍'!$A:$C,2,0),"")</f>
        <v/>
      </c>
      <c r="D143" s="344" t="n"/>
      <c r="E143" s="344" t="n"/>
      <c r="F143" s="344" t="n"/>
      <c r="G143" s="12">
        <f>IF(AND(E143&lt;&gt;"",F143&lt;&gt;""),E143*F143,"")</f>
        <v/>
      </c>
      <c r="H143" s="12">
        <f>IF(G143&lt;&gt;"",G143*0.0015,"")</f>
        <v/>
      </c>
      <c r="I143" s="12">
        <f>IF(AND(D143="BÁN",G143&lt;&gt;""),G143*0.001,0)</f>
        <v/>
      </c>
      <c r="J143" s="344" t="n"/>
      <c r="K143" s="12">
        <f>IF(D143="MUA",IFERROR((J143*F143+E143*F143)/(F143*2),E143),J143)</f>
        <v/>
      </c>
      <c r="L143" s="12">
        <f>IF(AND(D143="BÁN",E143&lt;&gt;"",F143&lt;&gt;"",J143&lt;&gt;""),ROUND((E143-J143)*F143-H143-I143,0),"")</f>
        <v/>
      </c>
      <c r="M143" s="12">
        <f>IF(AND(L143&lt;&gt;"",J143&gt;0),L143/(J143*F143),"")</f>
        <v/>
      </c>
      <c r="N143" s="345" t="n"/>
      <c r="O143" s="345" t="n"/>
      <c r="P143" s="345" t="n"/>
    </row>
    <row r="144" ht="21.75" customHeight="1" s="981">
      <c r="A144" s="342" t="n"/>
      <c r="B144" s="342" t="n"/>
      <c r="C144" s="12">
        <f>IFERROR(VLOOKUP(B144,'📈 Cổ Phiếu VN 🔍'!$A:$C,2,0),"")</f>
        <v/>
      </c>
      <c r="D144" s="342" t="n"/>
      <c r="E144" s="342" t="n"/>
      <c r="F144" s="342" t="n"/>
      <c r="G144" s="12">
        <f>IF(AND(E144&lt;&gt;"",F144&lt;&gt;""),E144*F144,"")</f>
        <v/>
      </c>
      <c r="H144" s="12">
        <f>IF(G144&lt;&gt;"",G144*0.0015,"")</f>
        <v/>
      </c>
      <c r="I144" s="12">
        <f>IF(AND(D144="BÁN",G144&lt;&gt;""),G144*0.001,0)</f>
        <v/>
      </c>
      <c r="J144" s="342" t="n"/>
      <c r="K144" s="12">
        <f>IF(D144="MUA",IFERROR((J144*F144+E144*F144)/(F144*2),E144),J144)</f>
        <v/>
      </c>
      <c r="L144" s="12">
        <f>IF(AND(D144="BÁN",E144&lt;&gt;"",F144&lt;&gt;"",J144&lt;&gt;""),ROUND((E144-J144)*F144-H144-I144,0),"")</f>
        <v/>
      </c>
      <c r="M144" s="12">
        <f>IF(AND(L144&lt;&gt;"",J144&gt;0),L144/(J144*F144),"")</f>
        <v/>
      </c>
      <c r="N144" s="343" t="n"/>
      <c r="O144" s="343" t="n"/>
      <c r="P144" s="343" t="n"/>
    </row>
    <row r="145" ht="21.75" customHeight="1" s="981">
      <c r="A145" s="344" t="n"/>
      <c r="B145" s="344" t="n"/>
      <c r="C145" s="12">
        <f>IFERROR(VLOOKUP(B145,'📈 Cổ Phiếu VN 🔍'!$A:$C,2,0),"")</f>
        <v/>
      </c>
      <c r="D145" s="344" t="n"/>
      <c r="E145" s="344" t="n"/>
      <c r="F145" s="344" t="n"/>
      <c r="G145" s="12">
        <f>IF(AND(E145&lt;&gt;"",F145&lt;&gt;""),E145*F145,"")</f>
        <v/>
      </c>
      <c r="H145" s="12">
        <f>IF(G145&lt;&gt;"",G145*0.0015,"")</f>
        <v/>
      </c>
      <c r="I145" s="12">
        <f>IF(AND(D145="BÁN",G145&lt;&gt;""),G145*0.001,0)</f>
        <v/>
      </c>
      <c r="J145" s="344" t="n"/>
      <c r="K145" s="12">
        <f>IF(D145="MUA",IFERROR((J145*F145+E145*F145)/(F145*2),E145),J145)</f>
        <v/>
      </c>
      <c r="L145" s="12">
        <f>IF(AND(D145="BÁN",E145&lt;&gt;"",F145&lt;&gt;"",J145&lt;&gt;""),ROUND((E145-J145)*F145-H145-I145,0),"")</f>
        <v/>
      </c>
      <c r="M145" s="12">
        <f>IF(AND(L145&lt;&gt;"",J145&gt;0),L145/(J145*F145),"")</f>
        <v/>
      </c>
      <c r="N145" s="345" t="n"/>
      <c r="O145" s="345" t="n"/>
      <c r="P145" s="345" t="n"/>
    </row>
    <row r="146" ht="21.75" customHeight="1" s="981">
      <c r="A146" s="342" t="n"/>
      <c r="B146" s="342" t="n"/>
      <c r="C146" s="12">
        <f>IFERROR(VLOOKUP(B146,'📈 Cổ Phiếu VN 🔍'!$A:$C,2,0),"")</f>
        <v/>
      </c>
      <c r="D146" s="342" t="n"/>
      <c r="E146" s="342" t="n"/>
      <c r="F146" s="342" t="n"/>
      <c r="G146" s="12">
        <f>IF(AND(E146&lt;&gt;"",F146&lt;&gt;""),E146*F146,"")</f>
        <v/>
      </c>
      <c r="H146" s="12">
        <f>IF(G146&lt;&gt;"",G146*0.0015,"")</f>
        <v/>
      </c>
      <c r="I146" s="12">
        <f>IF(AND(D146="BÁN",G146&lt;&gt;""),G146*0.001,0)</f>
        <v/>
      </c>
      <c r="J146" s="342" t="n"/>
      <c r="K146" s="12">
        <f>IF(D146="MUA",IFERROR((J146*F146+E146*F146)/(F146*2),E146),J146)</f>
        <v/>
      </c>
      <c r="L146" s="12">
        <f>IF(AND(D146="BÁN",E146&lt;&gt;"",F146&lt;&gt;"",J146&lt;&gt;""),ROUND((E146-J146)*F146-H146-I146,0),"")</f>
        <v/>
      </c>
      <c r="M146" s="12">
        <f>IF(AND(L146&lt;&gt;"",J146&gt;0),L146/(J146*F146),"")</f>
        <v/>
      </c>
      <c r="N146" s="343" t="n"/>
      <c r="O146" s="343" t="n"/>
      <c r="P146" s="343" t="n"/>
    </row>
    <row r="147" ht="21.75" customHeight="1" s="981">
      <c r="A147" s="344" t="n"/>
      <c r="B147" s="344" t="n"/>
      <c r="C147" s="12">
        <f>IFERROR(VLOOKUP(B147,'📈 Cổ Phiếu VN 🔍'!$A:$C,2,0),"")</f>
        <v/>
      </c>
      <c r="D147" s="344" t="n"/>
      <c r="E147" s="344" t="n"/>
      <c r="F147" s="344" t="n"/>
      <c r="G147" s="12">
        <f>IF(AND(E147&lt;&gt;"",F147&lt;&gt;""),E147*F147,"")</f>
        <v/>
      </c>
      <c r="H147" s="12">
        <f>IF(G147&lt;&gt;"",G147*0.0015,"")</f>
        <v/>
      </c>
      <c r="I147" s="12">
        <f>IF(AND(D147="BÁN",G147&lt;&gt;""),G147*0.001,0)</f>
        <v/>
      </c>
      <c r="J147" s="344" t="n"/>
      <c r="K147" s="12">
        <f>IF(D147="MUA",IFERROR((J147*F147+E147*F147)/(F147*2),E147),J147)</f>
        <v/>
      </c>
      <c r="L147" s="12">
        <f>IF(AND(D147="BÁN",E147&lt;&gt;"",F147&lt;&gt;"",J147&lt;&gt;""),ROUND((E147-J147)*F147-H147-I147,0),"")</f>
        <v/>
      </c>
      <c r="M147" s="12">
        <f>IF(AND(L147&lt;&gt;"",J147&gt;0),L147/(J147*F147),"")</f>
        <v/>
      </c>
      <c r="N147" s="345" t="n"/>
      <c r="O147" s="345" t="n"/>
      <c r="P147" s="345" t="n"/>
    </row>
    <row r="148" ht="21.75" customHeight="1" s="981">
      <c r="A148" s="342" t="n"/>
      <c r="B148" s="342" t="n"/>
      <c r="C148" s="12">
        <f>IFERROR(VLOOKUP(B148,'📈 Cổ Phiếu VN 🔍'!$A:$C,2,0),"")</f>
        <v/>
      </c>
      <c r="D148" s="342" t="n"/>
      <c r="E148" s="342" t="n"/>
      <c r="F148" s="342" t="n"/>
      <c r="G148" s="12">
        <f>IF(AND(E148&lt;&gt;"",F148&lt;&gt;""),E148*F148,"")</f>
        <v/>
      </c>
      <c r="H148" s="12">
        <f>IF(G148&lt;&gt;"",G148*0.0015,"")</f>
        <v/>
      </c>
      <c r="I148" s="12">
        <f>IF(AND(D148="BÁN",G148&lt;&gt;""),G148*0.001,0)</f>
        <v/>
      </c>
      <c r="J148" s="342" t="n"/>
      <c r="K148" s="12">
        <f>IF(D148="MUA",IFERROR((J148*F148+E148*F148)/(F148*2),E148),J148)</f>
        <v/>
      </c>
      <c r="L148" s="12">
        <f>IF(AND(D148="BÁN",E148&lt;&gt;"",F148&lt;&gt;"",J148&lt;&gt;""),ROUND((E148-J148)*F148-H148-I148,0),"")</f>
        <v/>
      </c>
      <c r="M148" s="12">
        <f>IF(AND(L148&lt;&gt;"",J148&gt;0),L148/(J148*F148),"")</f>
        <v/>
      </c>
      <c r="N148" s="343" t="n"/>
      <c r="O148" s="343" t="n"/>
      <c r="P148" s="343" t="n"/>
    </row>
    <row r="149" ht="21.75" customHeight="1" s="981">
      <c r="A149" s="344" t="n"/>
      <c r="B149" s="344" t="n"/>
      <c r="C149" s="12">
        <f>IFERROR(VLOOKUP(B149,'📈 Cổ Phiếu VN 🔍'!$A:$C,2,0),"")</f>
        <v/>
      </c>
      <c r="D149" s="344" t="n"/>
      <c r="E149" s="344" t="n"/>
      <c r="F149" s="344" t="n"/>
      <c r="G149" s="12">
        <f>IF(AND(E149&lt;&gt;"",F149&lt;&gt;""),E149*F149,"")</f>
        <v/>
      </c>
      <c r="H149" s="12">
        <f>IF(G149&lt;&gt;"",G149*0.0015,"")</f>
        <v/>
      </c>
      <c r="I149" s="12">
        <f>IF(AND(D149="BÁN",G149&lt;&gt;""),G149*0.001,0)</f>
        <v/>
      </c>
      <c r="J149" s="344" t="n"/>
      <c r="K149" s="12">
        <f>IF(D149="MUA",IFERROR((J149*F149+E149*F149)/(F149*2),E149),J149)</f>
        <v/>
      </c>
      <c r="L149" s="12">
        <f>IF(AND(D149="BÁN",E149&lt;&gt;"",F149&lt;&gt;"",J149&lt;&gt;""),ROUND((E149-J149)*F149-H149-I149,0),"")</f>
        <v/>
      </c>
      <c r="M149" s="12">
        <f>IF(AND(L149&lt;&gt;"",J149&gt;0),L149/(J149*F149),"")</f>
        <v/>
      </c>
      <c r="N149" s="345" t="n"/>
      <c r="O149" s="345" t="n"/>
      <c r="P149" s="345" t="n"/>
    </row>
    <row r="150" ht="21.75" customHeight="1" s="981">
      <c r="A150" s="342" t="n"/>
      <c r="B150" s="342" t="n"/>
      <c r="C150" s="12">
        <f>IFERROR(VLOOKUP(B150,'📈 Cổ Phiếu VN 🔍'!$A:$C,2,0),"")</f>
        <v/>
      </c>
      <c r="D150" s="342" t="n"/>
      <c r="E150" s="342" t="n"/>
      <c r="F150" s="342" t="n"/>
      <c r="G150" s="12">
        <f>IF(AND(E150&lt;&gt;"",F150&lt;&gt;""),E150*F150,"")</f>
        <v/>
      </c>
      <c r="H150" s="12">
        <f>IF(G150&lt;&gt;"",G150*0.0015,"")</f>
        <v/>
      </c>
      <c r="I150" s="12">
        <f>IF(AND(D150="BÁN",G150&lt;&gt;""),G150*0.001,0)</f>
        <v/>
      </c>
      <c r="J150" s="342" t="n"/>
      <c r="K150" s="12">
        <f>IF(D150="MUA",IFERROR((J150*F150+E150*F150)/(F150*2),E150),J150)</f>
        <v/>
      </c>
      <c r="L150" s="12">
        <f>IF(AND(D150="BÁN",E150&lt;&gt;"",F150&lt;&gt;"",J150&lt;&gt;""),ROUND((E150-J150)*F150-H150-I150,0),"")</f>
        <v/>
      </c>
      <c r="M150" s="12">
        <f>IF(AND(L150&lt;&gt;"",J150&gt;0),L150/(J150*F150),"")</f>
        <v/>
      </c>
      <c r="N150" s="343" t="n"/>
      <c r="O150" s="343" t="n"/>
      <c r="P150" s="343" t="n"/>
    </row>
    <row r="151" ht="21.75" customHeight="1" s="981">
      <c r="A151" s="344" t="n"/>
      <c r="B151" s="344" t="n"/>
      <c r="C151" s="12">
        <f>IFERROR(VLOOKUP(B151,'📈 Cổ Phiếu VN 🔍'!$A:$C,2,0),"")</f>
        <v/>
      </c>
      <c r="D151" s="344" t="n"/>
      <c r="E151" s="344" t="n"/>
      <c r="F151" s="344" t="n"/>
      <c r="G151" s="12">
        <f>IF(AND(E151&lt;&gt;"",F151&lt;&gt;""),E151*F151,"")</f>
        <v/>
      </c>
      <c r="H151" s="12">
        <f>IF(G151&lt;&gt;"",G151*0.0015,"")</f>
        <v/>
      </c>
      <c r="I151" s="12">
        <f>IF(AND(D151="BÁN",G151&lt;&gt;""),G151*0.001,0)</f>
        <v/>
      </c>
      <c r="J151" s="344" t="n"/>
      <c r="K151" s="12">
        <f>IF(D151="MUA",IFERROR((J151*F151+E151*F151)/(F151*2),E151),J151)</f>
        <v/>
      </c>
      <c r="L151" s="12">
        <f>IF(AND(D151="BÁN",E151&lt;&gt;"",F151&lt;&gt;"",J151&lt;&gt;""),ROUND((E151-J151)*F151-H151-I151,0),"")</f>
        <v/>
      </c>
      <c r="M151" s="12">
        <f>IF(AND(L151&lt;&gt;"",J151&gt;0),L151/(J151*F151),"")</f>
        <v/>
      </c>
      <c r="N151" s="345" t="n"/>
      <c r="O151" s="345" t="n"/>
      <c r="P151" s="345" t="n"/>
    </row>
    <row r="152" ht="21.75" customHeight="1" s="981">
      <c r="A152" s="342" t="n"/>
      <c r="B152" s="342" t="n"/>
      <c r="C152" s="12">
        <f>IFERROR(VLOOKUP(B152,'📈 Cổ Phiếu VN 🔍'!$A:$C,2,0),"")</f>
        <v/>
      </c>
      <c r="D152" s="342" t="n"/>
      <c r="E152" s="342" t="n"/>
      <c r="F152" s="342" t="n"/>
      <c r="G152" s="12">
        <f>IF(AND(E152&lt;&gt;"",F152&lt;&gt;""),E152*F152,"")</f>
        <v/>
      </c>
      <c r="H152" s="12">
        <f>IF(G152&lt;&gt;"",G152*0.0015,"")</f>
        <v/>
      </c>
      <c r="I152" s="12">
        <f>IF(AND(D152="BÁN",G152&lt;&gt;""),G152*0.001,0)</f>
        <v/>
      </c>
      <c r="J152" s="342" t="n"/>
      <c r="K152" s="12">
        <f>IF(D152="MUA",IFERROR((J152*F152+E152*F152)/(F152*2),E152),J152)</f>
        <v/>
      </c>
      <c r="L152" s="12">
        <f>IF(AND(D152="BÁN",E152&lt;&gt;"",F152&lt;&gt;"",J152&lt;&gt;""),ROUND((E152-J152)*F152-H152-I152,0),"")</f>
        <v/>
      </c>
      <c r="M152" s="12">
        <f>IF(AND(L152&lt;&gt;"",J152&gt;0),L152/(J152*F152),"")</f>
        <v/>
      </c>
      <c r="N152" s="343" t="n"/>
      <c r="O152" s="343" t="n"/>
      <c r="P152" s="343" t="n"/>
    </row>
    <row r="153" ht="21.75" customHeight="1" s="981">
      <c r="A153" s="344" t="n"/>
      <c r="B153" s="344" t="n"/>
      <c r="C153" s="12">
        <f>IFERROR(VLOOKUP(B153,'📈 Cổ Phiếu VN 🔍'!$A:$C,2,0),"")</f>
        <v/>
      </c>
      <c r="D153" s="344" t="n"/>
      <c r="E153" s="344" t="n"/>
      <c r="F153" s="344" t="n"/>
      <c r="G153" s="12">
        <f>IF(AND(E153&lt;&gt;"",F153&lt;&gt;""),E153*F153,"")</f>
        <v/>
      </c>
      <c r="H153" s="12">
        <f>IF(G153&lt;&gt;"",G153*0.0015,"")</f>
        <v/>
      </c>
      <c r="I153" s="12">
        <f>IF(AND(D153="BÁN",G153&lt;&gt;""),G153*0.001,0)</f>
        <v/>
      </c>
      <c r="J153" s="344" t="n"/>
      <c r="K153" s="12">
        <f>IF(D153="MUA",IFERROR((J153*F153+E153*F153)/(F153*2),E153),J153)</f>
        <v/>
      </c>
      <c r="L153" s="12">
        <f>IF(AND(D153="BÁN",E153&lt;&gt;"",F153&lt;&gt;"",J153&lt;&gt;""),ROUND((E153-J153)*F153-H153-I153,0),"")</f>
        <v/>
      </c>
      <c r="M153" s="12">
        <f>IF(AND(L153&lt;&gt;"",J153&gt;0),L153/(J153*F153),"")</f>
        <v/>
      </c>
      <c r="N153" s="345" t="n"/>
      <c r="O153" s="345" t="n"/>
      <c r="P153" s="345" t="n"/>
    </row>
    <row r="154" ht="21.75" customHeight="1" s="981">
      <c r="A154" s="342" t="n"/>
      <c r="B154" s="342" t="n"/>
      <c r="C154" s="12">
        <f>IFERROR(VLOOKUP(B154,'📈 Cổ Phiếu VN 🔍'!$A:$C,2,0),"")</f>
        <v/>
      </c>
      <c r="D154" s="342" t="n"/>
      <c r="E154" s="342" t="n"/>
      <c r="F154" s="342" t="n"/>
      <c r="G154" s="12">
        <f>IF(AND(E154&lt;&gt;"",F154&lt;&gt;""),E154*F154,"")</f>
        <v/>
      </c>
      <c r="H154" s="12">
        <f>IF(G154&lt;&gt;"",G154*0.0015,"")</f>
        <v/>
      </c>
      <c r="I154" s="12">
        <f>IF(AND(D154="BÁN",G154&lt;&gt;""),G154*0.001,0)</f>
        <v/>
      </c>
      <c r="J154" s="342" t="n"/>
      <c r="K154" s="12">
        <f>IF(D154="MUA",IFERROR((J154*F154+E154*F154)/(F154*2),E154),J154)</f>
        <v/>
      </c>
      <c r="L154" s="12">
        <f>IF(AND(D154="BÁN",E154&lt;&gt;"",F154&lt;&gt;"",J154&lt;&gt;""),ROUND((E154-J154)*F154-H154-I154,0),"")</f>
        <v/>
      </c>
      <c r="M154" s="12">
        <f>IF(AND(L154&lt;&gt;"",J154&gt;0),L154/(J154*F154),"")</f>
        <v/>
      </c>
      <c r="N154" s="343" t="n"/>
      <c r="O154" s="343" t="n"/>
      <c r="P154" s="343" t="n"/>
    </row>
    <row r="155" ht="21.75" customHeight="1" s="981">
      <c r="A155" s="344" t="n"/>
      <c r="B155" s="344" t="n"/>
      <c r="C155" s="12">
        <f>IFERROR(VLOOKUP(B155,'📈 Cổ Phiếu VN 🔍'!$A:$C,2,0),"")</f>
        <v/>
      </c>
      <c r="D155" s="344" t="n"/>
      <c r="E155" s="344" t="n"/>
      <c r="F155" s="344" t="n"/>
      <c r="G155" s="12">
        <f>IF(AND(E155&lt;&gt;"",F155&lt;&gt;""),E155*F155,"")</f>
        <v/>
      </c>
      <c r="H155" s="12">
        <f>IF(G155&lt;&gt;"",G155*0.0015,"")</f>
        <v/>
      </c>
      <c r="I155" s="12">
        <f>IF(AND(D155="BÁN",G155&lt;&gt;""),G155*0.001,0)</f>
        <v/>
      </c>
      <c r="J155" s="344" t="n"/>
      <c r="K155" s="12">
        <f>IF(D155="MUA",IFERROR((J155*F155+E155*F155)/(F155*2),E155),J155)</f>
        <v/>
      </c>
      <c r="L155" s="12">
        <f>IF(AND(D155="BÁN",E155&lt;&gt;"",F155&lt;&gt;"",J155&lt;&gt;""),ROUND((E155-J155)*F155-H155-I155,0),"")</f>
        <v/>
      </c>
      <c r="M155" s="12">
        <f>IF(AND(L155&lt;&gt;"",J155&gt;0),L155/(J155*F155),"")</f>
        <v/>
      </c>
      <c r="N155" s="345" t="n"/>
      <c r="O155" s="345" t="n"/>
      <c r="P155" s="345" t="n"/>
    </row>
    <row r="156" ht="21.75" customHeight="1" s="981">
      <c r="A156" s="342" t="n"/>
      <c r="B156" s="342" t="n"/>
      <c r="C156" s="12">
        <f>IFERROR(VLOOKUP(B156,'📈 Cổ Phiếu VN 🔍'!$A:$C,2,0),"")</f>
        <v/>
      </c>
      <c r="D156" s="342" t="n"/>
      <c r="E156" s="342" t="n"/>
      <c r="F156" s="342" t="n"/>
      <c r="G156" s="12">
        <f>IF(AND(E156&lt;&gt;"",F156&lt;&gt;""),E156*F156,"")</f>
        <v/>
      </c>
      <c r="H156" s="12">
        <f>IF(G156&lt;&gt;"",G156*0.0015,"")</f>
        <v/>
      </c>
      <c r="I156" s="12">
        <f>IF(AND(D156="BÁN",G156&lt;&gt;""),G156*0.001,0)</f>
        <v/>
      </c>
      <c r="J156" s="342" t="n"/>
      <c r="K156" s="12">
        <f>IF(D156="MUA",IFERROR((J156*F156+E156*F156)/(F156*2),E156),J156)</f>
        <v/>
      </c>
      <c r="L156" s="12">
        <f>IF(AND(D156="BÁN",E156&lt;&gt;"",F156&lt;&gt;"",J156&lt;&gt;""),ROUND((E156-J156)*F156-H156-I156,0),"")</f>
        <v/>
      </c>
      <c r="M156" s="12">
        <f>IF(AND(L156&lt;&gt;"",J156&gt;0),L156/(J156*F156),"")</f>
        <v/>
      </c>
      <c r="N156" s="343" t="n"/>
      <c r="O156" s="343" t="n"/>
      <c r="P156" s="343" t="n"/>
    </row>
    <row r="157" ht="21.75" customHeight="1" s="981">
      <c r="A157" s="344" t="n"/>
      <c r="B157" s="344" t="n"/>
      <c r="C157" s="12">
        <f>IFERROR(VLOOKUP(B157,'📈 Cổ Phiếu VN 🔍'!$A:$C,2,0),"")</f>
        <v/>
      </c>
      <c r="D157" s="344" t="n"/>
      <c r="E157" s="344" t="n"/>
      <c r="F157" s="344" t="n"/>
      <c r="G157" s="12">
        <f>IF(AND(E157&lt;&gt;"",F157&lt;&gt;""),E157*F157,"")</f>
        <v/>
      </c>
      <c r="H157" s="12">
        <f>IF(G157&lt;&gt;"",G157*0.0015,"")</f>
        <v/>
      </c>
      <c r="I157" s="12">
        <f>IF(AND(D157="BÁN",G157&lt;&gt;""),G157*0.001,0)</f>
        <v/>
      </c>
      <c r="J157" s="344" t="n"/>
      <c r="K157" s="12">
        <f>IF(D157="MUA",IFERROR((J157*F157+E157*F157)/(F157*2),E157),J157)</f>
        <v/>
      </c>
      <c r="L157" s="12">
        <f>IF(AND(D157="BÁN",E157&lt;&gt;"",F157&lt;&gt;"",J157&lt;&gt;""),ROUND((E157-J157)*F157-H157-I157,0),"")</f>
        <v/>
      </c>
      <c r="M157" s="12">
        <f>IF(AND(L157&lt;&gt;"",J157&gt;0),L157/(J157*F157),"")</f>
        <v/>
      </c>
      <c r="N157" s="345" t="n"/>
      <c r="O157" s="345" t="n"/>
      <c r="P157" s="345" t="n"/>
    </row>
    <row r="158" ht="21.75" customHeight="1" s="981">
      <c r="A158" s="342" t="n"/>
      <c r="B158" s="342" t="n"/>
      <c r="C158" s="12">
        <f>IFERROR(VLOOKUP(B158,'📈 Cổ Phiếu VN 🔍'!$A:$C,2,0),"")</f>
        <v/>
      </c>
      <c r="D158" s="342" t="n"/>
      <c r="E158" s="342" t="n"/>
      <c r="F158" s="342" t="n"/>
      <c r="G158" s="12">
        <f>IF(AND(E158&lt;&gt;"",F158&lt;&gt;""),E158*F158,"")</f>
        <v/>
      </c>
      <c r="H158" s="12">
        <f>IF(G158&lt;&gt;"",G158*0.0015,"")</f>
        <v/>
      </c>
      <c r="I158" s="12">
        <f>IF(AND(D158="BÁN",G158&lt;&gt;""),G158*0.001,0)</f>
        <v/>
      </c>
      <c r="J158" s="342" t="n"/>
      <c r="K158" s="12">
        <f>IF(D158="MUA",IFERROR((J158*F158+E158*F158)/(F158*2),E158),J158)</f>
        <v/>
      </c>
      <c r="L158" s="12">
        <f>IF(AND(D158="BÁN",E158&lt;&gt;"",F158&lt;&gt;"",J158&lt;&gt;""),ROUND((E158-J158)*F158-H158-I158,0),"")</f>
        <v/>
      </c>
      <c r="M158" s="12">
        <f>IF(AND(L158&lt;&gt;"",J158&gt;0),L158/(J158*F158),"")</f>
        <v/>
      </c>
      <c r="N158" s="343" t="n"/>
      <c r="O158" s="343" t="n"/>
      <c r="P158" s="343" t="n"/>
    </row>
    <row r="159" ht="21.75" customHeight="1" s="981">
      <c r="A159" s="344" t="n"/>
      <c r="B159" s="344" t="n"/>
      <c r="C159" s="12">
        <f>IFERROR(VLOOKUP(B159,'📈 Cổ Phiếu VN 🔍'!$A:$C,2,0),"")</f>
        <v/>
      </c>
      <c r="D159" s="344" t="n"/>
      <c r="E159" s="344" t="n"/>
      <c r="F159" s="344" t="n"/>
      <c r="G159" s="12">
        <f>IF(AND(E159&lt;&gt;"",F159&lt;&gt;""),E159*F159,"")</f>
        <v/>
      </c>
      <c r="H159" s="12">
        <f>IF(G159&lt;&gt;"",G159*0.0015,"")</f>
        <v/>
      </c>
      <c r="I159" s="12">
        <f>IF(AND(D159="BÁN",G159&lt;&gt;""),G159*0.001,0)</f>
        <v/>
      </c>
      <c r="J159" s="344" t="n"/>
      <c r="K159" s="12">
        <f>IF(D159="MUA",IFERROR((J159*F159+E159*F159)/(F159*2),E159),J159)</f>
        <v/>
      </c>
      <c r="L159" s="12">
        <f>IF(AND(D159="BÁN",E159&lt;&gt;"",F159&lt;&gt;"",J159&lt;&gt;""),ROUND((E159-J159)*F159-H159-I159,0),"")</f>
        <v/>
      </c>
      <c r="M159" s="12">
        <f>IF(AND(L159&lt;&gt;"",J159&gt;0),L159/(J159*F159),"")</f>
        <v/>
      </c>
      <c r="N159" s="345" t="n"/>
      <c r="O159" s="345" t="n"/>
      <c r="P159" s="345" t="n"/>
    </row>
    <row r="160" ht="21.75" customHeight="1" s="981">
      <c r="A160" s="342" t="n"/>
      <c r="B160" s="342" t="n"/>
      <c r="C160" s="12">
        <f>IFERROR(VLOOKUP(B160,'📈 Cổ Phiếu VN 🔍'!$A:$C,2,0),"")</f>
        <v/>
      </c>
      <c r="D160" s="342" t="n"/>
      <c r="E160" s="342" t="n"/>
      <c r="F160" s="342" t="n"/>
      <c r="G160" s="12">
        <f>IF(AND(E160&lt;&gt;"",F160&lt;&gt;""),E160*F160,"")</f>
        <v/>
      </c>
      <c r="H160" s="12">
        <f>IF(G160&lt;&gt;"",G160*0.0015,"")</f>
        <v/>
      </c>
      <c r="I160" s="12">
        <f>IF(AND(D160="BÁN",G160&lt;&gt;""),G160*0.001,0)</f>
        <v/>
      </c>
      <c r="J160" s="342" t="n"/>
      <c r="K160" s="12">
        <f>IF(D160="MUA",IFERROR((J160*F160+E160*F160)/(F160*2),E160),J160)</f>
        <v/>
      </c>
      <c r="L160" s="12">
        <f>IF(AND(D160="BÁN",E160&lt;&gt;"",F160&lt;&gt;"",J160&lt;&gt;""),ROUND((E160-J160)*F160-H160-I160,0),"")</f>
        <v/>
      </c>
      <c r="M160" s="12">
        <f>IF(AND(L160&lt;&gt;"",J160&gt;0),L160/(J160*F160),"")</f>
        <v/>
      </c>
      <c r="N160" s="343" t="n"/>
      <c r="O160" s="343" t="n"/>
      <c r="P160" s="343" t="n"/>
    </row>
    <row r="161" ht="21.75" customHeight="1" s="981">
      <c r="A161" s="344" t="n"/>
      <c r="B161" s="344" t="n"/>
      <c r="C161" s="12">
        <f>IFERROR(VLOOKUP(B161,'📈 Cổ Phiếu VN 🔍'!$A:$C,2,0),"")</f>
        <v/>
      </c>
      <c r="D161" s="344" t="n"/>
      <c r="E161" s="344" t="n"/>
      <c r="F161" s="344" t="n"/>
      <c r="G161" s="12">
        <f>IF(AND(E161&lt;&gt;"",F161&lt;&gt;""),E161*F161,"")</f>
        <v/>
      </c>
      <c r="H161" s="12">
        <f>IF(G161&lt;&gt;"",G161*0.0015,"")</f>
        <v/>
      </c>
      <c r="I161" s="12">
        <f>IF(AND(D161="BÁN",G161&lt;&gt;""),G161*0.001,0)</f>
        <v/>
      </c>
      <c r="J161" s="344" t="n"/>
      <c r="K161" s="12">
        <f>IF(D161="MUA",IFERROR((J161*F161+E161*F161)/(F161*2),E161),J161)</f>
        <v/>
      </c>
      <c r="L161" s="12">
        <f>IF(AND(D161="BÁN",E161&lt;&gt;"",F161&lt;&gt;"",J161&lt;&gt;""),ROUND((E161-J161)*F161-H161-I161,0),"")</f>
        <v/>
      </c>
      <c r="M161" s="12">
        <f>IF(AND(L161&lt;&gt;"",J161&gt;0),L161/(J161*F161),"")</f>
        <v/>
      </c>
      <c r="N161" s="345" t="n"/>
      <c r="O161" s="345" t="n"/>
      <c r="P161" s="345" t="n"/>
    </row>
    <row r="162" ht="21.75" customHeight="1" s="981">
      <c r="A162" s="342" t="n"/>
      <c r="B162" s="342" t="n"/>
      <c r="C162" s="12">
        <f>IFERROR(VLOOKUP(B162,'📈 Cổ Phiếu VN 🔍'!$A:$C,2,0),"")</f>
        <v/>
      </c>
      <c r="D162" s="342" t="n"/>
      <c r="E162" s="342" t="n"/>
      <c r="F162" s="342" t="n"/>
      <c r="G162" s="12">
        <f>IF(AND(E162&lt;&gt;"",F162&lt;&gt;""),E162*F162,"")</f>
        <v/>
      </c>
      <c r="H162" s="12">
        <f>IF(G162&lt;&gt;"",G162*0.0015,"")</f>
        <v/>
      </c>
      <c r="I162" s="12">
        <f>IF(AND(D162="BÁN",G162&lt;&gt;""),G162*0.001,0)</f>
        <v/>
      </c>
      <c r="J162" s="342" t="n"/>
      <c r="K162" s="12">
        <f>IF(D162="MUA",IFERROR((J162*F162+E162*F162)/(F162*2),E162),J162)</f>
        <v/>
      </c>
      <c r="L162" s="12">
        <f>IF(AND(D162="BÁN",E162&lt;&gt;"",F162&lt;&gt;"",J162&lt;&gt;""),ROUND((E162-J162)*F162-H162-I162,0),"")</f>
        <v/>
      </c>
      <c r="M162" s="12">
        <f>IF(AND(L162&lt;&gt;"",J162&gt;0),L162/(J162*F162),"")</f>
        <v/>
      </c>
      <c r="N162" s="343" t="n"/>
      <c r="O162" s="343" t="n"/>
      <c r="P162" s="343" t="n"/>
    </row>
    <row r="163" ht="21.75" customHeight="1" s="981">
      <c r="A163" s="344" t="n"/>
      <c r="B163" s="344" t="n"/>
      <c r="C163" s="12">
        <f>IFERROR(VLOOKUP(B163,'📈 Cổ Phiếu VN 🔍'!$A:$C,2,0),"")</f>
        <v/>
      </c>
      <c r="D163" s="344" t="n"/>
      <c r="E163" s="344" t="n"/>
      <c r="F163" s="344" t="n"/>
      <c r="G163" s="12">
        <f>IF(AND(E163&lt;&gt;"",F163&lt;&gt;""),E163*F163,"")</f>
        <v/>
      </c>
      <c r="H163" s="12">
        <f>IF(G163&lt;&gt;"",G163*0.0015,"")</f>
        <v/>
      </c>
      <c r="I163" s="12">
        <f>IF(AND(D163="BÁN",G163&lt;&gt;""),G163*0.001,0)</f>
        <v/>
      </c>
      <c r="J163" s="344" t="n"/>
      <c r="K163" s="12">
        <f>IF(D163="MUA",IFERROR((J163*F163+E163*F163)/(F163*2),E163),J163)</f>
        <v/>
      </c>
      <c r="L163" s="12">
        <f>IF(AND(D163="BÁN",E163&lt;&gt;"",F163&lt;&gt;"",J163&lt;&gt;""),ROUND((E163-J163)*F163-H163-I163,0),"")</f>
        <v/>
      </c>
      <c r="M163" s="12">
        <f>IF(AND(L163&lt;&gt;"",J163&gt;0),L163/(J163*F163),"")</f>
        <v/>
      </c>
      <c r="N163" s="345" t="n"/>
      <c r="O163" s="345" t="n"/>
      <c r="P163" s="345" t="n"/>
    </row>
    <row r="164" ht="21.75" customHeight="1" s="981">
      <c r="A164" s="342" t="n"/>
      <c r="B164" s="342" t="n"/>
      <c r="C164" s="12">
        <f>IFERROR(VLOOKUP(B164,'📈 Cổ Phiếu VN 🔍'!$A:$C,2,0),"")</f>
        <v/>
      </c>
      <c r="D164" s="342" t="n"/>
      <c r="E164" s="342" t="n"/>
      <c r="F164" s="342" t="n"/>
      <c r="G164" s="12">
        <f>IF(AND(E164&lt;&gt;"",F164&lt;&gt;""),E164*F164,"")</f>
        <v/>
      </c>
      <c r="H164" s="12">
        <f>IF(G164&lt;&gt;"",G164*0.0015,"")</f>
        <v/>
      </c>
      <c r="I164" s="12">
        <f>IF(AND(D164="BÁN",G164&lt;&gt;""),G164*0.001,0)</f>
        <v/>
      </c>
      <c r="J164" s="342" t="n"/>
      <c r="K164" s="12">
        <f>IF(D164="MUA",IFERROR((J164*F164+E164*F164)/(F164*2),E164),J164)</f>
        <v/>
      </c>
      <c r="L164" s="12">
        <f>IF(AND(D164="BÁN",E164&lt;&gt;"",F164&lt;&gt;"",J164&lt;&gt;""),ROUND((E164-J164)*F164-H164-I164,0),"")</f>
        <v/>
      </c>
      <c r="M164" s="12">
        <f>IF(AND(L164&lt;&gt;"",J164&gt;0),L164/(J164*F164),"")</f>
        <v/>
      </c>
      <c r="N164" s="343" t="n"/>
      <c r="O164" s="343" t="n"/>
      <c r="P164" s="343" t="n"/>
    </row>
    <row r="165" ht="21.75" customHeight="1" s="981">
      <c r="A165" s="344" t="n"/>
      <c r="B165" s="344" t="n"/>
      <c r="C165" s="12">
        <f>IFERROR(VLOOKUP(B165,'📈 Cổ Phiếu VN 🔍'!$A:$C,2,0),"")</f>
        <v/>
      </c>
      <c r="D165" s="344" t="n"/>
      <c r="E165" s="344" t="n"/>
      <c r="F165" s="344" t="n"/>
      <c r="G165" s="12">
        <f>IF(AND(E165&lt;&gt;"",F165&lt;&gt;""),E165*F165,"")</f>
        <v/>
      </c>
      <c r="H165" s="12">
        <f>IF(G165&lt;&gt;"",G165*0.0015,"")</f>
        <v/>
      </c>
      <c r="I165" s="12">
        <f>IF(AND(D165="BÁN",G165&lt;&gt;""),G165*0.001,0)</f>
        <v/>
      </c>
      <c r="J165" s="344" t="n"/>
      <c r="K165" s="12">
        <f>IF(D165="MUA",IFERROR((J165*F165+E165*F165)/(F165*2),E165),J165)</f>
        <v/>
      </c>
      <c r="L165" s="12">
        <f>IF(AND(D165="BÁN",E165&lt;&gt;"",F165&lt;&gt;"",J165&lt;&gt;""),ROUND((E165-J165)*F165-H165-I165,0),"")</f>
        <v/>
      </c>
      <c r="M165" s="12">
        <f>IF(AND(L165&lt;&gt;"",J165&gt;0),L165/(J165*F165),"")</f>
        <v/>
      </c>
      <c r="N165" s="345" t="n"/>
      <c r="O165" s="345" t="n"/>
      <c r="P165" s="345" t="n"/>
    </row>
    <row r="166" ht="21.75" customHeight="1" s="981">
      <c r="A166" s="342" t="n"/>
      <c r="B166" s="342" t="n"/>
      <c r="C166" s="12">
        <f>IFERROR(VLOOKUP(B166,'📈 Cổ Phiếu VN 🔍'!$A:$C,2,0),"")</f>
        <v/>
      </c>
      <c r="D166" s="342" t="n"/>
      <c r="E166" s="342" t="n"/>
      <c r="F166" s="342" t="n"/>
      <c r="G166" s="12">
        <f>IF(AND(E166&lt;&gt;"",F166&lt;&gt;""),E166*F166,"")</f>
        <v/>
      </c>
      <c r="H166" s="12">
        <f>IF(G166&lt;&gt;"",G166*0.0015,"")</f>
        <v/>
      </c>
      <c r="I166" s="12">
        <f>IF(AND(D166="BÁN",G166&lt;&gt;""),G166*0.001,0)</f>
        <v/>
      </c>
      <c r="J166" s="342" t="n"/>
      <c r="K166" s="12">
        <f>IF(D166="MUA",IFERROR((J166*F166+E166*F166)/(F166*2),E166),J166)</f>
        <v/>
      </c>
      <c r="L166" s="12">
        <f>IF(AND(D166="BÁN",E166&lt;&gt;"",F166&lt;&gt;"",J166&lt;&gt;""),ROUND((E166-J166)*F166-H166-I166,0),"")</f>
        <v/>
      </c>
      <c r="M166" s="12">
        <f>IF(AND(L166&lt;&gt;"",J166&gt;0),L166/(J166*F166),"")</f>
        <v/>
      </c>
      <c r="N166" s="343" t="n"/>
      <c r="O166" s="343" t="n"/>
      <c r="P166" s="343" t="n"/>
    </row>
    <row r="167" ht="21.75" customHeight="1" s="981">
      <c r="A167" s="344" t="n"/>
      <c r="B167" s="344" t="n"/>
      <c r="C167" s="12">
        <f>IFERROR(VLOOKUP(B167,'📈 Cổ Phiếu VN 🔍'!$A:$C,2,0),"")</f>
        <v/>
      </c>
      <c r="D167" s="344" t="n"/>
      <c r="E167" s="344" t="n"/>
      <c r="F167" s="344" t="n"/>
      <c r="G167" s="12">
        <f>IF(AND(E167&lt;&gt;"",F167&lt;&gt;""),E167*F167,"")</f>
        <v/>
      </c>
      <c r="H167" s="12">
        <f>IF(G167&lt;&gt;"",G167*0.0015,"")</f>
        <v/>
      </c>
      <c r="I167" s="12">
        <f>IF(AND(D167="BÁN",G167&lt;&gt;""),G167*0.001,0)</f>
        <v/>
      </c>
      <c r="J167" s="344" t="n"/>
      <c r="K167" s="12">
        <f>IF(D167="MUA",IFERROR((J167*F167+E167*F167)/(F167*2),E167),J167)</f>
        <v/>
      </c>
      <c r="L167" s="12">
        <f>IF(AND(D167="BÁN",E167&lt;&gt;"",F167&lt;&gt;"",J167&lt;&gt;""),ROUND((E167-J167)*F167-H167-I167,0),"")</f>
        <v/>
      </c>
      <c r="M167" s="12">
        <f>IF(AND(L167&lt;&gt;"",J167&gt;0),L167/(J167*F167),"")</f>
        <v/>
      </c>
      <c r="N167" s="345" t="n"/>
      <c r="O167" s="345" t="n"/>
      <c r="P167" s="345" t="n"/>
    </row>
    <row r="168" ht="21.75" customHeight="1" s="981">
      <c r="A168" s="342" t="n"/>
      <c r="B168" s="342" t="n"/>
      <c r="C168" s="12">
        <f>IFERROR(VLOOKUP(B168,'📈 Cổ Phiếu VN 🔍'!$A:$C,2,0),"")</f>
        <v/>
      </c>
      <c r="D168" s="342" t="n"/>
      <c r="E168" s="342" t="n"/>
      <c r="F168" s="342" t="n"/>
      <c r="G168" s="12">
        <f>IF(AND(E168&lt;&gt;"",F168&lt;&gt;""),E168*F168,"")</f>
        <v/>
      </c>
      <c r="H168" s="12">
        <f>IF(G168&lt;&gt;"",G168*0.0015,"")</f>
        <v/>
      </c>
      <c r="I168" s="12">
        <f>IF(AND(D168="BÁN",G168&lt;&gt;""),G168*0.001,0)</f>
        <v/>
      </c>
      <c r="J168" s="342" t="n"/>
      <c r="K168" s="12">
        <f>IF(D168="MUA",IFERROR((J168*F168+E168*F168)/(F168*2),E168),J168)</f>
        <v/>
      </c>
      <c r="L168" s="12">
        <f>IF(AND(D168="BÁN",E168&lt;&gt;"",F168&lt;&gt;"",J168&lt;&gt;""),ROUND((E168-J168)*F168-H168-I168,0),"")</f>
        <v/>
      </c>
      <c r="M168" s="12">
        <f>IF(AND(L168&lt;&gt;"",J168&gt;0),L168/(J168*F168),"")</f>
        <v/>
      </c>
      <c r="N168" s="343" t="n"/>
      <c r="O168" s="343" t="n"/>
      <c r="P168" s="343" t="n"/>
    </row>
    <row r="169" ht="21.75" customHeight="1" s="981">
      <c r="A169" s="344" t="n"/>
      <c r="B169" s="344" t="n"/>
      <c r="C169" s="12">
        <f>IFERROR(VLOOKUP(B169,'📈 Cổ Phiếu VN 🔍'!$A:$C,2,0),"")</f>
        <v/>
      </c>
      <c r="D169" s="344" t="n"/>
      <c r="E169" s="344" t="n"/>
      <c r="F169" s="344" t="n"/>
      <c r="G169" s="12">
        <f>IF(AND(E169&lt;&gt;"",F169&lt;&gt;""),E169*F169,"")</f>
        <v/>
      </c>
      <c r="H169" s="12">
        <f>IF(G169&lt;&gt;"",G169*0.0015,"")</f>
        <v/>
      </c>
      <c r="I169" s="12">
        <f>IF(AND(D169="BÁN",G169&lt;&gt;""),G169*0.001,0)</f>
        <v/>
      </c>
      <c r="J169" s="344" t="n"/>
      <c r="K169" s="12">
        <f>IF(D169="MUA",IFERROR((J169*F169+E169*F169)/(F169*2),E169),J169)</f>
        <v/>
      </c>
      <c r="L169" s="12">
        <f>IF(AND(D169="BÁN",E169&lt;&gt;"",F169&lt;&gt;"",J169&lt;&gt;""),ROUND((E169-J169)*F169-H169-I169,0),"")</f>
        <v/>
      </c>
      <c r="M169" s="12">
        <f>IF(AND(L169&lt;&gt;"",J169&gt;0),L169/(J169*F169),"")</f>
        <v/>
      </c>
      <c r="N169" s="345" t="n"/>
      <c r="O169" s="345" t="n"/>
      <c r="P169" s="345" t="n"/>
    </row>
    <row r="170" ht="21.75" customHeight="1" s="981">
      <c r="A170" s="342" t="n"/>
      <c r="B170" s="342" t="n"/>
      <c r="C170" s="12">
        <f>IFERROR(VLOOKUP(B170,'📈 Cổ Phiếu VN 🔍'!$A:$C,2,0),"")</f>
        <v/>
      </c>
      <c r="D170" s="342" t="n"/>
      <c r="E170" s="342" t="n"/>
      <c r="F170" s="342" t="n"/>
      <c r="G170" s="12">
        <f>IF(AND(E170&lt;&gt;"",F170&lt;&gt;""),E170*F170,"")</f>
        <v/>
      </c>
      <c r="H170" s="12">
        <f>IF(G170&lt;&gt;"",G170*0.0015,"")</f>
        <v/>
      </c>
      <c r="I170" s="12">
        <f>IF(AND(D170="BÁN",G170&lt;&gt;""),G170*0.001,0)</f>
        <v/>
      </c>
      <c r="J170" s="342" t="n"/>
      <c r="K170" s="12">
        <f>IF(D170="MUA",IFERROR((J170*F170+E170*F170)/(F170*2),E170),J170)</f>
        <v/>
      </c>
      <c r="L170" s="12">
        <f>IF(AND(D170="BÁN",E170&lt;&gt;"",F170&lt;&gt;"",J170&lt;&gt;""),ROUND((E170-J170)*F170-H170-I170,0),"")</f>
        <v/>
      </c>
      <c r="M170" s="12">
        <f>IF(AND(L170&lt;&gt;"",J170&gt;0),L170/(J170*F170),"")</f>
        <v/>
      </c>
      <c r="N170" s="343" t="n"/>
      <c r="O170" s="343" t="n"/>
      <c r="P170" s="343" t="n"/>
    </row>
    <row r="171" ht="21.75" customHeight="1" s="981">
      <c r="A171" s="344" t="n"/>
      <c r="B171" s="344" t="n"/>
      <c r="C171" s="12">
        <f>IFERROR(VLOOKUP(B171,'📈 Cổ Phiếu VN 🔍'!$A:$C,2,0),"")</f>
        <v/>
      </c>
      <c r="D171" s="344" t="n"/>
      <c r="E171" s="344" t="n"/>
      <c r="F171" s="344" t="n"/>
      <c r="G171" s="12">
        <f>IF(AND(E171&lt;&gt;"",F171&lt;&gt;""),E171*F171,"")</f>
        <v/>
      </c>
      <c r="H171" s="12">
        <f>IF(G171&lt;&gt;"",G171*0.0015,"")</f>
        <v/>
      </c>
      <c r="I171" s="12">
        <f>IF(AND(D171="BÁN",G171&lt;&gt;""),G171*0.001,0)</f>
        <v/>
      </c>
      <c r="J171" s="344" t="n"/>
      <c r="K171" s="12">
        <f>IF(D171="MUA",IFERROR((J171*F171+E171*F171)/(F171*2),E171),J171)</f>
        <v/>
      </c>
      <c r="L171" s="12">
        <f>IF(AND(D171="BÁN",E171&lt;&gt;"",F171&lt;&gt;"",J171&lt;&gt;""),ROUND((E171-J171)*F171-H171-I171,0),"")</f>
        <v/>
      </c>
      <c r="M171" s="12">
        <f>IF(AND(L171&lt;&gt;"",J171&gt;0),L171/(J171*F171),"")</f>
        <v/>
      </c>
      <c r="N171" s="345" t="n"/>
      <c r="O171" s="345" t="n"/>
      <c r="P171" s="345" t="n"/>
    </row>
    <row r="172" ht="21.75" customHeight="1" s="981">
      <c r="A172" s="342" t="n"/>
      <c r="B172" s="342" t="n"/>
      <c r="C172" s="12">
        <f>IFERROR(VLOOKUP(B172,'📈 Cổ Phiếu VN 🔍'!$A:$C,2,0),"")</f>
        <v/>
      </c>
      <c r="D172" s="342" t="n"/>
      <c r="E172" s="342" t="n"/>
      <c r="F172" s="342" t="n"/>
      <c r="G172" s="12">
        <f>IF(AND(E172&lt;&gt;"",F172&lt;&gt;""),E172*F172,"")</f>
        <v/>
      </c>
      <c r="H172" s="12">
        <f>IF(G172&lt;&gt;"",G172*0.0015,"")</f>
        <v/>
      </c>
      <c r="I172" s="12">
        <f>IF(AND(D172="BÁN",G172&lt;&gt;""),G172*0.001,0)</f>
        <v/>
      </c>
      <c r="J172" s="342" t="n"/>
      <c r="K172" s="12">
        <f>IF(D172="MUA",IFERROR((J172*F172+E172*F172)/(F172*2),E172),J172)</f>
        <v/>
      </c>
      <c r="L172" s="12">
        <f>IF(AND(D172="BÁN",E172&lt;&gt;"",F172&lt;&gt;"",J172&lt;&gt;""),ROUND((E172-J172)*F172-H172-I172,0),"")</f>
        <v/>
      </c>
      <c r="M172" s="12">
        <f>IF(AND(L172&lt;&gt;"",J172&gt;0),L172/(J172*F172),"")</f>
        <v/>
      </c>
      <c r="N172" s="343" t="n"/>
      <c r="O172" s="343" t="n"/>
      <c r="P172" s="343" t="n"/>
    </row>
    <row r="173" ht="21.75" customHeight="1" s="981">
      <c r="A173" s="344" t="n"/>
      <c r="B173" s="344" t="n"/>
      <c r="C173" s="12">
        <f>IFERROR(VLOOKUP(B173,'📈 Cổ Phiếu VN 🔍'!$A:$C,2,0),"")</f>
        <v/>
      </c>
      <c r="D173" s="344" t="n"/>
      <c r="E173" s="344" t="n"/>
      <c r="F173" s="344" t="n"/>
      <c r="G173" s="12">
        <f>IF(AND(E173&lt;&gt;"",F173&lt;&gt;""),E173*F173,"")</f>
        <v/>
      </c>
      <c r="H173" s="12">
        <f>IF(G173&lt;&gt;"",G173*0.0015,"")</f>
        <v/>
      </c>
      <c r="I173" s="12">
        <f>IF(AND(D173="BÁN",G173&lt;&gt;""),G173*0.001,0)</f>
        <v/>
      </c>
      <c r="J173" s="344" t="n"/>
      <c r="K173" s="12">
        <f>IF(D173="MUA",IFERROR((J173*F173+E173*F173)/(F173*2),E173),J173)</f>
        <v/>
      </c>
      <c r="L173" s="12">
        <f>IF(AND(D173="BÁN",E173&lt;&gt;"",F173&lt;&gt;"",J173&lt;&gt;""),ROUND((E173-J173)*F173-H173-I173,0),"")</f>
        <v/>
      </c>
      <c r="M173" s="12">
        <f>IF(AND(L173&lt;&gt;"",J173&gt;0),L173/(J173*F173),"")</f>
        <v/>
      </c>
      <c r="N173" s="345" t="n"/>
      <c r="O173" s="345" t="n"/>
      <c r="P173" s="345" t="n"/>
    </row>
    <row r="174" ht="21.75" customHeight="1" s="981">
      <c r="A174" s="342" t="n"/>
      <c r="B174" s="342" t="n"/>
      <c r="C174" s="12">
        <f>IFERROR(VLOOKUP(B174,'📈 Cổ Phiếu VN 🔍'!$A:$C,2,0),"")</f>
        <v/>
      </c>
      <c r="D174" s="342" t="n"/>
      <c r="E174" s="342" t="n"/>
      <c r="F174" s="342" t="n"/>
      <c r="G174" s="12">
        <f>IF(AND(E174&lt;&gt;"",F174&lt;&gt;""),E174*F174,"")</f>
        <v/>
      </c>
      <c r="H174" s="12">
        <f>IF(G174&lt;&gt;"",G174*0.0015,"")</f>
        <v/>
      </c>
      <c r="I174" s="12">
        <f>IF(AND(D174="BÁN",G174&lt;&gt;""),G174*0.001,0)</f>
        <v/>
      </c>
      <c r="J174" s="342" t="n"/>
      <c r="K174" s="12">
        <f>IF(D174="MUA",IFERROR((J174*F174+E174*F174)/(F174*2),E174),J174)</f>
        <v/>
      </c>
      <c r="L174" s="12">
        <f>IF(AND(D174="BÁN",E174&lt;&gt;"",F174&lt;&gt;"",J174&lt;&gt;""),ROUND((E174-J174)*F174-H174-I174,0),"")</f>
        <v/>
      </c>
      <c r="M174" s="12">
        <f>IF(AND(L174&lt;&gt;"",J174&gt;0),L174/(J174*F174),"")</f>
        <v/>
      </c>
      <c r="N174" s="343" t="n"/>
      <c r="O174" s="343" t="n"/>
      <c r="P174" s="343" t="n"/>
    </row>
    <row r="175" ht="21.75" customHeight="1" s="981">
      <c r="A175" s="344" t="n"/>
      <c r="B175" s="344" t="n"/>
      <c r="C175" s="12">
        <f>IFERROR(VLOOKUP(B175,'📈 Cổ Phiếu VN 🔍'!$A:$C,2,0),"")</f>
        <v/>
      </c>
      <c r="D175" s="344" t="n"/>
      <c r="E175" s="344" t="n"/>
      <c r="F175" s="344" t="n"/>
      <c r="G175" s="12">
        <f>IF(AND(E175&lt;&gt;"",F175&lt;&gt;""),E175*F175,"")</f>
        <v/>
      </c>
      <c r="H175" s="12">
        <f>IF(G175&lt;&gt;"",G175*0.0015,"")</f>
        <v/>
      </c>
      <c r="I175" s="12">
        <f>IF(AND(D175="BÁN",G175&lt;&gt;""),G175*0.001,0)</f>
        <v/>
      </c>
      <c r="J175" s="344" t="n"/>
      <c r="K175" s="12">
        <f>IF(D175="MUA",IFERROR((J175*F175+E175*F175)/(F175*2),E175),J175)</f>
        <v/>
      </c>
      <c r="L175" s="12">
        <f>IF(AND(D175="BÁN",E175&lt;&gt;"",F175&lt;&gt;"",J175&lt;&gt;""),ROUND((E175-J175)*F175-H175-I175,0),"")</f>
        <v/>
      </c>
      <c r="M175" s="12">
        <f>IF(AND(L175&lt;&gt;"",J175&gt;0),L175/(J175*F175),"")</f>
        <v/>
      </c>
      <c r="N175" s="345" t="n"/>
      <c r="O175" s="345" t="n"/>
      <c r="P175" s="345" t="n"/>
    </row>
    <row r="176" ht="21.75" customHeight="1" s="981">
      <c r="A176" s="342" t="n"/>
      <c r="B176" s="342" t="n"/>
      <c r="C176" s="12">
        <f>IFERROR(VLOOKUP(B176,'📈 Cổ Phiếu VN 🔍'!$A:$C,2,0),"")</f>
        <v/>
      </c>
      <c r="D176" s="342" t="n"/>
      <c r="E176" s="342" t="n"/>
      <c r="F176" s="342" t="n"/>
      <c r="G176" s="12">
        <f>IF(AND(E176&lt;&gt;"",F176&lt;&gt;""),E176*F176,"")</f>
        <v/>
      </c>
      <c r="H176" s="12">
        <f>IF(G176&lt;&gt;"",G176*0.0015,"")</f>
        <v/>
      </c>
      <c r="I176" s="12">
        <f>IF(AND(D176="BÁN",G176&lt;&gt;""),G176*0.001,0)</f>
        <v/>
      </c>
      <c r="J176" s="342" t="n"/>
      <c r="K176" s="12">
        <f>IF(D176="MUA",IFERROR((J176*F176+E176*F176)/(F176*2),E176),J176)</f>
        <v/>
      </c>
      <c r="L176" s="12">
        <f>IF(AND(D176="BÁN",E176&lt;&gt;"",F176&lt;&gt;"",J176&lt;&gt;""),ROUND((E176-J176)*F176-H176-I176,0),"")</f>
        <v/>
      </c>
      <c r="M176" s="12">
        <f>IF(AND(L176&lt;&gt;"",J176&gt;0),L176/(J176*F176),"")</f>
        <v/>
      </c>
      <c r="N176" s="343" t="n"/>
      <c r="O176" s="343" t="n"/>
      <c r="P176" s="343" t="n"/>
    </row>
    <row r="177" ht="21.75" customHeight="1" s="981">
      <c r="A177" s="344" t="n"/>
      <c r="B177" s="344" t="n"/>
      <c r="C177" s="12">
        <f>IFERROR(VLOOKUP(B177,'📈 Cổ Phiếu VN 🔍'!$A:$C,2,0),"")</f>
        <v/>
      </c>
      <c r="D177" s="344" t="n"/>
      <c r="E177" s="344" t="n"/>
      <c r="F177" s="344" t="n"/>
      <c r="G177" s="12">
        <f>IF(AND(E177&lt;&gt;"",F177&lt;&gt;""),E177*F177,"")</f>
        <v/>
      </c>
      <c r="H177" s="12">
        <f>IF(G177&lt;&gt;"",G177*0.0015,"")</f>
        <v/>
      </c>
      <c r="I177" s="12">
        <f>IF(AND(D177="BÁN",G177&lt;&gt;""),G177*0.001,0)</f>
        <v/>
      </c>
      <c r="J177" s="344" t="n"/>
      <c r="K177" s="12">
        <f>IF(D177="MUA",IFERROR((J177*F177+E177*F177)/(F177*2),E177),J177)</f>
        <v/>
      </c>
      <c r="L177" s="12">
        <f>IF(AND(D177="BÁN",E177&lt;&gt;"",F177&lt;&gt;"",J177&lt;&gt;""),ROUND((E177-J177)*F177-H177-I177,0),"")</f>
        <v/>
      </c>
      <c r="M177" s="12">
        <f>IF(AND(L177&lt;&gt;"",J177&gt;0),L177/(J177*F177),"")</f>
        <v/>
      </c>
      <c r="N177" s="345" t="n"/>
      <c r="O177" s="345" t="n"/>
      <c r="P177" s="345" t="n"/>
    </row>
    <row r="178" ht="21.75" customHeight="1" s="981">
      <c r="A178" s="342" t="n"/>
      <c r="B178" s="342" t="n"/>
      <c r="C178" s="12">
        <f>IFERROR(VLOOKUP(B178,'📈 Cổ Phiếu VN 🔍'!$A:$C,2,0),"")</f>
        <v/>
      </c>
      <c r="D178" s="342" t="n"/>
      <c r="E178" s="342" t="n"/>
      <c r="F178" s="342" t="n"/>
      <c r="G178" s="12">
        <f>IF(AND(E178&lt;&gt;"",F178&lt;&gt;""),E178*F178,"")</f>
        <v/>
      </c>
      <c r="H178" s="12">
        <f>IF(G178&lt;&gt;"",G178*0.0015,"")</f>
        <v/>
      </c>
      <c r="I178" s="12">
        <f>IF(AND(D178="BÁN",G178&lt;&gt;""),G178*0.001,0)</f>
        <v/>
      </c>
      <c r="J178" s="342" t="n"/>
      <c r="K178" s="12">
        <f>IF(D178="MUA",IFERROR((J178*F178+E178*F178)/(F178*2),E178),J178)</f>
        <v/>
      </c>
      <c r="L178" s="12">
        <f>IF(AND(D178="BÁN",E178&lt;&gt;"",F178&lt;&gt;"",J178&lt;&gt;""),ROUND((E178-J178)*F178-H178-I178,0),"")</f>
        <v/>
      </c>
      <c r="M178" s="12">
        <f>IF(AND(L178&lt;&gt;"",J178&gt;0),L178/(J178*F178),"")</f>
        <v/>
      </c>
      <c r="N178" s="343" t="n"/>
      <c r="O178" s="343" t="n"/>
      <c r="P178" s="343" t="n"/>
    </row>
    <row r="179" ht="21.75" customHeight="1" s="981">
      <c r="A179" s="344" t="n"/>
      <c r="B179" s="344" t="n"/>
      <c r="C179" s="12">
        <f>IFERROR(VLOOKUP(B179,'📈 Cổ Phiếu VN 🔍'!$A:$C,2,0),"")</f>
        <v/>
      </c>
      <c r="D179" s="344" t="n"/>
      <c r="E179" s="344" t="n"/>
      <c r="F179" s="344" t="n"/>
      <c r="G179" s="12">
        <f>IF(AND(E179&lt;&gt;"",F179&lt;&gt;""),E179*F179,"")</f>
        <v/>
      </c>
      <c r="H179" s="12">
        <f>IF(G179&lt;&gt;"",G179*0.0015,"")</f>
        <v/>
      </c>
      <c r="I179" s="12">
        <f>IF(AND(D179="BÁN",G179&lt;&gt;""),G179*0.001,0)</f>
        <v/>
      </c>
      <c r="J179" s="344" t="n"/>
      <c r="K179" s="12">
        <f>IF(D179="MUA",IFERROR((J179*F179+E179*F179)/(F179*2),E179),J179)</f>
        <v/>
      </c>
      <c r="L179" s="12">
        <f>IF(AND(D179="BÁN",E179&lt;&gt;"",F179&lt;&gt;"",J179&lt;&gt;""),ROUND((E179-J179)*F179-H179-I179,0),"")</f>
        <v/>
      </c>
      <c r="M179" s="12">
        <f>IF(AND(L179&lt;&gt;"",J179&gt;0),L179/(J179*F179),"")</f>
        <v/>
      </c>
      <c r="N179" s="345" t="n"/>
      <c r="O179" s="345" t="n"/>
      <c r="P179" s="345" t="n"/>
    </row>
    <row r="180" ht="21.75" customHeight="1" s="981">
      <c r="A180" s="342" t="n"/>
      <c r="B180" s="342" t="n"/>
      <c r="C180" s="12">
        <f>IFERROR(VLOOKUP(B180,'📈 Cổ Phiếu VN 🔍'!$A:$C,2,0),"")</f>
        <v/>
      </c>
      <c r="D180" s="342" t="n"/>
      <c r="E180" s="342" t="n"/>
      <c r="F180" s="342" t="n"/>
      <c r="G180" s="12">
        <f>IF(AND(E180&lt;&gt;"",F180&lt;&gt;""),E180*F180,"")</f>
        <v/>
      </c>
      <c r="H180" s="12">
        <f>IF(G180&lt;&gt;"",G180*0.0015,"")</f>
        <v/>
      </c>
      <c r="I180" s="12">
        <f>IF(AND(D180="BÁN",G180&lt;&gt;""),G180*0.001,0)</f>
        <v/>
      </c>
      <c r="J180" s="342" t="n"/>
      <c r="K180" s="12">
        <f>IF(D180="MUA",IFERROR((J180*F180+E180*F180)/(F180*2),E180),J180)</f>
        <v/>
      </c>
      <c r="L180" s="12">
        <f>IF(AND(D180="BÁN",E180&lt;&gt;"",F180&lt;&gt;"",J180&lt;&gt;""),ROUND((E180-J180)*F180-H180-I180,0),"")</f>
        <v/>
      </c>
      <c r="M180" s="12">
        <f>IF(AND(L180&lt;&gt;"",J180&gt;0),L180/(J180*F180),"")</f>
        <v/>
      </c>
      <c r="N180" s="343" t="n"/>
      <c r="O180" s="343" t="n"/>
      <c r="P180" s="343" t="n"/>
    </row>
    <row r="181" ht="21.75" customHeight="1" s="981">
      <c r="A181" s="344" t="n"/>
      <c r="B181" s="344" t="n"/>
      <c r="C181" s="12">
        <f>IFERROR(VLOOKUP(B181,'📈 Cổ Phiếu VN 🔍'!$A:$C,2,0),"")</f>
        <v/>
      </c>
      <c r="D181" s="344" t="n"/>
      <c r="E181" s="344" t="n"/>
      <c r="F181" s="344" t="n"/>
      <c r="G181" s="12">
        <f>IF(AND(E181&lt;&gt;"",F181&lt;&gt;""),E181*F181,"")</f>
        <v/>
      </c>
      <c r="H181" s="12">
        <f>IF(G181&lt;&gt;"",G181*0.0015,"")</f>
        <v/>
      </c>
      <c r="I181" s="12">
        <f>IF(AND(D181="BÁN",G181&lt;&gt;""),G181*0.001,0)</f>
        <v/>
      </c>
      <c r="J181" s="344" t="n"/>
      <c r="K181" s="12">
        <f>IF(D181="MUA",IFERROR((J181*F181+E181*F181)/(F181*2),E181),J181)</f>
        <v/>
      </c>
      <c r="L181" s="12">
        <f>IF(AND(D181="BÁN",E181&lt;&gt;"",F181&lt;&gt;"",J181&lt;&gt;""),ROUND((E181-J181)*F181-H181-I181,0),"")</f>
        <v/>
      </c>
      <c r="M181" s="12">
        <f>IF(AND(L181&lt;&gt;"",J181&gt;0),L181/(J181*F181),"")</f>
        <v/>
      </c>
      <c r="N181" s="345" t="n"/>
      <c r="O181" s="345" t="n"/>
      <c r="P181" s="345" t="n"/>
    </row>
    <row r="182" ht="21.75" customHeight="1" s="981">
      <c r="A182" s="342" t="n"/>
      <c r="B182" s="342" t="n"/>
      <c r="C182" s="12">
        <f>IFERROR(VLOOKUP(B182,'📈 Cổ Phiếu VN 🔍'!$A:$C,2,0),"")</f>
        <v/>
      </c>
      <c r="D182" s="342" t="n"/>
      <c r="E182" s="342" t="n"/>
      <c r="F182" s="342" t="n"/>
      <c r="G182" s="12">
        <f>IF(AND(E182&lt;&gt;"",F182&lt;&gt;""),E182*F182,"")</f>
        <v/>
      </c>
      <c r="H182" s="12">
        <f>IF(G182&lt;&gt;"",G182*0.0015,"")</f>
        <v/>
      </c>
      <c r="I182" s="12">
        <f>IF(AND(D182="BÁN",G182&lt;&gt;""),G182*0.001,0)</f>
        <v/>
      </c>
      <c r="J182" s="342" t="n"/>
      <c r="K182" s="12">
        <f>IF(D182="MUA",IFERROR((J182*F182+E182*F182)/(F182*2),E182),J182)</f>
        <v/>
      </c>
      <c r="L182" s="12">
        <f>IF(AND(D182="BÁN",E182&lt;&gt;"",F182&lt;&gt;"",J182&lt;&gt;""),ROUND((E182-J182)*F182-H182-I182,0),"")</f>
        <v/>
      </c>
      <c r="M182" s="12">
        <f>IF(AND(L182&lt;&gt;"",J182&gt;0),L182/(J182*F182),"")</f>
        <v/>
      </c>
      <c r="N182" s="343" t="n"/>
      <c r="O182" s="343" t="n"/>
      <c r="P182" s="343" t="n"/>
    </row>
    <row r="183" ht="21.75" customHeight="1" s="981">
      <c r="A183" s="344" t="n"/>
      <c r="B183" s="344" t="n"/>
      <c r="C183" s="12">
        <f>IFERROR(VLOOKUP(B183,'📈 Cổ Phiếu VN 🔍'!$A:$C,2,0),"")</f>
        <v/>
      </c>
      <c r="D183" s="344" t="n"/>
      <c r="E183" s="344" t="n"/>
      <c r="F183" s="344" t="n"/>
      <c r="G183" s="12">
        <f>IF(AND(E183&lt;&gt;"",F183&lt;&gt;""),E183*F183,"")</f>
        <v/>
      </c>
      <c r="H183" s="12">
        <f>IF(G183&lt;&gt;"",G183*0.0015,"")</f>
        <v/>
      </c>
      <c r="I183" s="12">
        <f>IF(AND(D183="BÁN",G183&lt;&gt;""),G183*0.001,0)</f>
        <v/>
      </c>
      <c r="J183" s="344" t="n"/>
      <c r="K183" s="12">
        <f>IF(D183="MUA",IFERROR((J183*F183+E183*F183)/(F183*2),E183),J183)</f>
        <v/>
      </c>
      <c r="L183" s="12">
        <f>IF(AND(D183="BÁN",E183&lt;&gt;"",F183&lt;&gt;"",J183&lt;&gt;""),ROUND((E183-J183)*F183-H183-I183,0),"")</f>
        <v/>
      </c>
      <c r="M183" s="12">
        <f>IF(AND(L183&lt;&gt;"",J183&gt;0),L183/(J183*F183),"")</f>
        <v/>
      </c>
      <c r="N183" s="345" t="n"/>
      <c r="O183" s="345" t="n"/>
      <c r="P183" s="345" t="n"/>
    </row>
    <row r="184" ht="21.75" customHeight="1" s="981">
      <c r="A184" s="342" t="n"/>
      <c r="B184" s="342" t="n"/>
      <c r="C184" s="12">
        <f>IFERROR(VLOOKUP(B184,'📈 Cổ Phiếu VN 🔍'!$A:$C,2,0),"")</f>
        <v/>
      </c>
      <c r="D184" s="342" t="n"/>
      <c r="E184" s="342" t="n"/>
      <c r="F184" s="342" t="n"/>
      <c r="G184" s="12">
        <f>IF(AND(E184&lt;&gt;"",F184&lt;&gt;""),E184*F184,"")</f>
        <v/>
      </c>
      <c r="H184" s="12">
        <f>IF(G184&lt;&gt;"",G184*0.0015,"")</f>
        <v/>
      </c>
      <c r="I184" s="12">
        <f>IF(AND(D184="BÁN",G184&lt;&gt;""),G184*0.001,0)</f>
        <v/>
      </c>
      <c r="J184" s="342" t="n"/>
      <c r="K184" s="12">
        <f>IF(D184="MUA",IFERROR((J184*F184+E184*F184)/(F184*2),E184),J184)</f>
        <v/>
      </c>
      <c r="L184" s="12">
        <f>IF(AND(D184="BÁN",E184&lt;&gt;"",F184&lt;&gt;"",J184&lt;&gt;""),ROUND((E184-J184)*F184-H184-I184,0),"")</f>
        <v/>
      </c>
      <c r="M184" s="12">
        <f>IF(AND(L184&lt;&gt;"",J184&gt;0),L184/(J184*F184),"")</f>
        <v/>
      </c>
      <c r="N184" s="343" t="n"/>
      <c r="O184" s="343" t="n"/>
      <c r="P184" s="343" t="n"/>
    </row>
    <row r="185" ht="21.75" customHeight="1" s="981">
      <c r="A185" s="344" t="n"/>
      <c r="B185" s="344" t="n"/>
      <c r="C185" s="12">
        <f>IFERROR(VLOOKUP(B185,'📈 Cổ Phiếu VN 🔍'!$A:$C,2,0),"")</f>
        <v/>
      </c>
      <c r="D185" s="344" t="n"/>
      <c r="E185" s="344" t="n"/>
      <c r="F185" s="344" t="n"/>
      <c r="G185" s="12">
        <f>IF(AND(E185&lt;&gt;"",F185&lt;&gt;""),E185*F185,"")</f>
        <v/>
      </c>
      <c r="H185" s="12">
        <f>IF(G185&lt;&gt;"",G185*0.0015,"")</f>
        <v/>
      </c>
      <c r="I185" s="12">
        <f>IF(AND(D185="BÁN",G185&lt;&gt;""),G185*0.001,0)</f>
        <v/>
      </c>
      <c r="J185" s="344" t="n"/>
      <c r="K185" s="12">
        <f>IF(D185="MUA",IFERROR((J185*F185+E185*F185)/(F185*2),E185),J185)</f>
        <v/>
      </c>
      <c r="L185" s="12">
        <f>IF(AND(D185="BÁN",E185&lt;&gt;"",F185&lt;&gt;"",J185&lt;&gt;""),ROUND((E185-J185)*F185-H185-I185,0),"")</f>
        <v/>
      </c>
      <c r="M185" s="12">
        <f>IF(AND(L185&lt;&gt;"",J185&gt;0),L185/(J185*F185),"")</f>
        <v/>
      </c>
      <c r="N185" s="345" t="n"/>
      <c r="O185" s="345" t="n"/>
      <c r="P185" s="345" t="n"/>
    </row>
    <row r="186" ht="21.75" customHeight="1" s="981">
      <c r="A186" s="342" t="n"/>
      <c r="B186" s="342" t="n"/>
      <c r="C186" s="12">
        <f>IFERROR(VLOOKUP(B186,'📈 Cổ Phiếu VN 🔍'!$A:$C,2,0),"")</f>
        <v/>
      </c>
      <c r="D186" s="342" t="n"/>
      <c r="E186" s="342" t="n"/>
      <c r="F186" s="342" t="n"/>
      <c r="G186" s="12">
        <f>IF(AND(E186&lt;&gt;"",F186&lt;&gt;""),E186*F186,"")</f>
        <v/>
      </c>
      <c r="H186" s="12">
        <f>IF(G186&lt;&gt;"",G186*0.0015,"")</f>
        <v/>
      </c>
      <c r="I186" s="12">
        <f>IF(AND(D186="BÁN",G186&lt;&gt;""),G186*0.001,0)</f>
        <v/>
      </c>
      <c r="J186" s="342" t="n"/>
      <c r="K186" s="12">
        <f>IF(D186="MUA",IFERROR((J186*F186+E186*F186)/(F186*2),E186),J186)</f>
        <v/>
      </c>
      <c r="L186" s="12">
        <f>IF(AND(D186="BÁN",E186&lt;&gt;"",F186&lt;&gt;"",J186&lt;&gt;""),ROUND((E186-J186)*F186-H186-I186,0),"")</f>
        <v/>
      </c>
      <c r="M186" s="12">
        <f>IF(AND(L186&lt;&gt;"",J186&gt;0),L186/(J186*F186),"")</f>
        <v/>
      </c>
      <c r="N186" s="343" t="n"/>
      <c r="O186" s="343" t="n"/>
      <c r="P186" s="343" t="n"/>
    </row>
    <row r="187" ht="21.75" customHeight="1" s="981">
      <c r="A187" s="344" t="n"/>
      <c r="B187" s="344" t="n"/>
      <c r="C187" s="12">
        <f>IFERROR(VLOOKUP(B187,'📈 Cổ Phiếu VN 🔍'!$A:$C,2,0),"")</f>
        <v/>
      </c>
      <c r="D187" s="344" t="n"/>
      <c r="E187" s="344" t="n"/>
      <c r="F187" s="344" t="n"/>
      <c r="G187" s="12">
        <f>IF(AND(E187&lt;&gt;"",F187&lt;&gt;""),E187*F187,"")</f>
        <v/>
      </c>
      <c r="H187" s="12">
        <f>IF(G187&lt;&gt;"",G187*0.0015,"")</f>
        <v/>
      </c>
      <c r="I187" s="12">
        <f>IF(AND(D187="BÁN",G187&lt;&gt;""),G187*0.001,0)</f>
        <v/>
      </c>
      <c r="J187" s="344" t="n"/>
      <c r="K187" s="12">
        <f>IF(D187="MUA",IFERROR((J187*F187+E187*F187)/(F187*2),E187),J187)</f>
        <v/>
      </c>
      <c r="L187" s="12">
        <f>IF(AND(D187="BÁN",E187&lt;&gt;"",F187&lt;&gt;"",J187&lt;&gt;""),ROUND((E187-J187)*F187-H187-I187,0),"")</f>
        <v/>
      </c>
      <c r="M187" s="12">
        <f>IF(AND(L187&lt;&gt;"",J187&gt;0),L187/(J187*F187),"")</f>
        <v/>
      </c>
      <c r="N187" s="345" t="n"/>
      <c r="O187" s="345" t="n"/>
      <c r="P187" s="345" t="n"/>
    </row>
    <row r="188" ht="21.75" customHeight="1" s="981">
      <c r="A188" s="342" t="n"/>
      <c r="B188" s="342" t="n"/>
      <c r="C188" s="12">
        <f>IFERROR(VLOOKUP(B188,'📈 Cổ Phiếu VN 🔍'!$A:$C,2,0),"")</f>
        <v/>
      </c>
      <c r="D188" s="342" t="n"/>
      <c r="E188" s="342" t="n"/>
      <c r="F188" s="342" t="n"/>
      <c r="G188" s="12">
        <f>IF(AND(E188&lt;&gt;"",F188&lt;&gt;""),E188*F188,"")</f>
        <v/>
      </c>
      <c r="H188" s="12">
        <f>IF(G188&lt;&gt;"",G188*0.0015,"")</f>
        <v/>
      </c>
      <c r="I188" s="12">
        <f>IF(AND(D188="BÁN",G188&lt;&gt;""),G188*0.001,0)</f>
        <v/>
      </c>
      <c r="J188" s="342" t="n"/>
      <c r="K188" s="12">
        <f>IF(D188="MUA",IFERROR((J188*F188+E188*F188)/(F188*2),E188),J188)</f>
        <v/>
      </c>
      <c r="L188" s="12">
        <f>IF(AND(D188="BÁN",E188&lt;&gt;"",F188&lt;&gt;"",J188&lt;&gt;""),ROUND((E188-J188)*F188-H188-I188,0),"")</f>
        <v/>
      </c>
      <c r="M188" s="12">
        <f>IF(AND(L188&lt;&gt;"",J188&gt;0),L188/(J188*F188),"")</f>
        <v/>
      </c>
      <c r="N188" s="343" t="n"/>
      <c r="O188" s="343" t="n"/>
      <c r="P188" s="343" t="n"/>
    </row>
    <row r="189" ht="21.75" customHeight="1" s="981">
      <c r="A189" s="344" t="n"/>
      <c r="B189" s="344" t="n"/>
      <c r="C189" s="12">
        <f>IFERROR(VLOOKUP(B189,'📈 Cổ Phiếu VN 🔍'!$A:$C,2,0),"")</f>
        <v/>
      </c>
      <c r="D189" s="344" t="n"/>
      <c r="E189" s="344" t="n"/>
      <c r="F189" s="344" t="n"/>
      <c r="G189" s="12">
        <f>IF(AND(E189&lt;&gt;"",F189&lt;&gt;""),E189*F189,"")</f>
        <v/>
      </c>
      <c r="H189" s="12">
        <f>IF(G189&lt;&gt;"",G189*0.0015,"")</f>
        <v/>
      </c>
      <c r="I189" s="12">
        <f>IF(AND(D189="BÁN",G189&lt;&gt;""),G189*0.001,0)</f>
        <v/>
      </c>
      <c r="J189" s="344" t="n"/>
      <c r="K189" s="12">
        <f>IF(D189="MUA",IFERROR((J189*F189+E189*F189)/(F189*2),E189),J189)</f>
        <v/>
      </c>
      <c r="L189" s="12">
        <f>IF(AND(D189="BÁN",E189&lt;&gt;"",F189&lt;&gt;"",J189&lt;&gt;""),ROUND((E189-J189)*F189-H189-I189,0),"")</f>
        <v/>
      </c>
      <c r="M189" s="12">
        <f>IF(AND(L189&lt;&gt;"",J189&gt;0),L189/(J189*F189),"")</f>
        <v/>
      </c>
      <c r="N189" s="345" t="n"/>
      <c r="O189" s="345" t="n"/>
      <c r="P189" s="345" t="n"/>
    </row>
    <row r="190" ht="21.75" customHeight="1" s="981">
      <c r="A190" s="342" t="n"/>
      <c r="B190" s="342" t="n"/>
      <c r="C190" s="12">
        <f>IFERROR(VLOOKUP(B190,'📈 Cổ Phiếu VN 🔍'!$A:$C,2,0),"")</f>
        <v/>
      </c>
      <c r="D190" s="342" t="n"/>
      <c r="E190" s="342" t="n"/>
      <c r="F190" s="342" t="n"/>
      <c r="G190" s="12">
        <f>IF(AND(E190&lt;&gt;"",F190&lt;&gt;""),E190*F190,"")</f>
        <v/>
      </c>
      <c r="H190" s="12">
        <f>IF(G190&lt;&gt;"",G190*0.0015,"")</f>
        <v/>
      </c>
      <c r="I190" s="12">
        <f>IF(AND(D190="BÁN",G190&lt;&gt;""),G190*0.001,0)</f>
        <v/>
      </c>
      <c r="J190" s="342" t="n"/>
      <c r="K190" s="12">
        <f>IF(D190="MUA",IFERROR((J190*F190+E190*F190)/(F190*2),E190),J190)</f>
        <v/>
      </c>
      <c r="L190" s="12">
        <f>IF(AND(D190="BÁN",E190&lt;&gt;"",F190&lt;&gt;"",J190&lt;&gt;""),ROUND((E190-J190)*F190-H190-I190,0),"")</f>
        <v/>
      </c>
      <c r="M190" s="12">
        <f>IF(AND(L190&lt;&gt;"",J190&gt;0),L190/(J190*F190),"")</f>
        <v/>
      </c>
      <c r="N190" s="343" t="n"/>
      <c r="O190" s="343" t="n"/>
      <c r="P190" s="343" t="n"/>
    </row>
    <row r="191" ht="21.75" customHeight="1" s="981">
      <c r="A191" s="344" t="n"/>
      <c r="B191" s="344" t="n"/>
      <c r="C191" s="12">
        <f>IFERROR(VLOOKUP(B191,'📈 Cổ Phiếu VN 🔍'!$A:$C,2,0),"")</f>
        <v/>
      </c>
      <c r="D191" s="344" t="n"/>
      <c r="E191" s="344" t="n"/>
      <c r="F191" s="344" t="n"/>
      <c r="G191" s="12">
        <f>IF(AND(E191&lt;&gt;"",F191&lt;&gt;""),E191*F191,"")</f>
        <v/>
      </c>
      <c r="H191" s="12">
        <f>IF(G191&lt;&gt;"",G191*0.0015,"")</f>
        <v/>
      </c>
      <c r="I191" s="12">
        <f>IF(AND(D191="BÁN",G191&lt;&gt;""),G191*0.001,0)</f>
        <v/>
      </c>
      <c r="J191" s="344" t="n"/>
      <c r="K191" s="12">
        <f>IF(D191="MUA",IFERROR((J191*F191+E191*F191)/(F191*2),E191),J191)</f>
        <v/>
      </c>
      <c r="L191" s="12">
        <f>IF(AND(D191="BÁN",E191&lt;&gt;"",F191&lt;&gt;"",J191&lt;&gt;""),ROUND((E191-J191)*F191-H191-I191,0),"")</f>
        <v/>
      </c>
      <c r="M191" s="12">
        <f>IF(AND(L191&lt;&gt;"",J191&gt;0),L191/(J191*F191),"")</f>
        <v/>
      </c>
      <c r="N191" s="345" t="n"/>
      <c r="O191" s="345" t="n"/>
      <c r="P191" s="345" t="n"/>
    </row>
    <row r="192" ht="21.75" customHeight="1" s="981">
      <c r="A192" s="342" t="n"/>
      <c r="B192" s="342" t="n"/>
      <c r="C192" s="12">
        <f>IFERROR(VLOOKUP(B192,'📈 Cổ Phiếu VN 🔍'!$A:$C,2,0),"")</f>
        <v/>
      </c>
      <c r="D192" s="342" t="n"/>
      <c r="E192" s="342" t="n"/>
      <c r="F192" s="342" t="n"/>
      <c r="G192" s="12">
        <f>IF(AND(E192&lt;&gt;"",F192&lt;&gt;""),E192*F192,"")</f>
        <v/>
      </c>
      <c r="H192" s="12">
        <f>IF(G192&lt;&gt;"",G192*0.0015,"")</f>
        <v/>
      </c>
      <c r="I192" s="12">
        <f>IF(AND(D192="BÁN",G192&lt;&gt;""),G192*0.001,0)</f>
        <v/>
      </c>
      <c r="J192" s="342" t="n"/>
      <c r="K192" s="12">
        <f>IF(D192="MUA",IFERROR((J192*F192+E192*F192)/(F192*2),E192),J192)</f>
        <v/>
      </c>
      <c r="L192" s="12">
        <f>IF(AND(D192="BÁN",E192&lt;&gt;"",F192&lt;&gt;"",J192&lt;&gt;""),ROUND((E192-J192)*F192-H192-I192,0),"")</f>
        <v/>
      </c>
      <c r="M192" s="12">
        <f>IF(AND(L192&lt;&gt;"",J192&gt;0),L192/(J192*F192),"")</f>
        <v/>
      </c>
      <c r="N192" s="343" t="n"/>
      <c r="O192" s="343" t="n"/>
      <c r="P192" s="343" t="n"/>
    </row>
    <row r="193" ht="21.75" customHeight="1" s="981">
      <c r="A193" s="344" t="n"/>
      <c r="B193" s="344" t="n"/>
      <c r="C193" s="12">
        <f>IFERROR(VLOOKUP(B193,'📈 Cổ Phiếu VN 🔍'!$A:$C,2,0),"")</f>
        <v/>
      </c>
      <c r="D193" s="344" t="n"/>
      <c r="E193" s="344" t="n"/>
      <c r="F193" s="344" t="n"/>
      <c r="G193" s="12">
        <f>IF(AND(E193&lt;&gt;"",F193&lt;&gt;""),E193*F193,"")</f>
        <v/>
      </c>
      <c r="H193" s="12">
        <f>IF(G193&lt;&gt;"",G193*0.0015,"")</f>
        <v/>
      </c>
      <c r="I193" s="12">
        <f>IF(AND(D193="BÁN",G193&lt;&gt;""),G193*0.001,0)</f>
        <v/>
      </c>
      <c r="J193" s="344" t="n"/>
      <c r="K193" s="12">
        <f>IF(D193="MUA",IFERROR((J193*F193+E193*F193)/(F193*2),E193),J193)</f>
        <v/>
      </c>
      <c r="L193" s="12">
        <f>IF(AND(D193="BÁN",E193&lt;&gt;"",F193&lt;&gt;"",J193&lt;&gt;""),ROUND((E193-J193)*F193-H193-I193,0),"")</f>
        <v/>
      </c>
      <c r="M193" s="12">
        <f>IF(AND(L193&lt;&gt;"",J193&gt;0),L193/(J193*F193),"")</f>
        <v/>
      </c>
      <c r="N193" s="345" t="n"/>
      <c r="O193" s="345" t="n"/>
      <c r="P193" s="345" t="n"/>
    </row>
    <row r="194" ht="21.75" customHeight="1" s="981">
      <c r="A194" s="342" t="n"/>
      <c r="B194" s="342" t="n"/>
      <c r="C194" s="12">
        <f>IFERROR(VLOOKUP(B194,'📈 Cổ Phiếu VN 🔍'!$A:$C,2,0),"")</f>
        <v/>
      </c>
      <c r="D194" s="342" t="n"/>
      <c r="E194" s="342" t="n"/>
      <c r="F194" s="342" t="n"/>
      <c r="G194" s="12">
        <f>IF(AND(E194&lt;&gt;"",F194&lt;&gt;""),E194*F194,"")</f>
        <v/>
      </c>
      <c r="H194" s="12">
        <f>IF(G194&lt;&gt;"",G194*0.0015,"")</f>
        <v/>
      </c>
      <c r="I194" s="12">
        <f>IF(AND(D194="BÁN",G194&lt;&gt;""),G194*0.001,0)</f>
        <v/>
      </c>
      <c r="J194" s="342" t="n"/>
      <c r="K194" s="12">
        <f>IF(D194="MUA",IFERROR((J194*F194+E194*F194)/(F194*2),E194),J194)</f>
        <v/>
      </c>
      <c r="L194" s="12">
        <f>IF(AND(D194="BÁN",E194&lt;&gt;"",F194&lt;&gt;"",J194&lt;&gt;""),ROUND((E194-J194)*F194-H194-I194,0),"")</f>
        <v/>
      </c>
      <c r="M194" s="12">
        <f>IF(AND(L194&lt;&gt;"",J194&gt;0),L194/(J194*F194),"")</f>
        <v/>
      </c>
      <c r="N194" s="343" t="n"/>
      <c r="O194" s="343" t="n"/>
      <c r="P194" s="343" t="n"/>
    </row>
    <row r="195" ht="21.75" customHeight="1" s="981">
      <c r="A195" s="344" t="n"/>
      <c r="B195" s="344" t="n"/>
      <c r="C195" s="12">
        <f>IFERROR(VLOOKUP(B195,'📈 Cổ Phiếu VN 🔍'!$A:$C,2,0),"")</f>
        <v/>
      </c>
      <c r="D195" s="344" t="n"/>
      <c r="E195" s="344" t="n"/>
      <c r="F195" s="344" t="n"/>
      <c r="G195" s="12">
        <f>IF(AND(E195&lt;&gt;"",F195&lt;&gt;""),E195*F195,"")</f>
        <v/>
      </c>
      <c r="H195" s="12">
        <f>IF(G195&lt;&gt;"",G195*0.0015,"")</f>
        <v/>
      </c>
      <c r="I195" s="12">
        <f>IF(AND(D195="BÁN",G195&lt;&gt;""),G195*0.001,0)</f>
        <v/>
      </c>
      <c r="J195" s="344" t="n"/>
      <c r="K195" s="12">
        <f>IF(D195="MUA",IFERROR((J195*F195+E195*F195)/(F195*2),E195),J195)</f>
        <v/>
      </c>
      <c r="L195" s="12">
        <f>IF(AND(D195="BÁN",E195&lt;&gt;"",F195&lt;&gt;"",J195&lt;&gt;""),ROUND((E195-J195)*F195-H195-I195,0),"")</f>
        <v/>
      </c>
      <c r="M195" s="12">
        <f>IF(AND(L195&lt;&gt;"",J195&gt;0),L195/(J195*F195),"")</f>
        <v/>
      </c>
      <c r="N195" s="345" t="n"/>
      <c r="O195" s="345" t="n"/>
      <c r="P195" s="345" t="n"/>
    </row>
    <row r="196" ht="21.75" customHeight="1" s="981">
      <c r="A196" s="342" t="n"/>
      <c r="B196" s="342" t="n"/>
      <c r="C196" s="12">
        <f>IFERROR(VLOOKUP(B196,'📈 Cổ Phiếu VN 🔍'!$A:$C,2,0),"")</f>
        <v/>
      </c>
      <c r="D196" s="342" t="n"/>
      <c r="E196" s="342" t="n"/>
      <c r="F196" s="342" t="n"/>
      <c r="G196" s="12">
        <f>IF(AND(E196&lt;&gt;"",F196&lt;&gt;""),E196*F196,"")</f>
        <v/>
      </c>
      <c r="H196" s="12">
        <f>IF(G196&lt;&gt;"",G196*0.0015,"")</f>
        <v/>
      </c>
      <c r="I196" s="12">
        <f>IF(AND(D196="BÁN",G196&lt;&gt;""),G196*0.001,0)</f>
        <v/>
      </c>
      <c r="J196" s="342" t="n"/>
      <c r="K196" s="12">
        <f>IF(D196="MUA",IFERROR((J196*F196+E196*F196)/(F196*2),E196),J196)</f>
        <v/>
      </c>
      <c r="L196" s="12">
        <f>IF(AND(D196="BÁN",E196&lt;&gt;"",F196&lt;&gt;"",J196&lt;&gt;""),ROUND((E196-J196)*F196-H196-I196,0),"")</f>
        <v/>
      </c>
      <c r="M196" s="12">
        <f>IF(AND(L196&lt;&gt;"",J196&gt;0),L196/(J196*F196),"")</f>
        <v/>
      </c>
      <c r="N196" s="343" t="n"/>
      <c r="O196" s="343" t="n"/>
      <c r="P196" s="343" t="n"/>
    </row>
    <row r="197" ht="21.75" customHeight="1" s="981">
      <c r="A197" s="344" t="n"/>
      <c r="B197" s="344" t="n"/>
      <c r="C197" s="12">
        <f>IFERROR(VLOOKUP(B197,'📈 Cổ Phiếu VN 🔍'!$A:$C,2,0),"")</f>
        <v/>
      </c>
      <c r="D197" s="344" t="n"/>
      <c r="E197" s="344" t="n"/>
      <c r="F197" s="344" t="n"/>
      <c r="G197" s="12">
        <f>IF(AND(E197&lt;&gt;"",F197&lt;&gt;""),E197*F197,"")</f>
        <v/>
      </c>
      <c r="H197" s="12">
        <f>IF(G197&lt;&gt;"",G197*0.0015,"")</f>
        <v/>
      </c>
      <c r="I197" s="12">
        <f>IF(AND(D197="BÁN",G197&lt;&gt;""),G197*0.001,0)</f>
        <v/>
      </c>
      <c r="J197" s="344" t="n"/>
      <c r="K197" s="12">
        <f>IF(D197="MUA",IFERROR((J197*F197+E197*F197)/(F197*2),E197),J197)</f>
        <v/>
      </c>
      <c r="L197" s="12">
        <f>IF(AND(D197="BÁN",E197&lt;&gt;"",F197&lt;&gt;"",J197&lt;&gt;""),ROUND((E197-J197)*F197-H197-I197,0),"")</f>
        <v/>
      </c>
      <c r="M197" s="12">
        <f>IF(AND(L197&lt;&gt;"",J197&gt;0),L197/(J197*F197),"")</f>
        <v/>
      </c>
      <c r="N197" s="345" t="n"/>
      <c r="O197" s="345" t="n"/>
      <c r="P197" s="345" t="n"/>
    </row>
    <row r="198" ht="21.75" customHeight="1" s="981">
      <c r="A198" s="342" t="n"/>
      <c r="B198" s="342" t="n"/>
      <c r="C198" s="12">
        <f>IFERROR(VLOOKUP(B198,'📈 Cổ Phiếu VN 🔍'!$A:$C,2,0),"")</f>
        <v/>
      </c>
      <c r="D198" s="342" t="n"/>
      <c r="E198" s="342" t="n"/>
      <c r="F198" s="342" t="n"/>
      <c r="G198" s="12">
        <f>IF(AND(E198&lt;&gt;"",F198&lt;&gt;""),E198*F198,"")</f>
        <v/>
      </c>
      <c r="H198" s="12">
        <f>IF(G198&lt;&gt;"",G198*0.0015,"")</f>
        <v/>
      </c>
      <c r="I198" s="12">
        <f>IF(AND(D198="BÁN",G198&lt;&gt;""),G198*0.001,0)</f>
        <v/>
      </c>
      <c r="J198" s="342" t="n"/>
      <c r="K198" s="12">
        <f>IF(D198="MUA",IFERROR((J198*F198+E198*F198)/(F198*2),E198),J198)</f>
        <v/>
      </c>
      <c r="L198" s="12">
        <f>IF(AND(D198="BÁN",E198&lt;&gt;"",F198&lt;&gt;"",J198&lt;&gt;""),ROUND((E198-J198)*F198-H198-I198,0),"")</f>
        <v/>
      </c>
      <c r="M198" s="12">
        <f>IF(AND(L198&lt;&gt;"",J198&gt;0),L198/(J198*F198),"")</f>
        <v/>
      </c>
      <c r="N198" s="343" t="n"/>
      <c r="O198" s="343" t="n"/>
      <c r="P198" s="343" t="n"/>
    </row>
    <row r="199" ht="21.75" customHeight="1" s="981">
      <c r="A199" s="344" t="n"/>
      <c r="B199" s="344" t="n"/>
      <c r="C199" s="12">
        <f>IFERROR(VLOOKUP(B199,'📈 Cổ Phiếu VN 🔍'!$A:$C,2,0),"")</f>
        <v/>
      </c>
      <c r="D199" s="344" t="n"/>
      <c r="E199" s="344" t="n"/>
      <c r="F199" s="344" t="n"/>
      <c r="G199" s="12">
        <f>IF(AND(E199&lt;&gt;"",F199&lt;&gt;""),E199*F199,"")</f>
        <v/>
      </c>
      <c r="H199" s="12">
        <f>IF(G199&lt;&gt;"",G199*0.0015,"")</f>
        <v/>
      </c>
      <c r="I199" s="12">
        <f>IF(AND(D199="BÁN",G199&lt;&gt;""),G199*0.001,0)</f>
        <v/>
      </c>
      <c r="J199" s="344" t="n"/>
      <c r="K199" s="12">
        <f>IF(D199="MUA",IFERROR((J199*F199+E199*F199)/(F199*2),E199),J199)</f>
        <v/>
      </c>
      <c r="L199" s="12">
        <f>IF(AND(D199="BÁN",E199&lt;&gt;"",F199&lt;&gt;"",J199&lt;&gt;""),ROUND((E199-J199)*F199-H199-I199,0),"")</f>
        <v/>
      </c>
      <c r="M199" s="12">
        <f>IF(AND(L199&lt;&gt;"",J199&gt;0),L199/(J199*F199),"")</f>
        <v/>
      </c>
      <c r="N199" s="345" t="n"/>
      <c r="O199" s="345" t="n"/>
      <c r="P199" s="345" t="n"/>
    </row>
    <row r="200" ht="21.75" customHeight="1" s="981">
      <c r="A200" s="342" t="n"/>
      <c r="B200" s="342" t="n"/>
      <c r="C200" s="12">
        <f>IFERROR(VLOOKUP(B200,'📈 Cổ Phiếu VN 🔍'!$A:$C,2,0),"")</f>
        <v/>
      </c>
      <c r="D200" s="342" t="n"/>
      <c r="E200" s="342" t="n"/>
      <c r="F200" s="342" t="n"/>
      <c r="G200" s="12">
        <f>IF(AND(E200&lt;&gt;"",F200&lt;&gt;""),E200*F200,"")</f>
        <v/>
      </c>
      <c r="H200" s="12">
        <f>IF(G200&lt;&gt;"",G200*0.0015,"")</f>
        <v/>
      </c>
      <c r="I200" s="12">
        <f>IF(AND(D200="BÁN",G200&lt;&gt;""),G200*0.001,0)</f>
        <v/>
      </c>
      <c r="J200" s="342" t="n"/>
      <c r="K200" s="12">
        <f>IF(D200="MUA",IFERROR((J200*F200+E200*F200)/(F200*2),E200),J200)</f>
        <v/>
      </c>
      <c r="L200" s="12">
        <f>IF(AND(D200="BÁN",E200&lt;&gt;"",F200&lt;&gt;"",J200&lt;&gt;""),ROUND((E200-J200)*F200-H200-I200,0),"")</f>
        <v/>
      </c>
      <c r="M200" s="12">
        <f>IF(AND(L200&lt;&gt;"",J200&gt;0),L200/(J200*F200),"")</f>
        <v/>
      </c>
      <c r="N200" s="343" t="n"/>
      <c r="O200" s="343" t="n"/>
      <c r="P200" s="343" t="n"/>
    </row>
    <row r="201" ht="21.75" customHeight="1" s="981">
      <c r="A201" s="344" t="n"/>
      <c r="B201" s="344" t="n"/>
      <c r="C201" s="12">
        <f>IFERROR(VLOOKUP(B201,'📈 Cổ Phiếu VN 🔍'!$A:$C,2,0),"")</f>
        <v/>
      </c>
      <c r="D201" s="344" t="n"/>
      <c r="E201" s="344" t="n"/>
      <c r="F201" s="344" t="n"/>
      <c r="G201" s="12">
        <f>IF(AND(E201&lt;&gt;"",F201&lt;&gt;""),E201*F201,"")</f>
        <v/>
      </c>
      <c r="H201" s="12">
        <f>IF(G201&lt;&gt;"",G201*0.0015,"")</f>
        <v/>
      </c>
      <c r="I201" s="12">
        <f>IF(AND(D201="BÁN",G201&lt;&gt;""),G201*0.001,0)</f>
        <v/>
      </c>
      <c r="J201" s="344" t="n"/>
      <c r="K201" s="12">
        <f>IF(D201="MUA",IFERROR((J201*F201+E201*F201)/(F201*2),E201),J201)</f>
        <v/>
      </c>
      <c r="L201" s="12">
        <f>IF(AND(D201="BÁN",E201&lt;&gt;"",F201&lt;&gt;"",J201&lt;&gt;""),ROUND((E201-J201)*F201-H201-I201,0),"")</f>
        <v/>
      </c>
      <c r="M201" s="12">
        <f>IF(AND(L201&lt;&gt;"",J201&gt;0),L201/(J201*F201),"")</f>
        <v/>
      </c>
      <c r="N201" s="345" t="n"/>
      <c r="O201" s="345" t="n"/>
      <c r="P201" s="345" t="n"/>
    </row>
    <row r="202" ht="21.75" customHeight="1" s="981">
      <c r="A202" s="342" t="n"/>
      <c r="B202" s="342" t="n"/>
      <c r="C202" s="12">
        <f>IFERROR(VLOOKUP(B202,'📈 Cổ Phiếu VN 🔍'!$A:$C,2,0),"")</f>
        <v/>
      </c>
      <c r="D202" s="342" t="n"/>
      <c r="E202" s="342" t="n"/>
      <c r="F202" s="342" t="n"/>
      <c r="G202" s="12">
        <f>IF(AND(E202&lt;&gt;"",F202&lt;&gt;""),E202*F202,"")</f>
        <v/>
      </c>
      <c r="H202" s="12">
        <f>IF(G202&lt;&gt;"",G202*0.0015,"")</f>
        <v/>
      </c>
      <c r="I202" s="12">
        <f>IF(AND(D202="BÁN",G202&lt;&gt;""),G202*0.001,0)</f>
        <v/>
      </c>
      <c r="J202" s="342" t="n"/>
      <c r="K202" s="12">
        <f>IF(D202="MUA",IFERROR((J202*F202+E202*F202)/(F202*2),E202),J202)</f>
        <v/>
      </c>
      <c r="L202" s="12">
        <f>IF(AND(D202="BÁN",E202&lt;&gt;"",F202&lt;&gt;"",J202&lt;&gt;""),ROUND((E202-J202)*F202-H202-I202,0),"")</f>
        <v/>
      </c>
      <c r="M202" s="12">
        <f>IF(AND(L202&lt;&gt;"",J202&gt;0),L202/(J202*F202),"")</f>
        <v/>
      </c>
      <c r="N202" s="343" t="n"/>
      <c r="O202" s="343" t="n"/>
      <c r="P202" s="343" t="n"/>
    </row>
    <row r="203" ht="21.75" customHeight="1" s="981">
      <c r="A203" s="344" t="n"/>
      <c r="B203" s="344" t="n"/>
      <c r="C203" s="12">
        <f>IFERROR(VLOOKUP(B203,'📈 Cổ Phiếu VN 🔍'!$A:$C,2,0),"")</f>
        <v/>
      </c>
      <c r="D203" s="344" t="n"/>
      <c r="E203" s="344" t="n"/>
      <c r="F203" s="344" t="n"/>
      <c r="G203" s="12">
        <f>IF(AND(E203&lt;&gt;"",F203&lt;&gt;""),E203*F203,"")</f>
        <v/>
      </c>
      <c r="H203" s="12">
        <f>IF(G203&lt;&gt;"",G203*0.0015,"")</f>
        <v/>
      </c>
      <c r="I203" s="12">
        <f>IF(AND(D203="BÁN",G203&lt;&gt;""),G203*0.001,0)</f>
        <v/>
      </c>
      <c r="J203" s="344" t="n"/>
      <c r="K203" s="12">
        <f>IF(D203="MUA",IFERROR((J203*F203+E203*F203)/(F203*2),E203),J203)</f>
        <v/>
      </c>
      <c r="L203" s="12">
        <f>IF(AND(D203="BÁN",E203&lt;&gt;"",F203&lt;&gt;"",J203&lt;&gt;""),ROUND((E203-J203)*F203-H203-I203,0),"")</f>
        <v/>
      </c>
      <c r="M203" s="12">
        <f>IF(AND(L203&lt;&gt;"",J203&gt;0),L203/(J203*F203),"")</f>
        <v/>
      </c>
      <c r="N203" s="345" t="n"/>
      <c r="O203" s="345" t="n"/>
      <c r="P203" s="345" t="n"/>
    </row>
    <row r="204" ht="21.75" customHeight="1" s="981">
      <c r="A204" s="342" t="n"/>
      <c r="B204" s="342" t="n"/>
      <c r="C204" s="12">
        <f>IFERROR(VLOOKUP(B204,'📈 Cổ Phiếu VN 🔍'!$A:$C,2,0),"")</f>
        <v/>
      </c>
      <c r="D204" s="342" t="n"/>
      <c r="E204" s="342" t="n"/>
      <c r="F204" s="342" t="n"/>
      <c r="G204" s="12">
        <f>IF(AND(E204&lt;&gt;"",F204&lt;&gt;""),E204*F204,"")</f>
        <v/>
      </c>
      <c r="H204" s="12">
        <f>IF(G204&lt;&gt;"",G204*0.0015,"")</f>
        <v/>
      </c>
      <c r="I204" s="12">
        <f>IF(AND(D204="BÁN",G204&lt;&gt;""),G204*0.001,0)</f>
        <v/>
      </c>
      <c r="J204" s="342" t="n"/>
      <c r="K204" s="12">
        <f>IF(D204="MUA",IFERROR((J204*F204+E204*F204)/(F204*2),E204),J204)</f>
        <v/>
      </c>
      <c r="L204" s="12">
        <f>IF(AND(D204="BÁN",E204&lt;&gt;"",F204&lt;&gt;"",J204&lt;&gt;""),ROUND((E204-J204)*F204-H204-I204,0),"")</f>
        <v/>
      </c>
      <c r="M204" s="12">
        <f>IF(AND(L204&lt;&gt;"",J204&gt;0),L204/(J204*F204),"")</f>
        <v/>
      </c>
      <c r="N204" s="343" t="n"/>
      <c r="O204" s="343" t="n"/>
      <c r="P204" s="343" t="n"/>
    </row>
    <row r="205" ht="21.75" customHeight="1" s="981">
      <c r="A205" s="344" t="n"/>
      <c r="B205" s="344" t="n"/>
      <c r="C205" s="12">
        <f>IFERROR(VLOOKUP(B205,'📈 Cổ Phiếu VN 🔍'!$A:$C,2,0),"")</f>
        <v/>
      </c>
      <c r="D205" s="344" t="n"/>
      <c r="E205" s="344" t="n"/>
      <c r="F205" s="344" t="n"/>
      <c r="G205" s="12">
        <f>IF(AND(E205&lt;&gt;"",F205&lt;&gt;""),E205*F205,"")</f>
        <v/>
      </c>
      <c r="H205" s="12">
        <f>IF(G205&lt;&gt;"",G205*0.0015,"")</f>
        <v/>
      </c>
      <c r="I205" s="12">
        <f>IF(AND(D205="BÁN",G205&lt;&gt;""),G205*0.001,0)</f>
        <v/>
      </c>
      <c r="J205" s="344" t="n"/>
      <c r="K205" s="12">
        <f>IF(D205="MUA",IFERROR((J205*F205+E205*F205)/(F205*2),E205),J205)</f>
        <v/>
      </c>
      <c r="L205" s="12">
        <f>IF(AND(D205="BÁN",E205&lt;&gt;"",F205&lt;&gt;"",J205&lt;&gt;""),ROUND((E205-J205)*F205-H205-I205,0),"")</f>
        <v/>
      </c>
      <c r="M205" s="12">
        <f>IF(AND(L205&lt;&gt;"",J205&gt;0),L205/(J205*F205),"")</f>
        <v/>
      </c>
      <c r="N205" s="345" t="n"/>
      <c r="O205" s="345" t="n"/>
      <c r="P205" s="345" t="n"/>
    </row>
  </sheetData>
  <mergeCells count="18">
    <mergeCell ref="A4:B4"/>
    <mergeCell ref="G4:H4"/>
    <mergeCell ref="E4:F4"/>
    <mergeCell ref="O3:P3"/>
    <mergeCell ref="I4:J4"/>
    <mergeCell ref="A3:B3"/>
    <mergeCell ref="C3:D3"/>
    <mergeCell ref="A1:P1"/>
    <mergeCell ref="A2:P2"/>
    <mergeCell ref="C4:D4"/>
    <mergeCell ref="M3:N3"/>
    <mergeCell ref="K4:L4"/>
    <mergeCell ref="O4:P4"/>
    <mergeCell ref="M4:N4"/>
    <mergeCell ref="G3:H3"/>
    <mergeCell ref="E3:F3"/>
    <mergeCell ref="K3:L3"/>
    <mergeCell ref="I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7" customWidth="1" style="981" min="1" max="1"/>
    <col width="14" customWidth="1" style="981" min="2" max="2"/>
    <col width="12" customWidth="1" style="981" min="3" max="3"/>
    <col width="10" customWidth="1" style="981" min="4" max="4"/>
    <col width="14" customWidth="1" style="981" min="6" max="6"/>
    <col width="11" customWidth="1" style="981" min="7" max="7"/>
    <col width="12" customWidth="1" style="981" min="9" max="9"/>
    <col width="14" customWidth="1" style="981" min="11" max="11"/>
    <col width="12" customWidth="1" style="981" min="12" max="12"/>
    <col width="16" customWidth="1" style="981" min="14" max="14"/>
  </cols>
  <sheetData>
    <row r="1" ht="34.5" customHeight="1" s="981">
      <c r="A1" s="1076" t="inlineStr">
        <is>
          <t>💰 THEO DÕI CỔ TỨC NHẬN ĐƯỢC HÀNG NĂM — Tự tính tổng · Yield · Thu nhập thụ động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6" t="n"/>
    </row>
    <row r="2" ht="19.5" customHeight="1" s="981">
      <c r="A2" s="1077" t="inlineStr">
        <is>
          <t>Cap nhat: 29/05/2026 | Du lieu co tuc Q2 2026 | BCTC Q1/2026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5" t="n"/>
      <c r="N2" s="966" t="n"/>
    </row>
    <row r="3" ht="45" customHeight="1" s="981">
      <c r="A3" s="1073" t="inlineStr">
        <is>
          <t>💵 CT/năm
hiện tại</t>
        </is>
      </c>
      <c r="B3" s="966" t="n"/>
      <c r="C3" s="1073" t="inlineStr">
        <is>
          <t>💸 CT/tháng
thụ động</t>
        </is>
      </c>
      <c r="D3" s="966" t="n"/>
      <c r="E3" s="1073" t="inlineStr">
        <is>
          <t>📊 Yield on
Cost TB</t>
        </is>
      </c>
      <c r="F3" s="966" t="n"/>
      <c r="G3" s="1073" t="inlineStr">
        <is>
          <t>📈 Yield on
Price TB</t>
        </is>
      </c>
      <c r="H3" s="966" t="n"/>
      <c r="I3" s="1073" t="inlineStr">
        <is>
          <t>🏦 CT đã
nhận (lịch sử)</t>
        </is>
      </c>
      <c r="J3" s="966" t="n"/>
      <c r="K3" s="1073" t="inlineStr">
        <is>
          <t>📅 Năm CT
cao nhất</t>
        </is>
      </c>
      <c r="L3" s="966" t="n"/>
      <c r="M3" s="1073" t="inlineStr">
        <is>
          <t>🎯 Mục tiêu
CT/tháng</t>
        </is>
      </c>
      <c r="N3" s="966" t="n"/>
    </row>
    <row r="4" ht="27.75" customHeight="1" s="981">
      <c r="A4" s="1072" t="n"/>
      <c r="B4" s="966" t="n"/>
      <c r="C4" s="1072" t="n"/>
      <c r="D4" s="966" t="n"/>
      <c r="E4" s="1072" t="n"/>
      <c r="F4" s="966" t="n"/>
      <c r="G4" s="1072" t="n"/>
      <c r="H4" s="966" t="n"/>
      <c r="I4" s="1072" t="n"/>
      <c r="J4" s="966" t="n"/>
      <c r="K4" s="1072" t="n"/>
      <c r="L4" s="966" t="n"/>
      <c r="M4" s="1074" t="n">
        <v>5000000</v>
      </c>
      <c r="N4" s="966" t="n"/>
    </row>
    <row r="5" ht="27.75" customHeight="1" s="981">
      <c r="A5" s="1071" t="inlineStr">
        <is>
          <t>📊 CỔ TỨC THEO MÃ — TỰ ĐỘNG (từ danh mục hiện tại)</t>
        </is>
      </c>
      <c r="B5" s="965" t="n"/>
      <c r="C5" s="965" t="n"/>
      <c r="D5" s="965" t="n"/>
      <c r="E5" s="965" t="n"/>
      <c r="F5" s="965" t="n"/>
      <c r="G5" s="965" t="n"/>
      <c r="H5" s="965" t="n"/>
      <c r="I5" s="965" t="n"/>
      <c r="J5" s="965" t="n"/>
      <c r="K5" s="965" t="n"/>
      <c r="L5" s="965" t="n"/>
      <c r="M5" s="965" t="n"/>
      <c r="N5" s="966" t="n"/>
    </row>
    <row r="6" ht="37.5" customHeight="1" s="981">
      <c r="A6" s="1073" t="inlineStr">
        <is>
          <t>Mã CP</t>
        </is>
      </c>
      <c r="B6" s="1073" t="inlineStr">
        <is>
          <t>Ngành</t>
        </is>
      </c>
      <c r="C6" s="1073" t="inlineStr">
        <is>
          <t>Số CP
nắm</t>
        </is>
      </c>
      <c r="D6" s="1073" t="inlineStr">
        <is>
          <t>CT/CP
(đ)</t>
        </is>
      </c>
      <c r="E6" s="1073" t="inlineStr">
        <is>
          <t>Tổng CT
Dự kiến (đ)</t>
        </is>
      </c>
      <c r="F6" s="1073" t="inlineStr">
        <is>
          <t>Giá vốn
TB</t>
        </is>
      </c>
      <c r="G6" s="1073" t="inlineStr">
        <is>
          <t>Giá TT</t>
        </is>
      </c>
      <c r="H6" s="1073" t="inlineStr">
        <is>
          <t>Yield on
Cost</t>
        </is>
      </c>
      <c r="I6" s="1073" t="inlineStr">
        <is>
          <t>Yield on
Price</t>
        </is>
      </c>
      <c r="J6" s="1073" t="inlineStr">
        <is>
          <t>Ngày CT
Dự kiến</t>
        </is>
      </c>
      <c r="K6" s="1073" t="inlineStr">
        <is>
          <t>Đã nhận
CT năm nay</t>
        </is>
      </c>
      <c r="L6" s="1073" t="inlineStr">
        <is>
          <t>Trạng thái
CT</t>
        </is>
      </c>
      <c r="M6" s="1073" t="inlineStr">
        <is>
          <t>Ghi chú</t>
        </is>
      </c>
      <c r="N6" s="1050" t="n"/>
    </row>
    <row r="7" ht="24" customHeight="1" s="981">
      <c r="A7" s="347" t="inlineStr">
        <is>
          <t>FPT</t>
        </is>
      </c>
      <c r="B7" s="348" t="inlineStr">
        <is>
          <t>C�ng ngh?</t>
        </is>
      </c>
      <c r="C7" s="348" t="n">
        <v>200</v>
      </c>
      <c r="D7" s="348" t="n">
        <v>1000</v>
      </c>
      <c r="E7" s="348" t="n">
        <v>200000</v>
      </c>
      <c r="F7" s="348" t="n">
        <v>62500</v>
      </c>
      <c r="G7" s="348" t="n">
        <v>71200</v>
      </c>
      <c r="H7" s="348" t="n">
        <v>0.016</v>
      </c>
      <c r="I7" s="348" t="n">
        <v>0.014</v>
      </c>
      <c r="J7" s="348" t="inlineStr">
        <is>
          <t>15/12/2026</t>
        </is>
      </c>
      <c r="K7" s="348" t="n">
        <v>200000</v>
      </c>
      <c r="L7" s="348" t="inlineStr">
        <is>
          <t>? Da nh?n</t>
        </is>
      </c>
      <c r="M7" s="348" t="inlineStr">
        <is>
          <t>C? t?c 2025, 1000?/CP</t>
        </is>
      </c>
      <c r="N7" s="1050" t="n"/>
    </row>
    <row r="8" ht="24" customHeight="1" s="981">
      <c r="A8" s="326" t="inlineStr">
        <is>
          <t>MBB</t>
        </is>
      </c>
      <c r="B8" s="348" t="inlineStr">
        <is>
          <t>Ng�n h�ng</t>
        </is>
      </c>
      <c r="C8" s="348" t="n">
        <v>700</v>
      </c>
      <c r="D8" s="348" t="n">
        <v>550</v>
      </c>
      <c r="E8" s="348" t="n">
        <v>385000</v>
      </c>
      <c r="F8" s="348" t="n">
        <v>22571</v>
      </c>
      <c r="G8" s="348" t="n">
        <v>25000</v>
      </c>
      <c r="H8" s="348" t="n">
        <v>0.0244</v>
      </c>
      <c r="I8" s="348" t="n">
        <v>0.022</v>
      </c>
      <c r="J8" s="960" t="n">
        <v>46209</v>
      </c>
      <c r="K8" s="348" t="n">
        <v>0</v>
      </c>
      <c r="L8" s="348" t="inlineStr">
        <is>
          <t>? Ch? thanh to�n</t>
        </is>
      </c>
      <c r="M8" s="348" t="inlineStr">
        <is>
          <t>C? t?c 2025 b?ng CP, t? l? 5:1</t>
        </is>
      </c>
      <c r="N8" s="1050" t="n"/>
    </row>
    <row r="9" ht="24" customHeight="1" s="981">
      <c r="A9" s="347" t="inlineStr">
        <is>
          <t>VCB</t>
        </is>
      </c>
      <c r="B9" s="348" t="inlineStr">
        <is>
          <t>Ng�n h�ng</t>
        </is>
      </c>
      <c r="C9" s="348" t="n">
        <v>100</v>
      </c>
      <c r="D9" s="348" t="n">
        <v>1100</v>
      </c>
      <c r="E9" s="348" t="n">
        <v>110000</v>
      </c>
      <c r="F9" s="348" t="n">
        <v>55000</v>
      </c>
      <c r="G9" s="348" t="n">
        <v>62800</v>
      </c>
      <c r="H9" s="348" t="n">
        <v>0.02</v>
      </c>
      <c r="I9" s="348" t="n">
        <v>0.0175</v>
      </c>
      <c r="J9" s="348" t="inlineStr">
        <is>
          <t>15/08/2026</t>
        </is>
      </c>
      <c r="K9" s="348" t="n">
        <v>0</v>
      </c>
      <c r="L9" s="348" t="inlineStr">
        <is>
          <t>? Ch? thanh to�n</t>
        </is>
      </c>
      <c r="M9" s="348" t="inlineStr">
        <is>
          <t>CT 2025, 15% TM - 1100?/CP</t>
        </is>
      </c>
      <c r="N9" s="1050" t="n"/>
    </row>
    <row r="10" ht="24" customHeight="1" s="981">
      <c r="A10" s="326" t="inlineStr">
        <is>
          <t>CTR</t>
        </is>
      </c>
      <c r="B10" s="348" t="inlineStr">
        <is>
          <t>H? t?ng s?</t>
        </is>
      </c>
      <c r="C10" s="348" t="n">
        <v>120</v>
      </c>
      <c r="D10" s="348" t="n">
        <v>2000</v>
      </c>
      <c r="E10" s="348" t="n">
        <v>240000</v>
      </c>
      <c r="F10" s="348" t="n">
        <v>68000</v>
      </c>
      <c r="G10" s="348" t="n">
        <v>90000</v>
      </c>
      <c r="H10" s="348" t="n">
        <v>0.0294</v>
      </c>
      <c r="I10" s="348" t="n">
        <v>0.0222</v>
      </c>
      <c r="J10" s="327" t="inlineStr">
        <is>
          <t>30/09/2026</t>
        </is>
      </c>
      <c r="K10" s="348" t="n">
        <v>500000</v>
      </c>
      <c r="L10" s="348" t="inlineStr">
        <is>
          <t>? Da nh?n</t>
        </is>
      </c>
      <c r="M10" s="348" t="inlineStr">
        <is>
          <t>C? t?c 2025, 2000?/CP</t>
        </is>
      </c>
      <c r="N10" s="1050" t="n"/>
    </row>
    <row r="11" ht="24" customHeight="1" s="981">
      <c r="A11" s="347" t="inlineStr">
        <is>
          <t>MWG</t>
        </is>
      </c>
      <c r="B11" s="348" t="inlineStr">
        <is>
          <t>B�n l?</t>
        </is>
      </c>
      <c r="C11" s="348" t="n">
        <v>100</v>
      </c>
      <c r="D11" s="348" t="n">
        <v>1000</v>
      </c>
      <c r="E11" s="348" t="n">
        <v>100000</v>
      </c>
      <c r="F11" s="348" t="n">
        <v>75000</v>
      </c>
      <c r="G11" s="348" t="n">
        <v>77700</v>
      </c>
      <c r="H11" s="348" t="n">
        <v>0.0133</v>
      </c>
      <c r="I11" s="348" t="n">
        <v>0.0129</v>
      </c>
      <c r="J11" s="961" t="n">
        <v>46363</v>
      </c>
      <c r="K11" s="348" t="n">
        <v>0</v>
      </c>
      <c r="L11" s="348" t="inlineStr">
        <is>
          <t>? Ch? thanh to�n</t>
        </is>
      </c>
      <c r="M11" s="348" t="inlineStr">
        <is>
          <t>CT 2025, 5% TM - 1000?/CP</t>
        </is>
      </c>
      <c r="N11" s="1050" t="n"/>
    </row>
    <row r="12" ht="24" customHeight="1" s="981">
      <c r="A12" s="326" t="inlineStr">
        <is>
          <t>HPG</t>
        </is>
      </c>
      <c r="B12" s="348" t="inlineStr">
        <is>
          <t>Th�p</t>
        </is>
      </c>
      <c r="C12" s="348" t="n">
        <v>600</v>
      </c>
      <c r="D12" s="348" t="n">
        <v>500</v>
      </c>
      <c r="E12" s="348" t="n">
        <v>300000</v>
      </c>
      <c r="F12" s="348" t="n">
        <v>24000</v>
      </c>
      <c r="G12" s="348" t="n">
        <v>24000</v>
      </c>
      <c r="H12" s="348" t="n">
        <v>0.0208</v>
      </c>
      <c r="I12" s="348" t="n">
        <v>0.0208</v>
      </c>
      <c r="J12" s="960" t="n">
        <v>46087</v>
      </c>
      <c r="K12" s="348" t="n">
        <v>0</v>
      </c>
      <c r="L12" s="348" t="inlineStr">
        <is>
          <t>? Ch? thanh to�n</t>
        </is>
      </c>
      <c r="M12" s="348" t="inlineStr">
        <is>
          <t>CT 2025, 10% TM - 500?/CP</t>
        </is>
      </c>
      <c r="N12" s="1050" t="n"/>
    </row>
    <row r="13" ht="24" customHeight="1" s="981">
      <c r="A13" s="347" t="inlineStr">
        <is>
          <t>VNM</t>
        </is>
      </c>
      <c r="B13" s="348" t="inlineStr">
        <is>
          <t>Ti�u d�ng</t>
        </is>
      </c>
      <c r="C13" s="348" t="n">
        <v>200</v>
      </c>
      <c r="D13" s="348" t="n">
        <v>4350</v>
      </c>
      <c r="E13" s="348" t="n">
        <v>870000</v>
      </c>
      <c r="F13" s="348" t="n">
        <v>58000</v>
      </c>
      <c r="G13" s="348" t="n">
        <v>59000</v>
      </c>
      <c r="H13" s="348" t="n">
        <v>0.075</v>
      </c>
      <c r="I13" s="348" t="n">
        <v>0.0737</v>
      </c>
      <c r="J13" s="348" t="inlineStr">
        <is>
          <t>15/11/2026</t>
        </is>
      </c>
      <c r="K13" s="348" t="n">
        <v>870000</v>
      </c>
      <c r="L13" s="348" t="inlineStr">
        <is>
          <t>? Da nh?n</t>
        </is>
      </c>
      <c r="M13" s="348" t="inlineStr">
        <is>
          <t>CT 2025, 35% TM - 4350?/CP, yield 7.3%</t>
        </is>
      </c>
      <c r="N13" s="1050" t="n"/>
    </row>
    <row r="14" ht="24" customHeight="1" s="981">
      <c r="A14" s="326" t="inlineStr">
        <is>
          <t>VIX</t>
        </is>
      </c>
      <c r="B14" s="348" t="inlineStr">
        <is>
          <t>Ch?ng kho�n</t>
        </is>
      </c>
      <c r="C14" s="348" t="n">
        <v>700</v>
      </c>
      <c r="D14" s="348" t="n">
        <v>0</v>
      </c>
      <c r="E14" s="348" t="n">
        <v>0</v>
      </c>
      <c r="F14" s="348" t="n">
        <v>14500</v>
      </c>
      <c r="G14" s="348" t="n">
        <v>17600</v>
      </c>
      <c r="H14" s="348" t="n">
        <v>0</v>
      </c>
      <c r="I14" s="348" t="n">
        <v>0</v>
      </c>
      <c r="J14" s="327">
        <f>IF(F14&lt;&gt;"",F14*0.05,"")</f>
        <v/>
      </c>
      <c r="K14" s="348">
        <f>IF(AND(F14&lt;&gt;"",J14&lt;&gt;""),F14-J14,"")</f>
        <v/>
      </c>
      <c r="L14" s="348" t="inlineStr">
        <is>
          <t>? Kh�ng c� CT</t>
        </is>
      </c>
      <c r="M14" s="348" t="inlineStr">
        <is>
          <t>C? phi?u CK kh�ng c� c? t?c, t?p trung t?ng tru?ng</t>
        </is>
      </c>
      <c r="N14" s="1050" t="n"/>
    </row>
    <row r="15" ht="27.75" customHeight="1" s="981">
      <c r="A15" s="1075" t="inlineStr">
        <is>
          <t>TỔNG CỘNG</t>
        </is>
      </c>
      <c r="B15" s="966" t="n"/>
      <c r="C15" s="1050" t="n"/>
      <c r="D15" s="1050" t="n"/>
      <c r="E15" s="349" t="n">
        <v>2205000</v>
      </c>
      <c r="F15" s="1050" t="n"/>
      <c r="G15" s="1050" t="n"/>
      <c r="H15" s="1050" t="n"/>
      <c r="I15" s="1050" t="n"/>
      <c r="J15" s="1050">
        <f>IF(F15&lt;&gt;"",F15*0.05,"")</f>
        <v/>
      </c>
      <c r="K15" s="349">
        <f>IF(AND(F15&lt;&gt;"",J15&lt;&gt;""),F15-J15,"")</f>
        <v/>
      </c>
      <c r="L15" s="1050" t="n"/>
      <c r="M15" s="1050" t="n"/>
      <c r="N15" s="1050" t="n"/>
    </row>
    <row r="16" ht="15" customHeight="1" s="981">
      <c r="A16" s="1050" t="n"/>
      <c r="B16" s="1050" t="n"/>
      <c r="C16" s="1050" t="n"/>
      <c r="D16" s="1050" t="n"/>
      <c r="E16" s="1050" t="n"/>
      <c r="F16" s="1050" t="n"/>
      <c r="G16" s="1050" t="n"/>
      <c r="H16" s="1050" t="n"/>
      <c r="I16" s="1050" t="n"/>
      <c r="J16" s="1050" t="n"/>
      <c r="K16" s="1050" t="n"/>
      <c r="L16" s="1050" t="n"/>
      <c r="M16" s="1050" t="n"/>
      <c r="N16" s="1050" t="n"/>
    </row>
    <row r="17" ht="27.75" customHeight="1" s="981">
      <c r="A17" s="1071" t="inlineStr">
        <is>
          <t>📅 LỊCH SỬ CỔ TỨC CÁC NĂM — Nhập tay kết quả thực nhận</t>
        </is>
      </c>
      <c r="B17" s="965" t="n"/>
      <c r="C17" s="965" t="n"/>
      <c r="D17" s="965" t="n"/>
      <c r="E17" s="965" t="n"/>
      <c r="F17" s="965" t="n"/>
      <c r="G17" s="965" t="n"/>
      <c r="H17" s="965" t="n"/>
      <c r="I17" s="965" t="n"/>
      <c r="J17" s="965" t="n"/>
      <c r="K17" s="965" t="n"/>
      <c r="L17" s="965" t="n"/>
      <c r="M17" s="965" t="n"/>
      <c r="N17" s="966" t="n"/>
    </row>
    <row r="18" ht="37.5" customHeight="1" s="981">
      <c r="A18" s="1073" t="inlineStr">
        <is>
          <t>Năm</t>
        </is>
      </c>
      <c r="B18" s="1073" t="inlineStr">
        <is>
          <t>Mã CP</t>
        </is>
      </c>
      <c r="C18" s="1073" t="inlineStr">
        <is>
          <t>Loại CT
(Tiền/CP mới)</t>
        </is>
      </c>
      <c r="D18" s="1073" t="inlineStr">
        <is>
          <t>CT/CP
(đ)</t>
        </is>
      </c>
      <c r="E18" s="1073" t="inlineStr">
        <is>
          <t>Số CP
nắm</t>
        </is>
      </c>
      <c r="F18" s="1073" t="inlineStr">
        <is>
          <t>Tổng CT
(đ)</t>
        </is>
      </c>
      <c r="G18" s="1073" t="inlineStr">
        <is>
          <t>Ngày
Chốt DS</t>
        </is>
      </c>
      <c r="H18" s="1073" t="inlineStr">
        <is>
          <t>Ngày
Trả CT</t>
        </is>
      </c>
      <c r="I18" s="1073" t="inlineStr">
        <is>
          <t>Đã nhận
(đ)</t>
        </is>
      </c>
      <c r="J18" s="1073" t="inlineStr">
        <is>
          <t>Thuế TNCN
(5%)</t>
        </is>
      </c>
      <c r="K18" s="1073" t="inlineStr">
        <is>
          <t>Thực nhận
sau thuế</t>
        </is>
      </c>
      <c r="L18" s="1073" t="inlineStr">
        <is>
          <t>Tái đầu
tư vào</t>
        </is>
      </c>
      <c r="M18" s="1073" t="inlineStr">
        <is>
          <t>Số CP mua
tái đầu tư</t>
        </is>
      </c>
      <c r="N18" s="1073" t="inlineStr">
        <is>
          <t>Ghi chú</t>
        </is>
      </c>
    </row>
    <row r="19" ht="21.75" customHeight="1" s="981">
      <c r="A19" s="344" t="n">
        <v>2025</v>
      </c>
      <c r="B19" s="344" t="inlineStr">
        <is>
          <t>VNM</t>
        </is>
      </c>
      <c r="C19" s="344" t="inlineStr">
        <is>
          <t>Ti?n m?t</t>
        </is>
      </c>
      <c r="D19" s="344" t="n">
        <v>4350</v>
      </c>
      <c r="E19" s="344" t="n">
        <v>200</v>
      </c>
      <c r="F19" s="12" t="n">
        <v>870000</v>
      </c>
      <c r="G19" s="344" t="inlineStr">
        <is>
          <t>15/09/2025</t>
        </is>
      </c>
      <c r="H19" s="344" t="inlineStr">
        <is>
          <t>28/09/2025</t>
        </is>
      </c>
      <c r="I19" s="344" t="n">
        <v>870000</v>
      </c>
      <c r="J19" s="12" t="n">
        <v>43500</v>
      </c>
      <c r="K19" s="12" t="n">
        <v>826500</v>
      </c>
      <c r="L19" s="344" t="inlineStr">
        <is>
          <t>VNM</t>
        </is>
      </c>
      <c r="M19" s="12" t="n">
        <v>0</v>
      </c>
      <c r="N19" s="344" t="inlineStr">
        <is>
          <t>C? t?c Q2/2025</t>
        </is>
      </c>
    </row>
    <row r="20" ht="21.75" customHeight="1" s="981">
      <c r="A20" s="12" t="n">
        <v>2025</v>
      </c>
      <c r="B20" s="12" t="inlineStr">
        <is>
          <t>FPT</t>
        </is>
      </c>
      <c r="C20" s="12" t="inlineStr">
        <is>
          <t>Ti?n m?t</t>
        </is>
      </c>
      <c r="D20" s="12" t="n">
        <v>1000</v>
      </c>
      <c r="E20" s="12" t="n">
        <v>200</v>
      </c>
      <c r="F20" s="12" t="n">
        <v>200000</v>
      </c>
      <c r="G20" s="12" t="inlineStr">
        <is>
          <t>25/11/2025</t>
        </is>
      </c>
      <c r="H20" s="962" t="n">
        <v>46003</v>
      </c>
      <c r="I20" s="12" t="n">
        <v>200000</v>
      </c>
      <c r="J20" s="12" t="n">
        <v>10000</v>
      </c>
      <c r="K20" s="12" t="n">
        <v>190000</v>
      </c>
      <c r="L20" s="12" t="inlineStr">
        <is>
          <t>FPT</t>
        </is>
      </c>
      <c r="M20" s="12" t="n">
        <v>0</v>
      </c>
      <c r="N20" s="12" t="inlineStr">
        <is>
          <t>C? t?c nam 2025</t>
        </is>
      </c>
    </row>
    <row r="21" ht="21.75" customHeight="1" s="981">
      <c r="A21" s="344" t="n">
        <v>2025</v>
      </c>
      <c r="B21" s="344" t="inlineStr">
        <is>
          <t>CTR</t>
        </is>
      </c>
      <c r="C21" s="344" t="inlineStr">
        <is>
          <t>Ti?n m?t</t>
        </is>
      </c>
      <c r="D21" s="344" t="n">
        <v>2000</v>
      </c>
      <c r="E21" s="344" t="n">
        <v>120</v>
      </c>
      <c r="F21" s="12" t="n">
        <v>240000</v>
      </c>
      <c r="G21" s="958" t="n">
        <v>45940</v>
      </c>
      <c r="H21" s="344" t="inlineStr">
        <is>
          <t>30/10/2025</t>
        </is>
      </c>
      <c r="I21" s="344" t="n">
        <v>240000</v>
      </c>
      <c r="J21" s="12" t="n">
        <v>12000</v>
      </c>
      <c r="K21" s="12" t="n">
        <v>228000</v>
      </c>
      <c r="L21" s="344" t="inlineStr">
        <is>
          <t>CTR</t>
        </is>
      </c>
      <c r="M21" s="12" t="n">
        <v>0</v>
      </c>
      <c r="N21" s="344" t="inlineStr">
        <is>
          <t>C? t?c nam 2025</t>
        </is>
      </c>
    </row>
    <row r="22" ht="21.75" customHeight="1" s="981">
      <c r="A22" s="12" t="n">
        <v>2024</v>
      </c>
      <c r="B22" s="12" t="inlineStr">
        <is>
          <t>VNM</t>
        </is>
      </c>
      <c r="C22" s="12" t="inlineStr">
        <is>
          <t>Ti?n m?t</t>
        </is>
      </c>
      <c r="D22" s="12" t="n">
        <v>2000</v>
      </c>
      <c r="E22" s="12" t="n">
        <v>200</v>
      </c>
      <c r="F22" s="12" t="n">
        <v>400000</v>
      </c>
      <c r="G22" s="12" t="inlineStr">
        <is>
          <t>15/08/2024</t>
        </is>
      </c>
      <c r="H22" s="962" t="n">
        <v>45300</v>
      </c>
      <c r="I22" s="12" t="n">
        <v>400000</v>
      </c>
      <c r="J22" s="12" t="n">
        <v>20000</v>
      </c>
      <c r="K22" s="12" t="n">
        <v>380000</v>
      </c>
      <c r="L22" s="12" t="inlineStr">
        <is>
          <t>VNM</t>
        </is>
      </c>
      <c r="M22" s="12" t="n">
        <v>0</v>
      </c>
      <c r="N22" s="12" t="inlineStr">
        <is>
          <t>C? t?c Q2/2024</t>
        </is>
      </c>
    </row>
    <row r="23" ht="21.75" customHeight="1" s="981">
      <c r="A23" s="344" t="n">
        <v>2025</v>
      </c>
      <c r="B23" s="344" t="inlineStr">
        <is>
          <t>MBB</t>
        </is>
      </c>
      <c r="C23" s="344" t="inlineStr">
        <is>
          <t>Ti?n m?t</t>
        </is>
      </c>
      <c r="D23" s="344" t="n">
        <v>550</v>
      </c>
      <c r="E23" s="344" t="n">
        <v>700</v>
      </c>
      <c r="F23" s="12" t="n">
        <v>385000</v>
      </c>
      <c r="G23" s="344" t="inlineStr">
        <is>
          <t>15/01/2026</t>
        </is>
      </c>
      <c r="H23" s="958" t="n">
        <v>46144</v>
      </c>
      <c r="I23" s="344" t="n">
        <v>385000</v>
      </c>
      <c r="J23" s="12" t="n">
        <v>19250</v>
      </c>
      <c r="K23" s="12" t="n">
        <v>365750</v>
      </c>
      <c r="L23" s="344" t="inlineStr">
        <is>
          <t>MBB</t>
        </is>
      </c>
      <c r="M23" s="12" t="n">
        <v>15</v>
      </c>
      <c r="N23" s="344" t="inlineStr">
        <is>
          <t>C? t?c 2025+CP thu?ng 5:1</t>
        </is>
      </c>
    </row>
    <row r="24" ht="21.75" customHeight="1" s="98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 ht="21.75" customHeight="1" s="981">
      <c r="A25" s="344" t="n"/>
      <c r="B25" s="344" t="n"/>
      <c r="C25" s="344" t="n"/>
      <c r="D25" s="344" t="n"/>
      <c r="E25" s="344" t="n"/>
      <c r="F25" s="12" t="n"/>
      <c r="G25" s="344" t="n"/>
      <c r="H25" s="344" t="n"/>
      <c r="I25" s="344" t="n"/>
      <c r="J25" s="12" t="n"/>
      <c r="K25" s="12" t="n"/>
      <c r="L25" s="344" t="n"/>
      <c r="M25" s="12" t="n"/>
      <c r="N25" s="344" t="n"/>
    </row>
    <row r="26" ht="21.75" customHeight="1" s="98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 ht="21.75" customHeight="1" s="981">
      <c r="A27" s="344" t="n"/>
      <c r="B27" s="344" t="n"/>
      <c r="C27" s="344" t="n"/>
      <c r="D27" s="344" t="n"/>
      <c r="E27" s="344" t="n"/>
      <c r="F27" s="12" t="n"/>
      <c r="G27" s="344" t="n"/>
      <c r="H27" s="344" t="n"/>
      <c r="I27" s="344" t="n"/>
      <c r="J27" s="12" t="n"/>
      <c r="K27" s="12" t="n"/>
      <c r="L27" s="344" t="n"/>
      <c r="M27" s="12" t="n"/>
      <c r="N27" s="344" t="n"/>
    </row>
    <row r="28" ht="21.75" customHeight="1" s="98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 ht="21.75" customHeight="1" s="981">
      <c r="A29" s="344" t="n"/>
      <c r="B29" s="344" t="n"/>
      <c r="C29" s="344" t="n"/>
      <c r="D29" s="344" t="n"/>
      <c r="E29" s="344" t="n"/>
      <c r="F29" s="12" t="n"/>
      <c r="G29" s="344" t="n"/>
      <c r="H29" s="344" t="n"/>
      <c r="I29" s="344" t="n"/>
      <c r="J29" s="12" t="n"/>
      <c r="K29" s="12" t="n"/>
      <c r="L29" s="344" t="n"/>
      <c r="M29" s="12" t="n"/>
      <c r="N29" s="344" t="n"/>
    </row>
    <row r="30" ht="21.75" customHeight="1" s="98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 ht="21.75" customHeight="1" s="981">
      <c r="A31" s="344" t="n"/>
      <c r="B31" s="344" t="n"/>
      <c r="C31" s="344" t="n"/>
      <c r="D31" s="344" t="n"/>
      <c r="E31" s="344" t="n"/>
      <c r="F31" s="12" t="n"/>
      <c r="G31" s="344" t="n"/>
      <c r="H31" s="344" t="n"/>
      <c r="I31" s="344" t="n"/>
      <c r="J31" s="12" t="n"/>
      <c r="K31" s="12" t="n"/>
      <c r="L31" s="344" t="n"/>
      <c r="M31" s="12" t="n"/>
      <c r="N31" s="344" t="n"/>
    </row>
    <row r="32" ht="21.75" customHeight="1" s="98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 ht="21.75" customHeight="1" s="981">
      <c r="A33" s="344" t="n"/>
      <c r="B33" s="344" t="n"/>
      <c r="C33" s="344" t="n"/>
      <c r="D33" s="344" t="n"/>
      <c r="E33" s="344" t="n"/>
      <c r="F33" s="12" t="n"/>
      <c r="G33" s="344" t="n"/>
      <c r="H33" s="344" t="n"/>
      <c r="I33" s="344" t="n"/>
      <c r="J33" s="12" t="n"/>
      <c r="K33" s="12" t="n"/>
      <c r="L33" s="344" t="n"/>
      <c r="M33" s="12" t="n"/>
      <c r="N33" s="344" t="n"/>
    </row>
    <row r="34" ht="21.75" customHeight="1" s="98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 ht="21.75" customHeight="1" s="981">
      <c r="A35" s="344" t="n"/>
      <c r="B35" s="344" t="n"/>
      <c r="C35" s="344" t="n"/>
      <c r="D35" s="344" t="n"/>
      <c r="E35" s="344" t="n"/>
      <c r="F35" s="12" t="n"/>
      <c r="G35" s="344" t="n"/>
      <c r="H35" s="344" t="n"/>
      <c r="I35" s="344" t="n"/>
      <c r="J35" s="12" t="n"/>
      <c r="K35" s="12" t="n"/>
      <c r="L35" s="344" t="n"/>
      <c r="M35" s="12" t="n"/>
      <c r="N35" s="344" t="n"/>
    </row>
    <row r="36" ht="21.75" customHeight="1" s="98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 ht="21.75" customHeight="1" s="981">
      <c r="A37" s="344" t="n"/>
      <c r="B37" s="344" t="n"/>
      <c r="C37" s="344" t="n"/>
      <c r="D37" s="344" t="n"/>
      <c r="E37" s="344" t="n"/>
      <c r="F37" s="12" t="n"/>
      <c r="G37" s="344" t="n"/>
      <c r="H37" s="344" t="n"/>
      <c r="I37" s="344" t="n"/>
      <c r="J37" s="12" t="n"/>
      <c r="K37" s="12" t="n"/>
      <c r="L37" s="344" t="n"/>
      <c r="M37" s="12" t="n"/>
      <c r="N37" s="344" t="n"/>
    </row>
    <row r="38" ht="21.75" customHeight="1" s="98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 ht="21.75" customHeight="1" s="981">
      <c r="A39" s="344" t="n"/>
      <c r="B39" s="344" t="n"/>
      <c r="C39" s="344" t="n"/>
      <c r="D39" s="344" t="n"/>
      <c r="E39" s="344" t="n"/>
      <c r="F39" s="12" t="n"/>
      <c r="G39" s="344" t="n"/>
      <c r="H39" s="344" t="n"/>
      <c r="I39" s="344" t="n"/>
      <c r="J39" s="12" t="n"/>
      <c r="K39" s="12" t="n"/>
      <c r="L39" s="344" t="n"/>
      <c r="M39" s="12" t="n"/>
      <c r="N39" s="344" t="n"/>
    </row>
    <row r="40" ht="21.75" customHeight="1" s="98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 ht="21.75" customHeight="1" s="981">
      <c r="A41" s="344" t="n"/>
      <c r="B41" s="344" t="n"/>
      <c r="C41" s="344" t="n"/>
      <c r="D41" s="344" t="n"/>
      <c r="E41" s="344" t="n"/>
      <c r="F41" s="12" t="n"/>
      <c r="G41" s="344" t="n"/>
      <c r="H41" s="344" t="n"/>
      <c r="I41" s="344" t="n"/>
      <c r="J41" s="12" t="n"/>
      <c r="K41" s="12" t="n"/>
      <c r="L41" s="344" t="n"/>
      <c r="M41" s="12" t="n"/>
      <c r="N41" s="344" t="n"/>
    </row>
    <row r="42" ht="21.75" customHeight="1" s="98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 ht="21.75" customHeight="1" s="981">
      <c r="A43" s="344" t="n"/>
      <c r="B43" s="344" t="n"/>
      <c r="C43" s="344" t="n"/>
      <c r="D43" s="344" t="n"/>
      <c r="E43" s="344" t="n"/>
      <c r="F43" s="12" t="n"/>
      <c r="G43" s="344" t="n"/>
      <c r="H43" s="344" t="n"/>
      <c r="I43" s="344" t="n"/>
      <c r="J43" s="12" t="n"/>
      <c r="K43" s="12" t="n"/>
      <c r="L43" s="344" t="n"/>
      <c r="M43" s="12" t="n"/>
      <c r="N43" s="344" t="n"/>
    </row>
    <row r="44" ht="21.75" customHeight="1" s="98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 ht="21.75" customHeight="1" s="981">
      <c r="A45" s="344" t="n"/>
      <c r="B45" s="344" t="n"/>
      <c r="C45" s="344" t="n"/>
      <c r="D45" s="344" t="n"/>
      <c r="E45" s="344" t="n"/>
      <c r="F45" s="12" t="n"/>
      <c r="G45" s="344" t="n"/>
      <c r="H45" s="344" t="n"/>
      <c r="I45" s="344" t="n"/>
      <c r="J45" s="12" t="n"/>
      <c r="K45" s="12" t="n"/>
      <c r="L45" s="344" t="n"/>
      <c r="M45" s="12" t="n"/>
      <c r="N45" s="344" t="n"/>
    </row>
    <row r="46" ht="21.75" customHeight="1" s="98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 ht="21.75" customHeight="1" s="981">
      <c r="A47" s="344" t="n"/>
      <c r="B47" s="344" t="n"/>
      <c r="C47" s="344" t="n"/>
      <c r="D47" s="344" t="n"/>
      <c r="E47" s="344" t="n"/>
      <c r="F47" s="12" t="n"/>
      <c r="G47" s="344" t="n"/>
      <c r="H47" s="344" t="n"/>
      <c r="I47" s="344" t="n"/>
      <c r="J47" s="12" t="n"/>
      <c r="K47" s="12" t="n"/>
      <c r="L47" s="344" t="n"/>
      <c r="M47" s="12" t="n"/>
      <c r="N47" s="344" t="n"/>
    </row>
    <row r="48" ht="21.75" customHeight="1" s="98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 ht="21.75" customHeight="1" s="981">
      <c r="A49" s="344" t="n"/>
      <c r="B49" s="344" t="n"/>
      <c r="C49" s="344" t="n"/>
      <c r="D49" s="344" t="n"/>
      <c r="E49" s="344" t="n"/>
      <c r="F49" s="12" t="n"/>
      <c r="G49" s="344" t="n"/>
      <c r="H49" s="344" t="n"/>
      <c r="I49" s="344" t="n"/>
      <c r="J49" s="12" t="n"/>
      <c r="K49" s="12" t="n"/>
      <c r="L49" s="344" t="n"/>
      <c r="M49" s="12" t="n"/>
      <c r="N49" s="344" t="n"/>
    </row>
    <row r="50" ht="21.75" customHeight="1" s="98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</row>
    <row r="51" ht="21.75" customHeight="1" s="981">
      <c r="A51" s="344" t="n"/>
      <c r="B51" s="344" t="n"/>
      <c r="C51" s="344" t="n"/>
      <c r="D51" s="344" t="n"/>
      <c r="E51" s="344" t="n"/>
      <c r="F51" s="12" t="n"/>
      <c r="G51" s="344" t="n"/>
      <c r="H51" s="344" t="n"/>
      <c r="I51" s="344" t="n"/>
      <c r="J51" s="12" t="n"/>
      <c r="K51" s="12" t="n"/>
      <c r="L51" s="344" t="n"/>
      <c r="M51" s="12" t="n"/>
      <c r="N51" s="344" t="n"/>
    </row>
    <row r="52" ht="21.75" customHeight="1" s="98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 ht="21.75" customHeight="1" s="981">
      <c r="A53" s="344" t="n"/>
      <c r="B53" s="344" t="n"/>
      <c r="C53" s="344" t="n"/>
      <c r="D53" s="344" t="n"/>
      <c r="E53" s="344" t="n"/>
      <c r="F53" s="12" t="n"/>
      <c r="G53" s="344" t="n"/>
      <c r="H53" s="344" t="n"/>
      <c r="I53" s="344" t="n"/>
      <c r="J53" s="12" t="n"/>
      <c r="K53" s="12" t="n"/>
      <c r="L53" s="344" t="n"/>
      <c r="M53" s="12" t="n"/>
      <c r="N53" s="344" t="n"/>
    </row>
    <row r="54" ht="21.75" customHeight="1" s="98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 ht="21.75" customHeight="1" s="981">
      <c r="A55" s="344" t="n"/>
      <c r="B55" s="344" t="n"/>
      <c r="C55" s="344" t="n"/>
      <c r="D55" s="344" t="n"/>
      <c r="E55" s="344" t="n"/>
      <c r="F55" s="12" t="n"/>
      <c r="G55" s="344" t="n"/>
      <c r="H55" s="344" t="n"/>
      <c r="I55" s="344" t="n"/>
      <c r="J55" s="12" t="n"/>
      <c r="K55" s="12" t="n"/>
      <c r="L55" s="344" t="n"/>
      <c r="M55" s="12" t="n"/>
      <c r="N55" s="344" t="n"/>
    </row>
    <row r="56" ht="21.75" customHeight="1" s="98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 ht="21.75" customHeight="1" s="981">
      <c r="A57" s="344" t="n"/>
      <c r="B57" s="344" t="n"/>
      <c r="C57" s="344" t="n"/>
      <c r="D57" s="344" t="n"/>
      <c r="E57" s="344" t="n"/>
      <c r="F57" s="12" t="n"/>
      <c r="G57" s="344" t="n"/>
      <c r="H57" s="344" t="n"/>
      <c r="I57" s="344" t="n"/>
      <c r="J57" s="12" t="n"/>
      <c r="K57" s="12" t="n"/>
      <c r="L57" s="344" t="n"/>
      <c r="M57" s="12" t="n"/>
      <c r="N57" s="344" t="n"/>
    </row>
    <row r="58" ht="21.75" customHeight="1" s="98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 ht="21.75" customHeight="1" s="981">
      <c r="A59" s="344" t="n"/>
      <c r="B59" s="344" t="n"/>
      <c r="C59" s="344" t="n"/>
      <c r="D59" s="344" t="n"/>
      <c r="E59" s="344" t="n"/>
      <c r="F59" s="12" t="n"/>
      <c r="G59" s="344" t="n"/>
      <c r="H59" s="344" t="n"/>
      <c r="I59" s="344" t="n"/>
      <c r="J59" s="12" t="n"/>
      <c r="K59" s="12" t="n"/>
      <c r="L59" s="344" t="n"/>
      <c r="M59" s="12" t="n"/>
      <c r="N59" s="344" t="n"/>
    </row>
    <row r="60" ht="21.75" customHeight="1" s="98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 ht="21.75" customHeight="1" s="981">
      <c r="A61" s="344" t="n"/>
      <c r="B61" s="344" t="n"/>
      <c r="C61" s="344" t="n"/>
      <c r="D61" s="344" t="n"/>
      <c r="E61" s="344" t="n"/>
      <c r="F61" s="12" t="n"/>
      <c r="G61" s="344" t="n"/>
      <c r="H61" s="344" t="n"/>
      <c r="I61" s="344" t="n"/>
      <c r="J61" s="12" t="n"/>
      <c r="K61" s="12" t="n"/>
      <c r="L61" s="344" t="n"/>
      <c r="M61" s="12" t="n"/>
      <c r="N61" s="344" t="n"/>
    </row>
    <row r="62" ht="21.75" customHeight="1" s="98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 ht="21.75" customHeight="1" s="981">
      <c r="A63" s="344" t="n"/>
      <c r="B63" s="344" t="n"/>
      <c r="C63" s="344" t="n"/>
      <c r="D63" s="344" t="n"/>
      <c r="E63" s="344" t="n"/>
      <c r="F63" s="12" t="n"/>
      <c r="G63" s="344" t="n"/>
      <c r="H63" s="344" t="n"/>
      <c r="I63" s="344" t="n"/>
      <c r="J63" s="12" t="n"/>
      <c r="K63" s="12" t="n"/>
      <c r="L63" s="344" t="n"/>
      <c r="M63" s="12" t="n"/>
      <c r="N63" s="344" t="n"/>
    </row>
    <row r="64" ht="21.75" customHeight="1" s="98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 ht="21.75" customHeight="1" s="981">
      <c r="A65" s="344" t="n"/>
      <c r="B65" s="344" t="n"/>
      <c r="C65" s="344" t="n"/>
      <c r="D65" s="344" t="n"/>
      <c r="E65" s="344" t="n"/>
      <c r="F65" s="12" t="n"/>
      <c r="G65" s="344" t="n"/>
      <c r="H65" s="344" t="n"/>
      <c r="I65" s="344" t="n"/>
      <c r="J65" s="12" t="n"/>
      <c r="K65" s="12" t="n"/>
      <c r="L65" s="344" t="n"/>
      <c r="M65" s="12" t="n"/>
      <c r="N65" s="344" t="n"/>
    </row>
    <row r="66" ht="21.75" customHeight="1" s="98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 ht="21.75" customHeight="1" s="981">
      <c r="A67" s="344" t="n"/>
      <c r="B67" s="344" t="n"/>
      <c r="C67" s="344" t="n"/>
      <c r="D67" s="344" t="n"/>
      <c r="E67" s="344" t="n"/>
      <c r="F67" s="12" t="n"/>
      <c r="G67" s="344" t="n"/>
      <c r="H67" s="344" t="n"/>
      <c r="I67" s="344" t="n"/>
      <c r="J67" s="12" t="n"/>
      <c r="K67" s="12" t="n"/>
      <c r="L67" s="344" t="n"/>
      <c r="M67" s="12" t="n"/>
      <c r="N67" s="344" t="n"/>
    </row>
    <row r="68" ht="21.75" customHeight="1" s="98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</sheetData>
  <mergeCells count="19">
    <mergeCell ref="A15:B15"/>
    <mergeCell ref="A1:N1"/>
    <mergeCell ref="C4:D4"/>
    <mergeCell ref="E4:F4"/>
    <mergeCell ref="A3:B3"/>
    <mergeCell ref="G3:H3"/>
    <mergeCell ref="I3:J3"/>
    <mergeCell ref="A2:N2"/>
    <mergeCell ref="M3:N3"/>
    <mergeCell ref="A5:N5"/>
    <mergeCell ref="A4:B4"/>
    <mergeCell ref="G4:H4"/>
    <mergeCell ref="A17:N17"/>
    <mergeCell ref="I4:J4"/>
    <mergeCell ref="K4:L4"/>
    <mergeCell ref="C3:D3"/>
    <mergeCell ref="M4:N4"/>
    <mergeCell ref="E3:F3"/>
    <mergeCell ref="K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zoomScaleNormal="100" workbookViewId="0">
      <pane ySplit="9" topLeftCell="A51" activePane="bottomLeft" state="frozen"/>
      <selection pane="bottomLeft" activeCell="A2" sqref="A2"/>
    </sheetView>
  </sheetViews>
  <sheetFormatPr baseColWidth="8" defaultColWidth="8.6640625" defaultRowHeight="14.4"/>
  <cols>
    <col width="5" customWidth="1" style="981" min="1" max="1"/>
    <col width="12" customWidth="1" style="981" min="2" max="2"/>
    <col width="24" customWidth="1" style="981" min="3" max="3"/>
    <col width="10" customWidth="1" style="981" min="4" max="4"/>
    <col width="12" customWidth="1" style="981" min="5" max="5"/>
    <col width="10" customWidth="1" style="981" min="6" max="6"/>
    <col width="14" customWidth="1" style="981" min="9" max="9"/>
    <col width="11" customWidth="1" style="981" min="10" max="10"/>
    <col width="26.77734375" customWidth="1" style="981" min="11" max="11"/>
    <col width="42.77734375" customWidth="1" style="981" min="12" max="12"/>
  </cols>
  <sheetData>
    <row r="1" ht="36" customHeight="1" s="981">
      <c r="A1" s="1078" t="inlineStr">
        <is>
          <t>🌍 SUPER FILTER v19 — Bộ lọc thống nhất CP VN + CP TG cùng lúc (giống Bloomberg Screener)</t>
        </is>
      </c>
    </row>
    <row r="2" ht="13.5" customHeight="1" s="981">
      <c r="A2" s="973" t="inlineStr">
        <is>
          <t>Q2 2026 | Du lieu BCTC Q1/2026 | Nguon: Sheet 3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</row>
    <row r="4" ht="24" customHeight="1" s="981">
      <c r="A4" s="1035" t="inlineStr">
        <is>
          <t>⚙️ NGƯỠNG LỌC THỐNG NHẤT (áp dụng cho cả VN + TG)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6" t="n"/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</row>
    <row r="6" ht="41.25" customHeight="1" s="981">
      <c r="A6" s="1093" t="inlineStr">
        <is>
          <t>P/E TỐI ĐA</t>
        </is>
      </c>
      <c r="B6" s="5" t="n">
        <v>20</v>
      </c>
      <c r="C6" s="1093" t="inlineStr">
        <is>
          <t>P/E TỐI THIỂU</t>
        </is>
      </c>
      <c r="D6" s="5" t="n">
        <v>0</v>
      </c>
      <c r="E6" s="1093" t="inlineStr">
        <is>
          <t>ROE % TỐI THIỂU</t>
        </is>
      </c>
      <c r="F6" s="5" t="n">
        <v>15</v>
      </c>
      <c r="G6" s="1093" t="inlineStr">
        <is>
          <t>P/B TỐI ĐA</t>
        </is>
      </c>
      <c r="H6" s="5" t="n">
        <v>5</v>
      </c>
      <c r="I6" s="1093" t="inlineStr">
        <is>
          <t>%YTD TỐI THIỂU</t>
        </is>
      </c>
      <c r="J6" s="5" t="n">
        <v>-50</v>
      </c>
      <c r="K6" s="1093" t="inlineStr">
        <is>
          <t>Tín hiệu</t>
        </is>
      </c>
      <c r="L6" s="5" t="inlineStr">
        <is>
          <t>MUA</t>
        </is>
      </c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</row>
    <row r="8" ht="24" customHeight="1" s="981">
      <c r="A8" s="1033" t="inlineStr">
        <is>
          <t>🇻🇳 CỔ PHIẾU VIỆT NAM ĐẠT TIÊU CHÍ (filtered từ 198 mã)</t>
        </is>
      </c>
      <c r="B8" s="965" t="n"/>
      <c r="C8" s="965" t="n"/>
      <c r="D8" s="965" t="n"/>
      <c r="E8" s="965" t="n"/>
      <c r="F8" s="965" t="n"/>
      <c r="G8" s="965" t="n"/>
      <c r="H8" s="965" t="n"/>
      <c r="I8" s="965" t="n"/>
      <c r="J8" s="965" t="n"/>
      <c r="K8" s="965" t="n"/>
      <c r="L8" s="966" t="n"/>
    </row>
    <row r="9" ht="27.75" customHeight="1" s="981">
      <c r="A9" s="242" t="inlineStr">
        <is>
          <t>STT</t>
        </is>
      </c>
      <c r="B9" s="242" t="inlineStr">
        <is>
          <t>Mã</t>
        </is>
      </c>
      <c r="C9" s="242" t="inlineStr">
        <is>
          <t>Tên</t>
        </is>
      </c>
      <c r="D9" s="242" t="inlineStr">
        <is>
          <t>Ngành</t>
        </is>
      </c>
      <c r="E9" s="242" t="inlineStr">
        <is>
          <t>Giá (₫)</t>
        </is>
      </c>
      <c r="F9" s="242" t="inlineStr">
        <is>
          <t>P/E</t>
        </is>
      </c>
      <c r="G9" s="242" t="inlineStr">
        <is>
          <t>P/B</t>
        </is>
      </c>
      <c r="H9" s="242" t="inlineStr">
        <is>
          <t>ROE%</t>
        </is>
      </c>
      <c r="I9" s="242" t="inlineStr">
        <is>
          <t>Vốn hóa</t>
        </is>
      </c>
      <c r="J9" s="242" t="inlineStr">
        <is>
          <t>%YTD</t>
        </is>
      </c>
      <c r="K9" s="242" t="inlineStr">
        <is>
          <t>Tín hiệu</t>
        </is>
      </c>
      <c r="L9" s="242" t="inlineStr">
        <is>
          <t>Ghi chú</t>
        </is>
      </c>
    </row>
    <row r="10" ht="23.25" customHeight="1" s="981">
      <c r="A10" s="351" t="inlineStr">
        <is>
          <t>1</t>
        </is>
      </c>
      <c r="B10" s="351" t="inlineStr">
        <is>
          <t>MBB</t>
        </is>
      </c>
      <c r="C10" s="352" t="inlineStr">
        <is>
          <t>MB Bank</t>
        </is>
      </c>
      <c r="D10" s="352" t="inlineStr">
        <is>
          <t>Ngân hàng</t>
        </is>
      </c>
      <c r="E10" s="351" t="n">
        <v>26150</v>
      </c>
      <c r="F10" s="351" t="n">
        <v>6.4</v>
      </c>
      <c r="G10" s="351" t="n">
        <v>1.4</v>
      </c>
      <c r="H10" s="351" t="n">
        <v>22.1</v>
      </c>
      <c r="I10" s="351" t="n">
        <v>125100</v>
      </c>
      <c r="J10" s="351" t="n">
        <v>0.185</v>
      </c>
      <c r="K10" s="353" t="inlineStr">
        <is>
          <t>MUA MẠNH</t>
        </is>
      </c>
      <c r="L10" s="352" t="inlineStr">
        <is>
          <t>P/E thấp, ROE cao</t>
        </is>
      </c>
    </row>
    <row r="11" ht="13.5" customHeight="1" s="981">
      <c r="A11" s="351" t="inlineStr">
        <is>
          <t>2</t>
        </is>
      </c>
      <c r="B11" s="351" t="inlineStr">
        <is>
          <t>ACB</t>
        </is>
      </c>
      <c r="C11" s="352" t="inlineStr">
        <is>
          <t>Á Châu</t>
        </is>
      </c>
      <c r="D11" s="352" t="inlineStr">
        <is>
          <t>Ngân hàng</t>
        </is>
      </c>
      <c r="E11" s="351" t="n">
        <v>28400</v>
      </c>
      <c r="F11" s="351" t="n">
        <v>7.8</v>
      </c>
      <c r="G11" s="351" t="n">
        <v>1.5</v>
      </c>
      <c r="H11" s="351" t="n">
        <v>19.5</v>
      </c>
      <c r="I11" s="351" t="n">
        <v>131700</v>
      </c>
      <c r="J11" s="351" t="n">
        <v>0.143</v>
      </c>
      <c r="K11" s="354" t="inlineStr">
        <is>
          <t>MUA</t>
        </is>
      </c>
      <c r="L11" s="352" t="inlineStr">
        <is>
          <t>Bán lẻ tốt</t>
        </is>
      </c>
    </row>
    <row r="12" ht="23.25" customHeight="1" s="981">
      <c r="A12" s="351" t="inlineStr">
        <is>
          <t>3</t>
        </is>
      </c>
      <c r="B12" s="351" t="inlineStr">
        <is>
          <t>HDB</t>
        </is>
      </c>
      <c r="C12" s="352" t="inlineStr">
        <is>
          <t>HDBank</t>
        </is>
      </c>
      <c r="D12" s="352" t="inlineStr">
        <is>
          <t>Ngân hàng</t>
        </is>
      </c>
      <c r="E12" s="351" t="n">
        <v>24700</v>
      </c>
      <c r="F12" s="351" t="n">
        <v>7.1</v>
      </c>
      <c r="G12" s="351" t="n">
        <v>1.4</v>
      </c>
      <c r="H12" s="351" t="n">
        <v>21.4</v>
      </c>
      <c r="I12" s="351" t="n">
        <v>71200</v>
      </c>
      <c r="J12" s="351" t="n">
        <v>0.197</v>
      </c>
      <c r="K12" s="353" t="inlineStr">
        <is>
          <t>MUA MẠNH</t>
        </is>
      </c>
      <c r="L12" s="352" t="inlineStr">
        <is>
          <t>ROE 21%, DCA tốt</t>
        </is>
      </c>
    </row>
    <row r="13" ht="13.5" customHeight="1" s="981">
      <c r="A13" s="351" t="inlineStr">
        <is>
          <t>4</t>
        </is>
      </c>
      <c r="B13" s="351" t="inlineStr">
        <is>
          <t>TCB</t>
        </is>
      </c>
      <c r="C13" s="352" t="inlineStr">
        <is>
          <t>Techcombank</t>
        </is>
      </c>
      <c r="D13" s="352" t="inlineStr">
        <is>
          <t>Ngân hàng</t>
        </is>
      </c>
      <c r="E13" s="351" t="n">
        <v>31800</v>
      </c>
      <c r="F13" s="351" t="n">
        <v>7.2</v>
      </c>
      <c r="G13" s="351" t="n">
        <v>1.2</v>
      </c>
      <c r="H13" s="351" t="n">
        <v>17.8</v>
      </c>
      <c r="I13" s="351" t="n">
        <v>224400</v>
      </c>
      <c r="J13" s="351" t="n">
        <v>0.221</v>
      </c>
      <c r="K13" s="353" t="inlineStr">
        <is>
          <t>MUA MẠNH</t>
        </is>
      </c>
      <c r="L13" s="352" t="inlineStr">
        <is>
          <t>Warburg Pincus</t>
        </is>
      </c>
    </row>
    <row r="14" ht="14.25" customHeight="1" s="981">
      <c r="A14" s="351" t="inlineStr">
        <is>
          <t>5</t>
        </is>
      </c>
      <c r="B14" s="351" t="inlineStr">
        <is>
          <t>HAH</t>
        </is>
      </c>
      <c r="C14" s="352" t="inlineStr">
        <is>
          <t>Hải An Transport</t>
        </is>
      </c>
      <c r="D14" s="352" t="inlineStr">
        <is>
          <t>Logistics</t>
        </is>
      </c>
      <c r="E14" s="351" t="n">
        <v>48500</v>
      </c>
      <c r="F14" s="351" t="n">
        <v>9.5</v>
      </c>
      <c r="G14" s="351" t="n">
        <v>1.8</v>
      </c>
      <c r="H14" s="351" t="n">
        <v>22.5</v>
      </c>
      <c r="I14" s="351" t="n">
        <v>5200</v>
      </c>
      <c r="J14" s="351" t="n">
        <v>0.285</v>
      </c>
      <c r="K14" s="353" t="inlineStr">
        <is>
          <t>MUA MẠNH</t>
        </is>
      </c>
      <c r="L14" s="352" t="inlineStr">
        <is>
          <t>Vận tải biển</t>
        </is>
      </c>
    </row>
    <row r="15" ht="13.5" customHeight="1" s="981">
      <c r="A15" s="351" t="inlineStr">
        <is>
          <t>6</t>
        </is>
      </c>
      <c r="B15" s="351" t="inlineStr">
        <is>
          <t>DGC</t>
        </is>
      </c>
      <c r="C15" s="352" t="inlineStr">
        <is>
          <t>Đức Giang Chem</t>
        </is>
      </c>
      <c r="D15" s="352" t="inlineStr">
        <is>
          <t>Hóa chất</t>
        </is>
      </c>
      <c r="E15" s="351" t="n">
        <v>95400</v>
      </c>
      <c r="F15" s="351" t="n">
        <v>12.5</v>
      </c>
      <c r="G15" s="351" t="n">
        <v>3.2</v>
      </c>
      <c r="H15" s="351" t="n">
        <v>28.5</v>
      </c>
      <c r="I15" s="351" t="n">
        <v>38500</v>
      </c>
      <c r="J15" s="351" t="n">
        <v>0.325</v>
      </c>
      <c r="K15" s="353" t="inlineStr">
        <is>
          <t>MUA MẠNH</t>
        </is>
      </c>
      <c r="L15" s="352" t="inlineStr">
        <is>
          <t>Phốt pho TG</t>
        </is>
      </c>
    </row>
    <row r="16" ht="13.5" customHeight="1" s="981">
      <c r="A16" s="351" t="inlineStr">
        <is>
          <t>7</t>
        </is>
      </c>
      <c r="B16" s="351" t="inlineStr">
        <is>
          <t>DGW</t>
        </is>
      </c>
      <c r="C16" s="352" t="inlineStr">
        <is>
          <t>Digiworld</t>
        </is>
      </c>
      <c r="D16" s="352" t="inlineStr">
        <is>
          <t>Bán lẻ</t>
        </is>
      </c>
      <c r="E16" s="351" t="n">
        <v>44500</v>
      </c>
      <c r="F16" s="351" t="n">
        <v>9.800000000000001</v>
      </c>
      <c r="G16" s="351" t="n">
        <v>2.4</v>
      </c>
      <c r="H16" s="351" t="n">
        <v>24.2</v>
      </c>
      <c r="I16" s="351" t="n">
        <v>7400</v>
      </c>
      <c r="J16" s="351" t="n">
        <v>0.225</v>
      </c>
      <c r="K16" s="353" t="inlineStr">
        <is>
          <t>MUA MẠNH</t>
        </is>
      </c>
      <c r="L16" s="352" t="inlineStr">
        <is>
          <t>Apple reseller</t>
        </is>
      </c>
    </row>
    <row r="17" ht="13.5" customHeight="1" s="981">
      <c r="A17" s="351" t="inlineStr">
        <is>
          <t>8</t>
        </is>
      </c>
      <c r="B17" s="351" t="inlineStr">
        <is>
          <t>FRT</t>
        </is>
      </c>
      <c r="C17" s="352" t="inlineStr">
        <is>
          <t>FPT Retail</t>
        </is>
      </c>
      <c r="D17" s="352" t="inlineStr">
        <is>
          <t>Bán lẻ</t>
        </is>
      </c>
      <c r="E17" s="351" t="n">
        <v>142300</v>
      </c>
      <c r="F17" s="351" t="n">
        <v>22.5</v>
      </c>
      <c r="G17" s="351" t="n">
        <v>6.4</v>
      </c>
      <c r="H17" s="351" t="n">
        <v>32.5</v>
      </c>
      <c r="I17" s="351" t="n">
        <v>17200</v>
      </c>
      <c r="J17" s="351" t="n">
        <v>0.354</v>
      </c>
      <c r="K17" s="353" t="inlineStr">
        <is>
          <t>MUA MẠNH</t>
        </is>
      </c>
      <c r="L17" s="352" t="inlineStr">
        <is>
          <t>Tăng trưởng cao</t>
        </is>
      </c>
    </row>
    <row r="18" ht="13.5" customHeight="1" s="981">
      <c r="A18" s="351" t="inlineStr">
        <is>
          <t>9</t>
        </is>
      </c>
      <c r="B18" s="351" t="inlineStr">
        <is>
          <t>VHC</t>
        </is>
      </c>
      <c r="C18" s="352" t="inlineStr">
        <is>
          <t>Vĩnh Hoàn</t>
        </is>
      </c>
      <c r="D18" s="352" t="inlineStr">
        <is>
          <t>Thủy sản</t>
        </is>
      </c>
      <c r="E18" s="351" t="n">
        <v>78500</v>
      </c>
      <c r="F18" s="351" t="n">
        <v>13.5</v>
      </c>
      <c r="G18" s="351" t="n">
        <v>2.4</v>
      </c>
      <c r="H18" s="351" t="n">
        <v>22.5</v>
      </c>
      <c r="I18" s="351" t="n">
        <v>14500</v>
      </c>
      <c r="J18" s="351" t="n">
        <v>0.185</v>
      </c>
      <c r="K18" s="354" t="inlineStr">
        <is>
          <t>MUA</t>
        </is>
      </c>
      <c r="L18" s="352" t="inlineStr">
        <is>
          <t>Cá tra số 1</t>
        </is>
      </c>
    </row>
    <row r="19" ht="13.5" customHeight="1" s="981">
      <c r="A19" s="351" t="inlineStr">
        <is>
          <t>10</t>
        </is>
      </c>
      <c r="B19" s="351" t="inlineStr">
        <is>
          <t>QNS</t>
        </is>
      </c>
      <c r="C19" s="352" t="inlineStr">
        <is>
          <t>Đường QN</t>
        </is>
      </c>
      <c r="D19" s="352" t="inlineStr">
        <is>
          <t>Thực phẩm</t>
        </is>
      </c>
      <c r="E19" s="351" t="n">
        <v>52400</v>
      </c>
      <c r="F19" s="351" t="n">
        <v>11.8</v>
      </c>
      <c r="G19" s="351" t="n">
        <v>2.4</v>
      </c>
      <c r="H19" s="351" t="n">
        <v>18.5</v>
      </c>
      <c r="I19" s="351" t="n">
        <v>18500</v>
      </c>
      <c r="J19" s="351" t="n">
        <v>0.145</v>
      </c>
      <c r="K19" s="354" t="inlineStr">
        <is>
          <t>MUA</t>
        </is>
      </c>
      <c r="L19" s="352" t="inlineStr">
        <is>
          <t>Vinasoy</t>
        </is>
      </c>
    </row>
    <row r="20" ht="13.5" customHeight="1" s="981">
      <c r="A20" s="351" t="inlineStr">
        <is>
          <t>11</t>
        </is>
      </c>
      <c r="B20" s="351" t="inlineStr">
        <is>
          <t>GMD</t>
        </is>
      </c>
      <c r="C20" s="352" t="inlineStr">
        <is>
          <t>Gemadept</t>
        </is>
      </c>
      <c r="D20" s="352" t="inlineStr">
        <is>
          <t>Logistics</t>
        </is>
      </c>
      <c r="E20" s="351" t="n">
        <v>82400</v>
      </c>
      <c r="F20" s="351" t="n">
        <v>14.8</v>
      </c>
      <c r="G20" s="351" t="n">
        <v>2.4</v>
      </c>
      <c r="H20" s="351" t="n">
        <v>18.5</v>
      </c>
      <c r="I20" s="351" t="n">
        <v>21500</v>
      </c>
      <c r="J20" s="351" t="n">
        <v>0.225</v>
      </c>
      <c r="K20" s="354" t="inlineStr">
        <is>
          <t>MUA</t>
        </is>
      </c>
      <c r="L20" s="352" t="inlineStr">
        <is>
          <t>Cảng top VN</t>
        </is>
      </c>
    </row>
    <row r="21" ht="13.5" customHeight="1" s="981">
      <c r="A21" s="351" t="inlineStr">
        <is>
          <t>12</t>
        </is>
      </c>
      <c r="B21" s="351" t="inlineStr">
        <is>
          <t>PNJ</t>
        </is>
      </c>
      <c r="C21" s="352" t="inlineStr">
        <is>
          <t>PNJ</t>
        </is>
      </c>
      <c r="D21" s="352" t="inlineStr">
        <is>
          <t>Bán lẻ</t>
        </is>
      </c>
      <c r="E21" s="351" t="n">
        <v>98700</v>
      </c>
      <c r="F21" s="351" t="n">
        <v>14.2</v>
      </c>
      <c r="G21" s="351" t="n">
        <v>3.8</v>
      </c>
      <c r="H21" s="351" t="n">
        <v>28.5</v>
      </c>
      <c r="I21" s="351" t="n">
        <v>33100</v>
      </c>
      <c r="J21" s="351" t="n">
        <v>0.187</v>
      </c>
      <c r="K21" s="354" t="inlineStr">
        <is>
          <t>MUA</t>
        </is>
      </c>
      <c r="L21" s="352" t="inlineStr">
        <is>
          <t>Trang sức top</t>
        </is>
      </c>
    </row>
    <row r="22" ht="13.5" customHeight="1" s="981">
      <c r="A22" s="351" t="inlineStr">
        <is>
          <t>13</t>
        </is>
      </c>
      <c r="B22" s="351" t="inlineStr">
        <is>
          <t>FPT</t>
        </is>
      </c>
      <c r="C22" s="352" t="inlineStr">
        <is>
          <t>FPT Corp</t>
        </is>
      </c>
      <c r="D22" s="352" t="inlineStr">
        <is>
          <t>Công nghệ</t>
        </is>
      </c>
      <c r="E22" s="351" t="n">
        <v>71900</v>
      </c>
      <c r="F22" s="351" t="n">
        <v>16</v>
      </c>
      <c r="G22" s="351" t="n">
        <v>3.7</v>
      </c>
      <c r="H22" s="351" t="n">
        <v>24.2</v>
      </c>
      <c r="I22" s="351" t="n">
        <v>122482</v>
      </c>
      <c r="J22" s="351" t="n">
        <v>0.145</v>
      </c>
      <c r="K22" s="354" t="inlineStr">
        <is>
          <t>MUA</t>
        </is>
      </c>
      <c r="L22" s="352" t="inlineStr">
        <is>
          <t>Tech compounder</t>
        </is>
      </c>
    </row>
    <row r="23" ht="13.5" customHeight="1" s="981">
      <c r="A23" s="351" t="inlineStr">
        <is>
          <t>14</t>
        </is>
      </c>
      <c r="B23" s="351" t="inlineStr">
        <is>
          <t>VNM</t>
        </is>
      </c>
      <c r="C23" s="352" t="inlineStr">
        <is>
          <t>Vinamilk</t>
        </is>
      </c>
      <c r="D23" s="352" t="inlineStr">
        <is>
          <t>Tiêu dùng</t>
        </is>
      </c>
      <c r="E23" s="351" t="n">
        <v>60900</v>
      </c>
      <c r="F23" s="351" t="n">
        <v>14.7</v>
      </c>
      <c r="G23" s="351" t="n">
        <v>4.3</v>
      </c>
      <c r="H23" s="351" t="n">
        <v>27.5</v>
      </c>
      <c r="I23" s="351" t="n">
        <v>128300</v>
      </c>
      <c r="J23" s="351" t="n">
        <v>0.068</v>
      </c>
      <c r="K23" s="355" t="inlineStr">
        <is>
          <t>GIỮ</t>
        </is>
      </c>
      <c r="L23" s="352" t="inlineStr">
        <is>
          <t>Cổ tức 7%</t>
        </is>
      </c>
    </row>
    <row r="24" ht="13.5" customHeight="1" s="981">
      <c r="A24" s="351" t="inlineStr">
        <is>
          <t>15</t>
        </is>
      </c>
      <c r="B24" s="351" t="inlineStr">
        <is>
          <t>DHG</t>
        </is>
      </c>
      <c r="C24" s="352" t="inlineStr">
        <is>
          <t>Dược HG</t>
        </is>
      </c>
      <c r="D24" s="352" t="inlineStr">
        <is>
          <t>Dược</t>
        </is>
      </c>
      <c r="E24" s="351" t="n">
        <v>105200</v>
      </c>
      <c r="F24" s="351" t="n">
        <v>18.5</v>
      </c>
      <c r="G24" s="351" t="n">
        <v>3.2</v>
      </c>
      <c r="H24" s="351" t="n">
        <v>19.5</v>
      </c>
      <c r="I24" s="351" t="n">
        <v>13700</v>
      </c>
      <c r="J24" s="351" t="n">
        <v>0.145</v>
      </c>
      <c r="K24" s="354" t="inlineStr">
        <is>
          <t>MUA</t>
        </is>
      </c>
      <c r="L24" s="352" t="inlineStr">
        <is>
          <t>Dược top VN</t>
        </is>
      </c>
    </row>
    <row r="25" ht="13.5" customHeight="1" s="981">
      <c r="A25" s="351" t="inlineStr">
        <is>
          <t>16</t>
        </is>
      </c>
      <c r="B25" s="351" t="inlineStr">
        <is>
          <t>IMP</t>
        </is>
      </c>
      <c r="C25" s="352" t="inlineStr">
        <is>
          <t>Imexpharm</t>
        </is>
      </c>
      <c r="D25" s="352" t="inlineStr">
        <is>
          <t>Dược</t>
        </is>
      </c>
      <c r="E25" s="351" t="n">
        <v>78500</v>
      </c>
      <c r="F25" s="351" t="n">
        <v>16.5</v>
      </c>
      <c r="G25" s="351" t="n">
        <v>3.8</v>
      </c>
      <c r="H25" s="351" t="n">
        <v>22.5</v>
      </c>
      <c r="I25" s="351" t="n">
        <v>5200</v>
      </c>
      <c r="J25" s="351" t="n">
        <v>0.185</v>
      </c>
      <c r="K25" s="354" t="inlineStr">
        <is>
          <t>MUA</t>
        </is>
      </c>
      <c r="L25" s="352" t="inlineStr">
        <is>
          <t>Pharma export</t>
        </is>
      </c>
    </row>
    <row r="26" ht="23.25" customHeight="1" s="981">
      <c r="A26" s="351" t="inlineStr">
        <is>
          <t>17</t>
        </is>
      </c>
      <c r="B26" s="351" t="inlineStr">
        <is>
          <t>CTR</t>
        </is>
      </c>
      <c r="C26" s="352" t="inlineStr">
        <is>
          <t>Viettel CT</t>
        </is>
      </c>
      <c r="D26" s="352" t="inlineStr">
        <is>
          <t>Xây dựng</t>
        </is>
      </c>
      <c r="E26" s="351" t="n">
        <v>83400</v>
      </c>
      <c r="F26" s="351" t="n">
        <v>22.5</v>
      </c>
      <c r="G26" s="351" t="n">
        <v>4.4</v>
      </c>
      <c r="H26" s="351" t="n">
        <v>22.8</v>
      </c>
      <c r="I26" s="351" t="n">
        <v>11900</v>
      </c>
      <c r="J26" s="351" t="n">
        <v>0.285</v>
      </c>
      <c r="K26" s="354" t="inlineStr">
        <is>
          <t>MUA</t>
        </is>
      </c>
      <c r="L26" s="352" t="inlineStr">
        <is>
          <t>5G Viettel</t>
        </is>
      </c>
    </row>
    <row r="27" ht="13.5" customHeight="1" s="981">
      <c r="A27" s="351" t="inlineStr">
        <is>
          <t>18</t>
        </is>
      </c>
      <c r="B27" s="351" t="inlineStr">
        <is>
          <t>SSI</t>
        </is>
      </c>
      <c r="C27" s="352" t="inlineStr">
        <is>
          <t>SSI</t>
        </is>
      </c>
      <c r="D27" s="352" t="inlineStr">
        <is>
          <t>Chứng khoán</t>
        </is>
      </c>
      <c r="E27" s="351" t="n">
        <v>38500</v>
      </c>
      <c r="F27" s="351" t="n">
        <v>14.2</v>
      </c>
      <c r="G27" s="351" t="n">
        <v>1.6</v>
      </c>
      <c r="H27" s="351" t="n">
        <v>12.8</v>
      </c>
      <c r="I27" s="351" t="n">
        <v>75800</v>
      </c>
      <c r="J27" s="351" t="n">
        <v>0.184</v>
      </c>
      <c r="K27" s="354" t="inlineStr">
        <is>
          <t>MUA</t>
        </is>
      </c>
      <c r="L27" s="352" t="inlineStr">
        <is>
          <t>CK hưởng lợi TT</t>
        </is>
      </c>
    </row>
    <row r="28" ht="14.25" customHeight="1" s="981">
      <c r="A28" s="351" t="inlineStr">
        <is>
          <t>19</t>
        </is>
      </c>
      <c r="B28" s="351" t="inlineStr">
        <is>
          <t>VCI</t>
        </is>
      </c>
      <c r="C28" s="352" t="inlineStr">
        <is>
          <t>Vietcap</t>
        </is>
      </c>
      <c r="D28" s="352" t="inlineStr">
        <is>
          <t>Chứng khoán</t>
        </is>
      </c>
      <c r="E28" s="351" t="n">
        <v>41800</v>
      </c>
      <c r="F28" s="351" t="n">
        <v>18.5</v>
      </c>
      <c r="G28" s="351" t="n">
        <v>2.1</v>
      </c>
      <c r="H28" s="351" t="n">
        <v>15.2</v>
      </c>
      <c r="I28" s="351" t="n">
        <v>19500</v>
      </c>
      <c r="J28" s="351" t="n">
        <v>0.227</v>
      </c>
      <c r="K28" s="354" t="inlineStr">
        <is>
          <t>MUA</t>
        </is>
      </c>
      <c r="L28" s="352" t="inlineStr">
        <is>
          <t>BROKERAGE tốt</t>
        </is>
      </c>
    </row>
    <row r="29" ht="14.25" customHeight="1" s="981">
      <c r="A29" s="351" t="inlineStr">
        <is>
          <t>20</t>
        </is>
      </c>
      <c r="B29" s="351" t="inlineStr">
        <is>
          <t>GAS</t>
        </is>
      </c>
      <c r="C29" s="352" t="inlineStr">
        <is>
          <t>PV Gas</t>
        </is>
      </c>
      <c r="D29" s="352" t="inlineStr">
        <is>
          <t>Năng lượng</t>
        </is>
      </c>
      <c r="E29" s="351" t="n">
        <v>78500</v>
      </c>
      <c r="F29" s="351" t="n">
        <v>14.5</v>
      </c>
      <c r="G29" s="351" t="n">
        <v>3.2</v>
      </c>
      <c r="H29" s="351" t="n">
        <v>23.4</v>
      </c>
      <c r="I29" s="351" t="n">
        <v>150300</v>
      </c>
      <c r="J29" s="351" t="n">
        <v>0.127</v>
      </c>
      <c r="K29" s="354" t="inlineStr">
        <is>
          <t>MUA</t>
        </is>
      </c>
      <c r="L29" s="352" t="inlineStr">
        <is>
          <t>Cổ tức 6.5%</t>
        </is>
      </c>
    </row>
    <row r="30" ht="13.5" customHeight="1" s="981">
      <c r="A30" s="351" t="inlineStr">
        <is>
          <t>21</t>
        </is>
      </c>
      <c r="B30" s="351" t="inlineStr">
        <is>
          <t>PHR</t>
        </is>
      </c>
      <c r="C30" s="352" t="inlineStr">
        <is>
          <t>Cao su PH</t>
        </is>
      </c>
      <c r="D30" s="352" t="inlineStr">
        <is>
          <t>Cao su</t>
        </is>
      </c>
      <c r="E30" s="351" t="n">
        <v>68500</v>
      </c>
      <c r="F30" s="351" t="n">
        <v>12.5</v>
      </c>
      <c r="G30" s="351" t="n">
        <v>1.8</v>
      </c>
      <c r="H30" s="351" t="n">
        <v>14.5</v>
      </c>
      <c r="I30" s="351" t="n">
        <v>9300</v>
      </c>
      <c r="J30" s="351" t="n">
        <v>0.185</v>
      </c>
      <c r="K30" s="354" t="inlineStr">
        <is>
          <t>MUA</t>
        </is>
      </c>
      <c r="L30" s="352" t="inlineStr">
        <is>
          <t>Cao su tốt</t>
        </is>
      </c>
    </row>
    <row r="31" ht="13.5" customHeight="1" s="981">
      <c r="A31" s="351" t="inlineStr">
        <is>
          <t>22</t>
        </is>
      </c>
      <c r="B31" s="351" t="inlineStr">
        <is>
          <t>MWG</t>
        </is>
      </c>
      <c r="C31" s="352" t="inlineStr">
        <is>
          <t>TG Di Động</t>
        </is>
      </c>
      <c r="D31" s="352" t="inlineStr">
        <is>
          <t>Bán lẻ</t>
        </is>
      </c>
      <c r="E31" s="351" t="n">
        <v>84600</v>
      </c>
      <c r="F31" s="351" t="n">
        <v>17.7</v>
      </c>
      <c r="G31" s="351" t="n">
        <v>3.4</v>
      </c>
      <c r="H31" s="351" t="n">
        <v>22</v>
      </c>
      <c r="I31" s="351" t="n">
        <v>123900</v>
      </c>
      <c r="J31" s="351" t="n">
        <v>0.243</v>
      </c>
      <c r="K31" s="354" t="inlineStr">
        <is>
          <t>MUA</t>
        </is>
      </c>
      <c r="L31" s="352" t="inlineStr">
        <is>
          <t>BHX phục hồi</t>
        </is>
      </c>
    </row>
    <row r="32" ht="13.5" customHeight="1" s="981">
      <c r="A32" s="351" t="inlineStr">
        <is>
          <t>23</t>
        </is>
      </c>
      <c r="B32" s="351" t="inlineStr">
        <is>
          <t>HCM</t>
        </is>
      </c>
      <c r="C32" s="352" t="inlineStr">
        <is>
          <t>HSC</t>
        </is>
      </c>
      <c r="D32" s="352" t="inlineStr">
        <is>
          <t>Chứng khoán</t>
        </is>
      </c>
      <c r="E32" s="351" t="n">
        <v>24500</v>
      </c>
      <c r="F32" s="351" t="n">
        <v>16.2</v>
      </c>
      <c r="G32" s="351" t="n">
        <v>1.7</v>
      </c>
      <c r="H32" s="351" t="n">
        <v>12.4</v>
      </c>
      <c r="I32" s="351" t="n">
        <v>11200</v>
      </c>
      <c r="J32" s="351" t="n">
        <v>0.125</v>
      </c>
      <c r="K32" s="354" t="inlineStr">
        <is>
          <t>MUA</t>
        </is>
      </c>
      <c r="L32" s="352" t="inlineStr">
        <is>
          <t>Institutional</t>
        </is>
      </c>
    </row>
    <row r="33" ht="13.5" customHeight="1" s="981">
      <c r="A33" s="351" t="inlineStr">
        <is>
          <t>24</t>
        </is>
      </c>
      <c r="B33" s="351" t="inlineStr">
        <is>
          <t>BID</t>
        </is>
      </c>
      <c r="C33" s="352" t="inlineStr">
        <is>
          <t>BIDV</t>
        </is>
      </c>
      <c r="D33" s="352" t="inlineStr">
        <is>
          <t>Ngân hàng</t>
        </is>
      </c>
      <c r="E33" s="351" t="n">
        <v>47200</v>
      </c>
      <c r="F33" s="351" t="n">
        <v>11.5</v>
      </c>
      <c r="G33" s="351" t="n">
        <v>1.7</v>
      </c>
      <c r="H33" s="351" t="n">
        <v>15.8</v>
      </c>
      <c r="I33" s="351" t="n">
        <v>268500</v>
      </c>
      <c r="J33" s="351" t="n">
        <v>0.124</v>
      </c>
      <c r="K33" s="354" t="inlineStr">
        <is>
          <t>MUA</t>
        </is>
      </c>
      <c r="L33" s="352" t="inlineStr">
        <is>
          <t>Vốn hóa lớn</t>
        </is>
      </c>
    </row>
    <row r="34" ht="13.5" customHeight="1" s="981">
      <c r="A34" s="351" t="inlineStr">
        <is>
          <t>25</t>
        </is>
      </c>
      <c r="B34" s="351" t="inlineStr">
        <is>
          <t>VCB</t>
        </is>
      </c>
      <c r="C34" s="352" t="inlineStr">
        <is>
          <t>Vietcombank</t>
        </is>
      </c>
      <c r="D34" s="352" t="inlineStr">
        <is>
          <t>Ngân hàng</t>
        </is>
      </c>
      <c r="E34" s="351" t="n">
        <v>60700</v>
      </c>
      <c r="F34" s="351" t="n">
        <v>14</v>
      </c>
      <c r="G34" s="351" t="n">
        <v>2.3</v>
      </c>
      <c r="H34" s="351" t="n">
        <v>17.5</v>
      </c>
      <c r="I34" s="351" t="n">
        <v>457200</v>
      </c>
      <c r="J34" s="351" t="n">
        <v>0.082</v>
      </c>
      <c r="K34" s="355" t="inlineStr">
        <is>
          <t>GIỮ</t>
        </is>
      </c>
      <c r="L34" s="352" t="inlineStr">
        <is>
          <t>Bluechip an toàn</t>
        </is>
      </c>
    </row>
    <row r="35" ht="15" customHeight="1" s="981">
      <c r="A35" s="1050" t="n"/>
      <c r="B35" s="1050" t="n"/>
      <c r="C35" s="1050" t="n"/>
      <c r="D35" s="1050" t="n"/>
      <c r="E35" s="1050" t="n"/>
      <c r="F35" s="1050" t="n"/>
      <c r="G35" s="1050" t="n"/>
      <c r="H35" s="1050" t="n"/>
      <c r="I35" s="1050" t="n"/>
      <c r="J35" s="1050" t="n"/>
      <c r="K35" s="1050" t="n"/>
      <c r="L35" s="1050" t="n"/>
    </row>
    <row r="36" ht="16.5" customHeight="1" s="981">
      <c r="A36" s="1079" t="inlineStr">
        <is>
          <t>🎯 Tổng CP VN đạt:</t>
        </is>
      </c>
      <c r="B36" s="965" t="n"/>
      <c r="C36" s="966" t="n"/>
      <c r="D36" s="356" t="n"/>
      <c r="E36" s="1050" t="n"/>
      <c r="F36" s="1050" t="n"/>
      <c r="G36" s="1050" t="n"/>
      <c r="H36" s="1050" t="n"/>
      <c r="I36" s="1050" t="n"/>
      <c r="J36" s="1050" t="n"/>
      <c r="K36" s="1050" t="n"/>
      <c r="L36" s="1050" t="n"/>
    </row>
    <row r="37" ht="15" customHeight="1" s="981">
      <c r="A37" s="1050" t="n"/>
      <c r="B37" s="1050" t="n"/>
      <c r="C37" s="1050" t="n"/>
      <c r="D37" s="1050" t="n"/>
      <c r="E37" s="1050" t="n"/>
      <c r="F37" s="1050" t="n"/>
      <c r="G37" s="1050" t="n"/>
      <c r="H37" s="1050" t="n"/>
      <c r="I37" s="1050" t="n"/>
      <c r="J37" s="1050" t="n"/>
      <c r="K37" s="1050" t="n"/>
      <c r="L37" s="1050" t="n"/>
    </row>
    <row r="38" ht="24" customHeight="1" s="981">
      <c r="A38" s="1034" t="inlineStr">
        <is>
          <t>🌐 CỔ PHIẾU THẾ GIỚI ĐẠT TIÊU CHÍ (filtered từ 155 mã)</t>
        </is>
      </c>
      <c r="B38" s="965" t="n"/>
      <c r="C38" s="965" t="n"/>
      <c r="D38" s="965" t="n"/>
      <c r="E38" s="965" t="n"/>
      <c r="F38" s="965" t="n"/>
      <c r="G38" s="965" t="n"/>
      <c r="H38" s="965" t="n"/>
      <c r="I38" s="965" t="n"/>
      <c r="J38" s="965" t="n"/>
      <c r="K38" s="965" t="n"/>
      <c r="L38" s="966" t="n"/>
    </row>
    <row r="39" ht="27.75" customHeight="1" s="981">
      <c r="A39" s="1036" t="inlineStr">
        <is>
          <t>STT</t>
        </is>
      </c>
      <c r="B39" s="1036" t="inlineStr">
        <is>
          <t>Ticker</t>
        </is>
      </c>
      <c r="C39" s="1036" t="inlineStr">
        <is>
          <t>Tên</t>
        </is>
      </c>
      <c r="D39" s="1036" t="inlineStr">
        <is>
          <t>Sàn</t>
        </is>
      </c>
      <c r="E39" s="1036" t="inlineStr">
        <is>
          <t>Giá ($)</t>
        </is>
      </c>
      <c r="F39" s="1036" t="inlineStr">
        <is>
          <t>P/E</t>
        </is>
      </c>
      <c r="G39" s="1036" t="inlineStr">
        <is>
          <t>P/B</t>
        </is>
      </c>
      <c r="H39" s="1036" t="inlineStr">
        <is>
          <t>ROE%</t>
        </is>
      </c>
      <c r="I39" s="1036" t="inlineStr">
        <is>
          <t>Vốn hóa ($B)</t>
        </is>
      </c>
      <c r="J39" s="1036" t="inlineStr">
        <is>
          <t>%YTD</t>
        </is>
      </c>
      <c r="K39" s="1036" t="inlineStr">
        <is>
          <t>Tín hiệu</t>
        </is>
      </c>
      <c r="L39" s="1036" t="inlineStr">
        <is>
          <t>Ngành</t>
        </is>
      </c>
    </row>
    <row r="40" ht="14.25" customHeight="1" s="981">
      <c r="A40" s="351" t="inlineStr">
        <is>
          <t>1</t>
        </is>
      </c>
      <c r="B40" s="351" t="inlineStr">
        <is>
          <t>NVDA</t>
        </is>
      </c>
      <c r="C40" s="352" t="inlineStr">
        <is>
          <t>NVIDIA</t>
        </is>
      </c>
      <c r="D40" s="352" t="inlineStr">
        <is>
          <t>NASDAQ</t>
        </is>
      </c>
      <c r="E40" s="351" t="n">
        <v>145.6</v>
      </c>
      <c r="F40" s="351" t="n">
        <v>68.5</v>
      </c>
      <c r="G40" s="351" t="n">
        <v>32.4</v>
      </c>
      <c r="H40" s="351" t="n">
        <v>65.40000000000001</v>
      </c>
      <c r="I40" s="351" t="n">
        <v>3580</v>
      </c>
      <c r="J40" s="16" t="n"/>
      <c r="K40" s="353" t="inlineStr">
        <is>
          <t>MUA MẠNH</t>
        </is>
      </c>
      <c r="L40" s="352" t="inlineStr">
        <is>
          <t>Tech</t>
        </is>
      </c>
    </row>
    <row r="41" ht="13.5" customHeight="1" s="981">
      <c r="A41" s="351" t="inlineStr">
        <is>
          <t>2</t>
        </is>
      </c>
      <c r="B41" s="351" t="inlineStr">
        <is>
          <t>TSM</t>
        </is>
      </c>
      <c r="C41" s="352" t="inlineStr">
        <is>
          <t>TSMC</t>
        </is>
      </c>
      <c r="D41" s="352" t="inlineStr">
        <is>
          <t>NYSE</t>
        </is>
      </c>
      <c r="E41" s="351" t="n">
        <v>215.4</v>
      </c>
      <c r="F41" s="351" t="n">
        <v>28.4</v>
      </c>
      <c r="G41" s="351" t="n">
        <v>7.2</v>
      </c>
      <c r="H41" s="351" t="n">
        <v>26.4</v>
      </c>
      <c r="I41" s="351" t="n">
        <v>1115</v>
      </c>
      <c r="J41" s="357" t="n"/>
      <c r="K41" s="353" t="inlineStr">
        <is>
          <t>MUA MẠNH</t>
        </is>
      </c>
      <c r="L41" s="352" t="inlineStr">
        <is>
          <t>Tech</t>
        </is>
      </c>
    </row>
    <row r="42" ht="13.5" customHeight="1" s="981">
      <c r="A42" s="351" t="inlineStr">
        <is>
          <t>3</t>
        </is>
      </c>
      <c r="B42" s="351" t="inlineStr">
        <is>
          <t>MSFT</t>
        </is>
      </c>
      <c r="C42" s="352" t="inlineStr">
        <is>
          <t>Microsoft</t>
        </is>
      </c>
      <c r="D42" s="352" t="inlineStr">
        <is>
          <t>NASDAQ</t>
        </is>
      </c>
      <c r="E42" s="351" t="n">
        <v>432.2</v>
      </c>
      <c r="F42" s="351" t="n">
        <v>35.2</v>
      </c>
      <c r="G42" s="351" t="n">
        <v>12.8</v>
      </c>
      <c r="H42" s="351" t="n">
        <v>38.5</v>
      </c>
      <c r="I42" s="351" t="n">
        <v>3210</v>
      </c>
      <c r="J42" s="16" t="n"/>
      <c r="K42" s="354" t="inlineStr">
        <is>
          <t>MUA</t>
        </is>
      </c>
      <c r="L42" s="352" t="inlineStr">
        <is>
          <t>Tech</t>
        </is>
      </c>
    </row>
    <row r="43" ht="13.5" customHeight="1" s="981">
      <c r="A43" s="351" t="inlineStr">
        <is>
          <t>4</t>
        </is>
      </c>
      <c r="B43" s="351" t="inlineStr">
        <is>
          <t>META</t>
        </is>
      </c>
      <c r="C43" s="352" t="inlineStr">
        <is>
          <t>Meta</t>
        </is>
      </c>
      <c r="D43" s="352" t="inlineStr">
        <is>
          <t>NASDAQ</t>
        </is>
      </c>
      <c r="E43" s="351" t="n">
        <v>645.3</v>
      </c>
      <c r="F43" s="351" t="n">
        <v>25.4</v>
      </c>
      <c r="G43" s="351" t="n">
        <v>8.800000000000001</v>
      </c>
      <c r="H43" s="351" t="n">
        <v>35.2</v>
      </c>
      <c r="I43" s="351" t="n">
        <v>1620</v>
      </c>
      <c r="J43" s="357" t="n"/>
      <c r="K43" s="354" t="inlineStr">
        <is>
          <t>MUA</t>
        </is>
      </c>
      <c r="L43" s="352" t="inlineStr">
        <is>
          <t>Tech</t>
        </is>
      </c>
    </row>
    <row r="44" ht="13.5" customHeight="1" s="981">
      <c r="A44" s="351" t="inlineStr">
        <is>
          <t>5</t>
        </is>
      </c>
      <c r="B44" s="351" t="inlineStr">
        <is>
          <t>GOOGL</t>
        </is>
      </c>
      <c r="C44" s="352" t="inlineStr">
        <is>
          <t>Alphabet</t>
        </is>
      </c>
      <c r="D44" s="352" t="inlineStr">
        <is>
          <t>NASDAQ</t>
        </is>
      </c>
      <c r="E44" s="351" t="n">
        <v>198.4</v>
      </c>
      <c r="F44" s="351" t="n">
        <v>25.8</v>
      </c>
      <c r="G44" s="351" t="n">
        <v>6.4</v>
      </c>
      <c r="H44" s="351" t="n">
        <v>28.5</v>
      </c>
      <c r="I44" s="351" t="n">
        <v>2470</v>
      </c>
      <c r="J44" s="16" t="n"/>
      <c r="K44" s="354" t="inlineStr">
        <is>
          <t>MUA</t>
        </is>
      </c>
      <c r="L44" s="352" t="inlineStr">
        <is>
          <t>Tech</t>
        </is>
      </c>
    </row>
    <row r="45" ht="14.25" customHeight="1" s="981">
      <c r="A45" s="351" t="inlineStr">
        <is>
          <t>6</t>
        </is>
      </c>
      <c r="B45" s="351" t="inlineStr">
        <is>
          <t>AMZN</t>
        </is>
      </c>
      <c r="C45" s="352" t="inlineStr">
        <is>
          <t>Amazon</t>
        </is>
      </c>
      <c r="D45" s="352" t="inlineStr">
        <is>
          <t>NASDAQ</t>
        </is>
      </c>
      <c r="E45" s="351" t="n">
        <v>215.8</v>
      </c>
      <c r="F45" s="351" t="n">
        <v>42.5</v>
      </c>
      <c r="G45" s="351" t="n">
        <v>8.199999999999999</v>
      </c>
      <c r="H45" s="351" t="n">
        <v>21.4</v>
      </c>
      <c r="I45" s="351" t="n">
        <v>2245</v>
      </c>
      <c r="J45" s="357" t="n"/>
      <c r="K45" s="354" t="inlineStr">
        <is>
          <t>MUA</t>
        </is>
      </c>
      <c r="L45" s="352" t="inlineStr">
        <is>
          <t>Tech</t>
        </is>
      </c>
    </row>
    <row r="46" ht="13.5" customHeight="1" s="981">
      <c r="A46" s="351" t="inlineStr">
        <is>
          <t>7</t>
        </is>
      </c>
      <c r="B46" s="351" t="inlineStr">
        <is>
          <t>JPM</t>
        </is>
      </c>
      <c r="C46" s="352" t="inlineStr">
        <is>
          <t>JPMorgan</t>
        </is>
      </c>
      <c r="D46" s="352" t="inlineStr">
        <is>
          <t>NYSE</t>
        </is>
      </c>
      <c r="E46" s="351" t="n">
        <v>245.8</v>
      </c>
      <c r="F46" s="351" t="n">
        <v>12.8</v>
      </c>
      <c r="G46" s="351" t="n">
        <v>2.1</v>
      </c>
      <c r="H46" s="351" t="n">
        <v>17.5</v>
      </c>
      <c r="I46" s="351" t="n">
        <v>680</v>
      </c>
      <c r="J46" s="16" t="n"/>
      <c r="K46" s="354" t="inlineStr">
        <is>
          <t>MUA</t>
        </is>
      </c>
      <c r="L46" s="352" t="inlineStr">
        <is>
          <t>Bank</t>
        </is>
      </c>
    </row>
    <row r="47" ht="13.5" customHeight="1" s="981">
      <c r="A47" s="351" t="inlineStr">
        <is>
          <t>8</t>
        </is>
      </c>
      <c r="B47" s="351" t="inlineStr">
        <is>
          <t>V</t>
        </is>
      </c>
      <c r="C47" s="352" t="inlineStr">
        <is>
          <t>Visa</t>
        </is>
      </c>
      <c r="D47" s="352" t="inlineStr">
        <is>
          <t>NYSE</t>
        </is>
      </c>
      <c r="E47" s="351" t="n">
        <v>315.4</v>
      </c>
      <c r="F47" s="351" t="n">
        <v>32.5</v>
      </c>
      <c r="G47" s="351" t="n">
        <v>14.2</v>
      </c>
      <c r="H47" s="351" t="n">
        <v>45.2</v>
      </c>
      <c r="I47" s="351" t="n">
        <v>605</v>
      </c>
      <c r="J47" s="357" t="n"/>
      <c r="K47" s="354" t="inlineStr">
        <is>
          <t>MUA</t>
        </is>
      </c>
      <c r="L47" s="352" t="inlineStr">
        <is>
          <t>Finance</t>
        </is>
      </c>
    </row>
    <row r="48" ht="13.5" customHeight="1" s="981">
      <c r="A48" s="351" t="inlineStr">
        <is>
          <t>9</t>
        </is>
      </c>
      <c r="B48" s="351" t="inlineStr">
        <is>
          <t>MA</t>
        </is>
      </c>
      <c r="C48" s="352" t="inlineStr">
        <is>
          <t>Mastercard</t>
        </is>
      </c>
      <c r="D48" s="352" t="inlineStr">
        <is>
          <t>NYSE</t>
        </is>
      </c>
      <c r="E48" s="351" t="n">
        <v>528.7</v>
      </c>
      <c r="F48" s="351" t="n">
        <v>38.4</v>
      </c>
      <c r="G48" s="351" t="n">
        <v>65.40000000000001</v>
      </c>
      <c r="H48" s="351" t="n">
        <v>175.4</v>
      </c>
      <c r="I48" s="351" t="n">
        <v>485</v>
      </c>
      <c r="J48" s="16" t="n"/>
      <c r="K48" s="354" t="inlineStr">
        <is>
          <t>MUA</t>
        </is>
      </c>
      <c r="L48" s="352" t="inlineStr">
        <is>
          <t>Finance</t>
        </is>
      </c>
    </row>
    <row r="49" ht="13.5" customHeight="1" s="981">
      <c r="A49" s="351" t="inlineStr">
        <is>
          <t>10</t>
        </is>
      </c>
      <c r="B49" s="351" t="inlineStr">
        <is>
          <t>BHP</t>
        </is>
      </c>
      <c r="C49" s="352" t="inlineStr">
        <is>
          <t>BHP Group</t>
        </is>
      </c>
      <c r="D49" s="352" t="inlineStr">
        <is>
          <t>NYSE</t>
        </is>
      </c>
      <c r="E49" s="351" t="n">
        <v>58.4</v>
      </c>
      <c r="F49" s="351" t="n">
        <v>12</v>
      </c>
      <c r="G49" s="351" t="n">
        <v>2.3</v>
      </c>
      <c r="H49" s="351" t="n">
        <v>19.5</v>
      </c>
      <c r="I49" s="351" t="n">
        <v>148</v>
      </c>
      <c r="J49" s="357" t="n"/>
      <c r="K49" s="353" t="inlineStr">
        <is>
          <t>MUA MẠNH</t>
        </is>
      </c>
      <c r="L49" s="352" t="inlineStr">
        <is>
          <t>Mining</t>
        </is>
      </c>
    </row>
    <row r="50" ht="13.5" customHeight="1" s="981">
      <c r="A50" s="351" t="inlineStr">
        <is>
          <t>11</t>
        </is>
      </c>
      <c r="B50" s="351" t="inlineStr">
        <is>
          <t>ASML</t>
        </is>
      </c>
      <c r="C50" s="352" t="inlineStr">
        <is>
          <t>ASML</t>
        </is>
      </c>
      <c r="D50" s="352" t="inlineStr">
        <is>
          <t>NASDAQ</t>
        </is>
      </c>
      <c r="E50" s="351" t="n">
        <v>825.6</v>
      </c>
      <c r="F50" s="351" t="n">
        <v>35.4</v>
      </c>
      <c r="G50" s="351" t="n">
        <v>18.5</v>
      </c>
      <c r="H50" s="351" t="n">
        <v>52.4</v>
      </c>
      <c r="I50" s="351" t="n">
        <v>328</v>
      </c>
      <c r="J50" s="16" t="n"/>
      <c r="K50" s="354" t="inlineStr">
        <is>
          <t>MUA</t>
        </is>
      </c>
      <c r="L50" s="352" t="inlineStr">
        <is>
          <t>Tech</t>
        </is>
      </c>
    </row>
    <row r="51" ht="13.5" customHeight="1" s="981">
      <c r="A51" s="351" t="inlineStr">
        <is>
          <t>12</t>
        </is>
      </c>
      <c r="B51" s="351" t="inlineStr">
        <is>
          <t>NVO</t>
        </is>
      </c>
      <c r="C51" s="352" t="inlineStr">
        <is>
          <t>Novo Nordisk</t>
        </is>
      </c>
      <c r="D51" s="352" t="inlineStr">
        <is>
          <t>NYSE</t>
        </is>
      </c>
      <c r="E51" s="351" t="n">
        <v>115.4</v>
      </c>
      <c r="F51" s="351" t="n">
        <v>32.5</v>
      </c>
      <c r="G51" s="351" t="n">
        <v>14.5</v>
      </c>
      <c r="H51" s="351" t="n">
        <v>65.40000000000001</v>
      </c>
      <c r="I51" s="351" t="n">
        <v>515</v>
      </c>
      <c r="J51" s="357" t="n"/>
      <c r="K51" s="354" t="inlineStr">
        <is>
          <t>MUA</t>
        </is>
      </c>
      <c r="L51" s="352" t="inlineStr">
        <is>
          <t>Pharma</t>
        </is>
      </c>
    </row>
    <row r="52" ht="13.5" customHeight="1" s="981">
      <c r="A52" s="351" t="inlineStr">
        <is>
          <t>13</t>
        </is>
      </c>
      <c r="B52" s="351" t="inlineStr">
        <is>
          <t>BABA</t>
        </is>
      </c>
      <c r="C52" s="352" t="inlineStr">
        <is>
          <t>Alibaba</t>
        </is>
      </c>
      <c r="D52" s="352" t="inlineStr">
        <is>
          <t>NYSE</t>
        </is>
      </c>
      <c r="E52" s="351" t="n">
        <v>118.5</v>
      </c>
      <c r="F52" s="351" t="n">
        <v>18.5</v>
      </c>
      <c r="G52" s="351" t="n">
        <v>1.4</v>
      </c>
      <c r="H52" s="351" t="n">
        <v>8.4</v>
      </c>
      <c r="I52" s="351" t="n">
        <v>285</v>
      </c>
      <c r="J52" s="16" t="n"/>
      <c r="K52" s="354" t="inlineStr">
        <is>
          <t>MUA</t>
        </is>
      </c>
      <c r="L52" s="352" t="inlineStr">
        <is>
          <t>Tech CN</t>
        </is>
      </c>
    </row>
    <row r="53" ht="14.25" customHeight="1" s="981">
      <c r="A53" s="351" t="inlineStr">
        <is>
          <t>14</t>
        </is>
      </c>
      <c r="B53" s="351" t="inlineStr">
        <is>
          <t>PDD</t>
        </is>
      </c>
      <c r="C53" s="352" t="inlineStr">
        <is>
          <t>Pinduoduo</t>
        </is>
      </c>
      <c r="D53" s="352" t="inlineStr">
        <is>
          <t>NASDAQ</t>
        </is>
      </c>
      <c r="E53" s="351" t="n">
        <v>145.2</v>
      </c>
      <c r="F53" s="351" t="n">
        <v>14.5</v>
      </c>
      <c r="G53" s="351" t="n">
        <v>6.8</v>
      </c>
      <c r="H53" s="351" t="n">
        <v>48.5</v>
      </c>
      <c r="I53" s="351" t="n">
        <v>175</v>
      </c>
      <c r="J53" s="357" t="n"/>
      <c r="K53" s="354" t="inlineStr">
        <is>
          <t>MUA</t>
        </is>
      </c>
      <c r="L53" s="352" t="inlineStr">
        <is>
          <t>Tech CN</t>
        </is>
      </c>
    </row>
    <row r="54" ht="13.5" customHeight="1" s="981">
      <c r="A54" s="351" t="inlineStr">
        <is>
          <t>15</t>
        </is>
      </c>
      <c r="B54" s="351" t="inlineStr">
        <is>
          <t>DBS</t>
        </is>
      </c>
      <c r="C54" s="352" t="inlineStr">
        <is>
          <t>DBS Group</t>
        </is>
      </c>
      <c r="D54" s="352" t="inlineStr">
        <is>
          <t>SGX</t>
        </is>
      </c>
      <c r="E54" s="351" t="n">
        <v>35.2</v>
      </c>
      <c r="F54" s="351" t="n">
        <v>12.5</v>
      </c>
      <c r="G54" s="351" t="n">
        <v>1.8</v>
      </c>
      <c r="H54" s="351" t="n">
        <v>16.5</v>
      </c>
      <c r="I54" s="351" t="n">
        <v>62</v>
      </c>
      <c r="J54" s="16" t="n"/>
      <c r="K54" s="354" t="inlineStr">
        <is>
          <t>MUA</t>
        </is>
      </c>
      <c r="L54" s="352" t="inlineStr">
        <is>
          <t>Bank</t>
        </is>
      </c>
    </row>
    <row r="55" ht="13.5" customHeight="1" s="981">
      <c r="A55" s="351" t="inlineStr">
        <is>
          <t>16</t>
        </is>
      </c>
      <c r="B55" s="351" t="inlineStr">
        <is>
          <t>GS</t>
        </is>
      </c>
      <c r="C55" s="352" t="inlineStr">
        <is>
          <t>Goldman Sachs</t>
        </is>
      </c>
      <c r="D55" s="352" t="inlineStr">
        <is>
          <t>NYSE</t>
        </is>
      </c>
      <c r="E55" s="351" t="n">
        <v>528.4</v>
      </c>
      <c r="F55" s="351" t="n">
        <v>14.5</v>
      </c>
      <c r="G55" s="351" t="n">
        <v>1.6</v>
      </c>
      <c r="H55" s="351" t="n">
        <v>12.8</v>
      </c>
      <c r="I55" s="351" t="n">
        <v>175</v>
      </c>
      <c r="J55" s="357" t="n"/>
      <c r="K55" s="354" t="inlineStr">
        <is>
          <t>MUA</t>
        </is>
      </c>
      <c r="L55" s="352" t="inlineStr">
        <is>
          <t>Bank</t>
        </is>
      </c>
    </row>
    <row r="56" ht="13.5" customHeight="1" s="981">
      <c r="A56" s="351" t="inlineStr">
        <is>
          <t>17</t>
        </is>
      </c>
      <c r="B56" s="351" t="inlineStr">
        <is>
          <t>ADBE</t>
        </is>
      </c>
      <c r="C56" s="352" t="inlineStr">
        <is>
          <t>Adobe</t>
        </is>
      </c>
      <c r="D56" s="352" t="inlineStr">
        <is>
          <t>NASDAQ</t>
        </is>
      </c>
      <c r="E56" s="351" t="n">
        <v>458.2</v>
      </c>
      <c r="F56" s="351" t="n">
        <v>35.4</v>
      </c>
      <c r="G56" s="351" t="n">
        <v>12.8</v>
      </c>
      <c r="H56" s="351" t="n">
        <v>36.5</v>
      </c>
      <c r="I56" s="351" t="n">
        <v>205</v>
      </c>
      <c r="J56" s="16" t="n"/>
      <c r="K56" s="354" t="inlineStr">
        <is>
          <t>MUA</t>
        </is>
      </c>
      <c r="L56" s="352" t="inlineStr">
        <is>
          <t>Tech</t>
        </is>
      </c>
    </row>
    <row r="57" ht="13.5" customHeight="1" s="981">
      <c r="A57" s="351" t="inlineStr">
        <is>
          <t>18</t>
        </is>
      </c>
      <c r="B57" s="351" t="inlineStr">
        <is>
          <t>AMD</t>
        </is>
      </c>
      <c r="C57" s="352" t="inlineStr">
        <is>
          <t>AMD</t>
        </is>
      </c>
      <c r="D57" s="352" t="inlineStr">
        <is>
          <t>NASDAQ</t>
        </is>
      </c>
      <c r="E57" s="351" t="n">
        <v>138.5</v>
      </c>
      <c r="F57" s="351" t="n">
        <v>48.5</v>
      </c>
      <c r="G57" s="351" t="n">
        <v>5.8</v>
      </c>
      <c r="H57" s="351" t="n">
        <v>14.2</v>
      </c>
      <c r="I57" s="351" t="n">
        <v>225</v>
      </c>
      <c r="J57" s="357" t="n"/>
      <c r="K57" s="354" t="inlineStr">
        <is>
          <t>MUA</t>
        </is>
      </c>
      <c r="L57" s="352" t="inlineStr">
        <is>
          <t>Tech</t>
        </is>
      </c>
    </row>
    <row r="58" ht="13.5" customHeight="1" s="981">
      <c r="A58" s="351" t="inlineStr">
        <is>
          <t>19</t>
        </is>
      </c>
      <c r="B58" s="351" t="inlineStr">
        <is>
          <t>JNJ</t>
        </is>
      </c>
      <c r="C58" s="352" t="inlineStr">
        <is>
          <t>J&amp;J</t>
        </is>
      </c>
      <c r="D58" s="352" t="inlineStr">
        <is>
          <t>NYSE</t>
        </is>
      </c>
      <c r="E58" s="351" t="n">
        <v>158.5</v>
      </c>
      <c r="F58" s="351" t="n">
        <v>17.5</v>
      </c>
      <c r="G58" s="351" t="n">
        <v>5.2</v>
      </c>
      <c r="H58" s="351" t="n">
        <v>22.5</v>
      </c>
      <c r="I58" s="351" t="n">
        <v>380</v>
      </c>
      <c r="J58" s="16" t="n"/>
      <c r="K58" s="354" t="inlineStr">
        <is>
          <t>MUA</t>
        </is>
      </c>
      <c r="L58" s="352" t="inlineStr">
        <is>
          <t>Healthcare</t>
        </is>
      </c>
    </row>
    <row r="59" ht="13.5" customHeight="1" s="981">
      <c r="A59" s="351" t="inlineStr">
        <is>
          <t>20</t>
        </is>
      </c>
      <c r="B59" s="351" t="inlineStr">
        <is>
          <t>NEE</t>
        </is>
      </c>
      <c r="C59" s="352" t="inlineStr">
        <is>
          <t>NextEra</t>
        </is>
      </c>
      <c r="D59" s="352" t="inlineStr">
        <is>
          <t>NYSE</t>
        </is>
      </c>
      <c r="E59" s="351" t="n">
        <v>68.5</v>
      </c>
      <c r="F59" s="351" t="n">
        <v>22.5</v>
      </c>
      <c r="G59" s="351" t="n">
        <v>2.8</v>
      </c>
      <c r="H59" s="351" t="n">
        <v>12.5</v>
      </c>
      <c r="I59" s="351" t="n">
        <v>145</v>
      </c>
      <c r="J59" s="357" t="n"/>
      <c r="K59" s="354" t="inlineStr">
        <is>
          <t>MUA</t>
        </is>
      </c>
      <c r="L59" s="352" t="inlineStr">
        <is>
          <t>Utilities</t>
        </is>
      </c>
    </row>
    <row r="60" ht="13.5" customHeight="1" s="981">
      <c r="A60" s="12" t="n">
        <v>21</v>
      </c>
      <c r="B60" s="235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964" t="n"/>
    </row>
    <row r="61" ht="13.5" customHeight="1" s="981">
      <c r="A61" s="358" t="n">
        <v>22</v>
      </c>
      <c r="B61" s="1093" t="n"/>
      <c r="C61" s="357" t="n"/>
      <c r="D61" s="357" t="n"/>
      <c r="E61" s="357" t="n"/>
      <c r="F61" s="357" t="n"/>
      <c r="G61" s="357" t="n"/>
      <c r="H61" s="357" t="n"/>
      <c r="I61" s="357" t="n"/>
      <c r="J61" s="357" t="n"/>
      <c r="K61" s="357" t="n"/>
      <c r="L61" s="1095" t="n"/>
    </row>
    <row r="62" ht="13.5" customHeight="1" s="981">
      <c r="A62" s="12" t="n">
        <v>23</v>
      </c>
      <c r="B62" s="235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964" t="n"/>
    </row>
    <row r="63" ht="13.5" customHeight="1" s="981">
      <c r="A63" s="358" t="n">
        <v>24</v>
      </c>
      <c r="B63" s="1093" t="n"/>
      <c r="C63" s="357" t="n"/>
      <c r="D63" s="357" t="n"/>
      <c r="E63" s="357" t="n"/>
      <c r="F63" s="357" t="n"/>
      <c r="G63" s="357" t="n"/>
      <c r="H63" s="357" t="n"/>
      <c r="I63" s="357" t="n"/>
      <c r="J63" s="357" t="n"/>
      <c r="K63" s="357" t="n"/>
      <c r="L63" s="1095" t="n"/>
    </row>
    <row r="64" ht="13.5" customHeight="1" s="981">
      <c r="A64" s="12" t="n">
        <v>25</v>
      </c>
      <c r="B64" s="235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964" t="n"/>
    </row>
    <row r="65" ht="15" customHeight="1" s="981">
      <c r="A65" s="1050" t="n"/>
      <c r="B65" s="1050" t="n"/>
      <c r="C65" s="1050" t="n"/>
      <c r="D65" s="1050" t="n"/>
      <c r="E65" s="1050" t="n"/>
      <c r="F65" s="1050" t="n"/>
      <c r="G65" s="1050" t="n"/>
      <c r="H65" s="1050" t="n"/>
      <c r="I65" s="1050" t="n"/>
      <c r="J65" s="1050" t="n"/>
      <c r="K65" s="1050" t="n"/>
      <c r="L65" s="1050" t="n"/>
    </row>
    <row r="66" ht="16.5" customHeight="1" s="981">
      <c r="A66" s="1079" t="inlineStr">
        <is>
          <t>🎯 Tổng CP TG đạt:</t>
        </is>
      </c>
      <c r="B66" s="965" t="n"/>
      <c r="C66" s="966" t="n"/>
      <c r="D66" s="356" t="n"/>
      <c r="E66" s="1050" t="n"/>
      <c r="F66" s="1050" t="n"/>
      <c r="G66" s="1050" t="n"/>
      <c r="H66" s="1050" t="n"/>
      <c r="I66" s="1050" t="n"/>
      <c r="J66" s="1050" t="n"/>
      <c r="K66" s="1050" t="n"/>
      <c r="L66" s="1050" t="n"/>
    </row>
    <row r="67" ht="15" customHeight="1" s="981">
      <c r="A67" s="1050" t="n"/>
      <c r="B67" s="1050" t="n"/>
      <c r="C67" s="1050" t="n"/>
      <c r="D67" s="1050" t="n"/>
      <c r="E67" s="1050" t="n"/>
      <c r="F67" s="1050" t="n"/>
      <c r="G67" s="1050" t="n"/>
      <c r="H67" s="1050" t="n"/>
      <c r="I67" s="1050" t="n"/>
      <c r="J67" s="1050" t="n"/>
      <c r="K67" s="1050" t="n"/>
      <c r="L67" s="1050" t="n"/>
    </row>
    <row r="68" ht="24" customHeight="1" s="981">
      <c r="A68" s="1034" t="inlineStr">
        <is>
          <t>📖 CÁCH DÙNG SUPER FILTER:</t>
        </is>
      </c>
      <c r="B68" s="965" t="n"/>
      <c r="C68" s="965" t="n"/>
      <c r="D68" s="965" t="n"/>
      <c r="E68" s="965" t="n"/>
      <c r="F68" s="965" t="n"/>
      <c r="G68" s="965" t="n"/>
      <c r="H68" s="965" t="n"/>
      <c r="I68" s="965" t="n"/>
      <c r="J68" s="965" t="n"/>
      <c r="K68" s="965" t="n"/>
      <c r="L68" s="966" t="n"/>
    </row>
    <row r="69" ht="27.75" customHeight="1" s="981">
      <c r="A69" s="1036" t="inlineStr">
        <is>
          <t>Mục tiêu</t>
        </is>
      </c>
      <c r="B69" s="1036" t="inlineStr">
        <is>
          <t>Cài đặt ngưỡng</t>
        </is>
      </c>
      <c r="C69" s="965" t="n"/>
      <c r="D69" s="965" t="n"/>
      <c r="E69" s="965" t="n"/>
      <c r="F69" s="965" t="n"/>
      <c r="G69" s="966" t="n"/>
      <c r="H69" s="1036" t="inlineStr">
        <is>
          <t>Kết quả</t>
        </is>
      </c>
      <c r="I69" s="965" t="n"/>
      <c r="J69" s="965" t="n"/>
      <c r="K69" s="965" t="n"/>
      <c r="L69" s="966" t="n"/>
    </row>
    <row r="70" ht="30" customHeight="1" s="981">
      <c r="A70" s="1108" t="inlineStr">
        <is>
          <t>Tìm value stock</t>
        </is>
      </c>
      <c r="B70" s="964" t="inlineStr">
        <is>
          <t>P/E max=15, ROE min=15, P/B max=2, Tín hiệu="MUA"</t>
        </is>
      </c>
      <c r="C70" s="965" t="n"/>
      <c r="D70" s="965" t="n"/>
      <c r="E70" s="965" t="n"/>
      <c r="F70" s="965" t="n"/>
      <c r="G70" s="966" t="n"/>
      <c r="H70" s="964" t="inlineStr">
        <is>
          <t>Lọc Buffett-style: rẻ + chất lượng cao</t>
        </is>
      </c>
      <c r="I70" s="965" t="n"/>
      <c r="J70" s="965" t="n"/>
      <c r="K70" s="965" t="n"/>
      <c r="L70" s="966" t="n"/>
    </row>
    <row r="71" ht="30" customHeight="1" s="981">
      <c r="A71" s="1108" t="inlineStr">
        <is>
          <t>Tìm growth stock</t>
        </is>
      </c>
      <c r="B71" s="964" t="inlineStr">
        <is>
          <t>P/E max=40, P/E min=15, ROE min=20, Tín hiệu="MUA"</t>
        </is>
      </c>
      <c r="C71" s="965" t="n"/>
      <c r="D71" s="965" t="n"/>
      <c r="E71" s="965" t="n"/>
      <c r="F71" s="965" t="n"/>
      <c r="G71" s="966" t="n"/>
      <c r="H71" s="964" t="inlineStr">
        <is>
          <t>Đắt một chút nhưng tăng trưởng mạnh</t>
        </is>
      </c>
      <c r="I71" s="965" t="n"/>
      <c r="J71" s="965" t="n"/>
      <c r="K71" s="965" t="n"/>
      <c r="L71" s="966" t="n"/>
    </row>
    <row r="72" ht="30" customHeight="1" s="981">
      <c r="A72" s="1108" t="inlineStr">
        <is>
          <t>Tìm cơ hội phục hồi</t>
        </is>
      </c>
      <c r="B72" s="964" t="inlineStr">
        <is>
          <t>P/E max=10, P/E min=3, %YTD min=-30, ROE min=10</t>
        </is>
      </c>
      <c r="C72" s="965" t="n"/>
      <c r="D72" s="965" t="n"/>
      <c r="E72" s="965" t="n"/>
      <c r="F72" s="965" t="n"/>
      <c r="G72" s="966" t="n"/>
      <c r="H72" s="964" t="inlineStr">
        <is>
          <t>Mã giảm sâu nhưng vẫn có lãi</t>
        </is>
      </c>
      <c r="I72" s="965" t="n"/>
      <c r="J72" s="965" t="n"/>
      <c r="K72" s="965" t="n"/>
      <c r="L72" s="966" t="n"/>
    </row>
    <row r="73" ht="30" customHeight="1" s="981">
      <c r="A73" s="1108" t="inlineStr">
        <is>
          <t>Tìm bluechip an toàn</t>
        </is>
      </c>
      <c r="B73" s="964" t="inlineStr">
        <is>
          <t>P/E max=25, P/B max=4, ROE min=12, Tín hiệu="GIỮ"</t>
        </is>
      </c>
      <c r="C73" s="965" t="n"/>
      <c r="D73" s="965" t="n"/>
      <c r="E73" s="965" t="n"/>
      <c r="F73" s="965" t="n"/>
      <c r="G73" s="966" t="n"/>
      <c r="H73" s="964" t="inlineStr">
        <is>
          <t>Mã lớn, ổn định, ít rủi ro</t>
        </is>
      </c>
      <c r="I73" s="965" t="n"/>
      <c r="J73" s="965" t="n"/>
      <c r="K73" s="965" t="n"/>
      <c r="L73" s="966" t="n"/>
    </row>
    <row r="74" ht="30" customHeight="1" s="981">
      <c r="A74" s="1108" t="inlineStr">
        <is>
          <t>Tìm dividend stock</t>
        </is>
      </c>
      <c r="B74" s="964" t="inlineStr">
        <is>
          <t>P/E max=15, ROE min=10, Tín hiệu="GIỮ"</t>
        </is>
      </c>
      <c r="C74" s="965" t="n"/>
      <c r="D74" s="965" t="n"/>
      <c r="E74" s="965" t="n"/>
      <c r="F74" s="965" t="n"/>
      <c r="G74" s="966" t="n"/>
      <c r="H74" s="964" t="inlineStr">
        <is>
          <t>Mã cổ tức cao, dòng tiền đều</t>
        </is>
      </c>
      <c r="I74" s="965" t="n"/>
      <c r="J74" s="965" t="n"/>
      <c r="K74" s="965" t="n"/>
      <c r="L74" s="966" t="n"/>
    </row>
    <row r="75" ht="30" customHeight="1" s="981">
      <c r="A75" s="1108" t="inlineStr">
        <is>
          <t>XEM TẤT CẢ</t>
        </is>
      </c>
      <c r="B75" s="964" t="inlineStr">
        <is>
          <t>Mở rộng ngưỡng: P/E max=999, P/B max=999, ROE min=0, %YTD min=-99, Tín hiệu=""</t>
        </is>
      </c>
      <c r="C75" s="965" t="n"/>
      <c r="D75" s="965" t="n"/>
      <c r="E75" s="965" t="n"/>
      <c r="F75" s="965" t="n"/>
      <c r="G75" s="966" t="n"/>
      <c r="H75" s="964" t="inlineStr">
        <is>
          <t>Xem tất cả 198 + 155 mã</t>
        </is>
      </c>
      <c r="I75" s="965" t="n"/>
      <c r="J75" s="965" t="n"/>
      <c r="K75" s="965" t="n"/>
      <c r="L75" s="966" t="n"/>
    </row>
  </sheetData>
  <mergeCells count="22">
    <mergeCell ref="A66:C66"/>
    <mergeCell ref="B73:G73"/>
    <mergeCell ref="B69:G69"/>
    <mergeCell ref="H74:L74"/>
    <mergeCell ref="A2:L2"/>
    <mergeCell ref="H73:L73"/>
    <mergeCell ref="A8:L8"/>
    <mergeCell ref="B74:G74"/>
    <mergeCell ref="A4:L4"/>
    <mergeCell ref="H70:L70"/>
    <mergeCell ref="A38:L38"/>
    <mergeCell ref="H69:L69"/>
    <mergeCell ref="A68:L68"/>
    <mergeCell ref="A1:P1"/>
    <mergeCell ref="H72:L72"/>
    <mergeCell ref="B75:G75"/>
    <mergeCell ref="H75:L75"/>
    <mergeCell ref="B72:G72"/>
    <mergeCell ref="A36:C36"/>
    <mergeCell ref="B71:G71"/>
    <mergeCell ref="H71:L71"/>
    <mergeCell ref="B70:G70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2" customWidth="1" style="981" min="1" max="1"/>
    <col width="30" customWidth="1" style="981" min="2" max="2"/>
    <col width="14" customWidth="1" style="981" min="3" max="3"/>
    <col width="10" customWidth="1" style="981" min="4" max="4"/>
    <col width="14" customWidth="1" style="981" min="11" max="11"/>
    <col width="40" customWidth="1" style="981" min="12" max="12"/>
  </cols>
  <sheetData>
    <row r="1" ht="30" customHeight="1" s="981">
      <c r="A1" s="1080" t="inlineStr">
        <is>
          <t>📊 PHÂN TÍCH QUỸ ĐẦU TƯ CHUYÊN SÂU v25 — 64 ETF &amp; Quỹ Toàn Cầu + Việt Nam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5" customHeight="1" s="981">
      <c r="A2" s="1087" t="inlineStr">
        <is>
          <t>So sánh phí | Lợi nhuận | Dividend | Risk | Phân loại | Tín hiệu DCA | Cập nhật: May 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</row>
    <row r="4" ht="21.75" customHeight="1" s="981">
      <c r="A4" s="1084" t="inlineStr">
        <is>
          <t>🔍 BẢNG SO SÁNH QUỸ THEO HIỆU SUẤT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6" t="n"/>
    </row>
    <row r="5" ht="30.75" customHeight="1" s="981">
      <c r="A5" s="360" t="inlineStr">
        <is>
          <t>Mã</t>
        </is>
      </c>
      <c r="B5" s="360" t="inlineStr">
        <is>
          <t>Tên Quỹ</t>
        </is>
      </c>
      <c r="C5" s="360" t="inlineStr">
        <is>
          <t>Loại</t>
        </is>
      </c>
      <c r="D5" s="360" t="inlineStr">
        <is>
          <t>AUM(B$)</t>
        </is>
      </c>
      <c r="E5" s="360" t="inlineStr">
        <is>
          <t>Phí%/năm</t>
        </is>
      </c>
      <c r="F5" s="360" t="inlineStr">
        <is>
          <t>Div%</t>
        </is>
      </c>
      <c r="G5" s="360" t="inlineStr">
        <is>
          <t>%YTD</t>
        </is>
      </c>
      <c r="H5" s="360" t="inlineStr">
        <is>
          <t>%1Y</t>
        </is>
      </c>
      <c r="I5" s="360" t="inlineStr">
        <is>
          <t>5Y CAGR</t>
        </is>
      </c>
      <c r="J5" s="360" t="inlineStr">
        <is>
          <t>Điểm QX</t>
        </is>
      </c>
      <c r="K5" s="360" t="inlineStr">
        <is>
          <t>Tín hiệu</t>
        </is>
      </c>
      <c r="L5" s="360" t="inlineStr">
        <is>
          <t>Ghi chú chiến lược</t>
        </is>
      </c>
    </row>
    <row r="6" ht="15" customHeight="1" s="981">
      <c r="A6" s="361" t="n"/>
      <c r="B6" s="361" t="n"/>
      <c r="C6" s="361" t="n"/>
      <c r="D6" s="361" t="n"/>
      <c r="E6" s="361" t="n"/>
      <c r="F6" s="361" t="n"/>
      <c r="G6" s="361" t="n"/>
      <c r="H6" s="361" t="n"/>
      <c r="I6" s="361" t="n"/>
      <c r="J6" s="361" t="n"/>
      <c r="K6" s="361" t="n"/>
      <c r="L6" s="361" t="n"/>
    </row>
    <row r="7" ht="15" customHeight="1" s="981">
      <c r="A7" s="362" t="n"/>
      <c r="B7" s="362" t="n"/>
      <c r="C7" s="362" t="n"/>
      <c r="D7" s="362" t="n"/>
      <c r="E7" s="362" t="n"/>
      <c r="F7" s="362" t="n"/>
      <c r="G7" s="362" t="n"/>
      <c r="H7" s="362" t="n"/>
      <c r="I7" s="362" t="n"/>
      <c r="J7" s="362" t="n"/>
      <c r="K7" s="362" t="n"/>
      <c r="L7" s="362" t="n"/>
    </row>
    <row r="8" ht="15" customHeight="1" s="981">
      <c r="A8" s="361" t="n"/>
      <c r="B8" s="361" t="n"/>
      <c r="C8" s="361" t="n"/>
      <c r="D8" s="361" t="n"/>
      <c r="E8" s="361" t="n"/>
      <c r="F8" s="361" t="n"/>
      <c r="G8" s="361" t="n"/>
      <c r="H8" s="361" t="n"/>
      <c r="I8" s="361" t="n"/>
      <c r="J8" s="361" t="n"/>
      <c r="K8" s="361" t="n"/>
      <c r="L8" s="361" t="n"/>
    </row>
    <row r="9" ht="15" customHeight="1" s="981">
      <c r="A9" s="362" t="n"/>
      <c r="B9" s="362" t="n"/>
      <c r="C9" s="362" t="n"/>
      <c r="D9" s="362" t="n"/>
      <c r="E9" s="362" t="n"/>
      <c r="F9" s="362" t="n"/>
      <c r="G9" s="362" t="n"/>
      <c r="H9" s="362" t="n"/>
      <c r="I9" s="362" t="n"/>
      <c r="J9" s="362" t="n"/>
      <c r="K9" s="362" t="n"/>
      <c r="L9" s="362" t="n"/>
    </row>
    <row r="10" ht="15" customHeight="1" s="981">
      <c r="A10" s="361" t="n"/>
      <c r="B10" s="361" t="n"/>
      <c r="C10" s="361" t="n"/>
      <c r="D10" s="361" t="n"/>
      <c r="E10" s="361" t="n"/>
      <c r="F10" s="361" t="n"/>
      <c r="G10" s="361" t="n"/>
      <c r="H10" s="361" t="n"/>
      <c r="I10" s="361" t="n"/>
      <c r="J10" s="361" t="n"/>
      <c r="K10" s="361" t="n"/>
      <c r="L10" s="361" t="n"/>
    </row>
    <row r="11" ht="15" customHeight="1" s="981">
      <c r="A11" s="362" t="n"/>
      <c r="B11" s="362" t="n"/>
      <c r="C11" s="362" t="n"/>
      <c r="D11" s="362" t="n"/>
      <c r="E11" s="362" t="n"/>
      <c r="F11" s="362" t="n"/>
      <c r="G11" s="362" t="n"/>
      <c r="H11" s="362" t="n"/>
      <c r="I11" s="362" t="n"/>
      <c r="J11" s="362" t="n"/>
      <c r="K11" s="362" t="n"/>
      <c r="L11" s="362" t="n"/>
    </row>
    <row r="12" ht="15" customHeight="1" s="981">
      <c r="A12" s="361" t="n"/>
      <c r="B12" s="361" t="n"/>
      <c r="C12" s="361" t="n"/>
      <c r="D12" s="361" t="n"/>
      <c r="E12" s="361" t="n"/>
      <c r="F12" s="361" t="n"/>
      <c r="G12" s="361" t="n"/>
      <c r="H12" s="361" t="n"/>
      <c r="I12" s="361" t="n"/>
      <c r="J12" s="361" t="n"/>
      <c r="K12" s="361" t="n"/>
      <c r="L12" s="361" t="n"/>
    </row>
    <row r="13" ht="15" customHeight="1" s="981">
      <c r="A13" s="362" t="n"/>
      <c r="B13" s="362" t="n"/>
      <c r="C13" s="362" t="n"/>
      <c r="D13" s="362" t="n"/>
      <c r="E13" s="362" t="n"/>
      <c r="F13" s="362" t="n"/>
      <c r="G13" s="362" t="n"/>
      <c r="H13" s="362" t="n"/>
      <c r="I13" s="362" t="n"/>
      <c r="J13" s="362" t="n"/>
      <c r="K13" s="362" t="n"/>
      <c r="L13" s="362" t="n"/>
    </row>
    <row r="14" ht="15" customHeight="1" s="981">
      <c r="A14" s="361" t="n"/>
      <c r="B14" s="361" t="n"/>
      <c r="C14" s="361" t="n"/>
      <c r="D14" s="361" t="n"/>
      <c r="E14" s="361" t="n"/>
      <c r="F14" s="361" t="n"/>
      <c r="G14" s="361" t="n"/>
      <c r="H14" s="361" t="n"/>
      <c r="I14" s="361" t="n"/>
      <c r="J14" s="361" t="n"/>
      <c r="K14" s="361" t="n"/>
      <c r="L14" s="361" t="n"/>
    </row>
    <row r="15" ht="15" customHeight="1" s="981">
      <c r="A15" s="362" t="n"/>
      <c r="B15" s="362" t="n"/>
      <c r="C15" s="362" t="n"/>
      <c r="D15" s="362" t="n"/>
      <c r="E15" s="362" t="n"/>
      <c r="F15" s="362" t="n"/>
      <c r="G15" s="362" t="n"/>
      <c r="H15" s="362" t="n"/>
      <c r="I15" s="362" t="n"/>
      <c r="J15" s="362" t="n"/>
      <c r="K15" s="362" t="n"/>
      <c r="L15" s="362" t="n"/>
    </row>
    <row r="16" ht="15" customHeight="1" s="981">
      <c r="A16" s="361" t="n"/>
      <c r="B16" s="361" t="n"/>
      <c r="C16" s="361" t="n"/>
      <c r="D16" s="361" t="n"/>
      <c r="E16" s="361" t="n"/>
      <c r="F16" s="361" t="n"/>
      <c r="G16" s="361" t="n"/>
      <c r="H16" s="361" t="n"/>
      <c r="I16" s="361" t="n"/>
      <c r="J16" s="361" t="n"/>
      <c r="K16" s="361" t="n"/>
      <c r="L16" s="361" t="n"/>
    </row>
    <row r="17" ht="15" customHeight="1" s="981">
      <c r="A17" s="362" t="n"/>
      <c r="B17" s="362" t="n"/>
      <c r="C17" s="362" t="n"/>
      <c r="D17" s="362" t="n"/>
      <c r="E17" s="362" t="n"/>
      <c r="F17" s="362" t="n"/>
      <c r="G17" s="362" t="n"/>
      <c r="H17" s="362" t="n"/>
      <c r="I17" s="362" t="n"/>
      <c r="J17" s="362" t="n"/>
      <c r="K17" s="362" t="n"/>
      <c r="L17" s="362" t="n"/>
    </row>
    <row r="18" ht="15" customHeight="1" s="981">
      <c r="A18" s="361" t="n"/>
      <c r="B18" s="361" t="n"/>
      <c r="C18" s="361" t="n"/>
      <c r="D18" s="361" t="n"/>
      <c r="E18" s="361" t="n"/>
      <c r="F18" s="361" t="n"/>
      <c r="G18" s="361" t="n"/>
      <c r="H18" s="361" t="n"/>
      <c r="I18" s="361" t="n"/>
      <c r="J18" s="361" t="n"/>
      <c r="K18" s="361" t="n"/>
      <c r="L18" s="361" t="n"/>
    </row>
    <row r="19" ht="15" customHeight="1" s="981">
      <c r="A19" s="362" t="n"/>
      <c r="B19" s="362" t="n"/>
      <c r="C19" s="362" t="n"/>
      <c r="D19" s="362" t="n"/>
      <c r="E19" s="362" t="n"/>
      <c r="F19" s="362" t="n"/>
      <c r="G19" s="362" t="n"/>
      <c r="H19" s="362" t="n"/>
      <c r="I19" s="362" t="n"/>
      <c r="J19" s="362" t="n"/>
      <c r="K19" s="362" t="n"/>
      <c r="L19" s="362" t="n"/>
    </row>
    <row r="20" ht="15" customHeight="1" s="981">
      <c r="A20" s="361" t="n"/>
      <c r="B20" s="361" t="n"/>
      <c r="C20" s="361" t="n"/>
      <c r="D20" s="361" t="n"/>
      <c r="E20" s="361" t="n"/>
      <c r="F20" s="361" t="n"/>
      <c r="G20" s="361" t="n"/>
      <c r="H20" s="361" t="n"/>
      <c r="I20" s="361" t="n"/>
      <c r="J20" s="361" t="n"/>
      <c r="K20" s="361" t="n"/>
      <c r="L20" s="361" t="n"/>
    </row>
    <row r="21" ht="15" customHeight="1" s="981">
      <c r="A21" s="362" t="n"/>
      <c r="B21" s="362" t="n"/>
      <c r="C21" s="362" t="n"/>
      <c r="D21" s="362" t="n"/>
      <c r="E21" s="362" t="n"/>
      <c r="F21" s="362" t="n"/>
      <c r="G21" s="362" t="n"/>
      <c r="H21" s="362" t="n"/>
      <c r="I21" s="362" t="n"/>
      <c r="J21" s="362" t="n"/>
      <c r="K21" s="362" t="n"/>
      <c r="L21" s="362" t="n"/>
    </row>
    <row r="22" ht="15" customHeight="1" s="981">
      <c r="A22" s="361" t="n"/>
      <c r="B22" s="361" t="n"/>
      <c r="C22" s="361" t="n"/>
      <c r="D22" s="361" t="n"/>
      <c r="E22" s="361" t="n"/>
      <c r="F22" s="361" t="n"/>
      <c r="G22" s="361" t="n"/>
      <c r="H22" s="361" t="n"/>
      <c r="I22" s="361" t="n"/>
      <c r="J22" s="361" t="n"/>
      <c r="K22" s="361" t="n"/>
      <c r="L22" s="361" t="n"/>
    </row>
    <row r="23" ht="15" customHeight="1" s="981">
      <c r="A23" s="362" t="n"/>
      <c r="B23" s="362" t="n"/>
      <c r="C23" s="362" t="n"/>
      <c r="D23" s="362" t="n"/>
      <c r="E23" s="362" t="n"/>
      <c r="F23" s="362" t="n"/>
      <c r="G23" s="362" t="n"/>
      <c r="H23" s="362" t="n"/>
      <c r="I23" s="362" t="n"/>
      <c r="J23" s="362" t="n"/>
      <c r="K23" s="362" t="n"/>
      <c r="L23" s="362" t="n"/>
    </row>
    <row r="24" ht="15" customHeight="1" s="981">
      <c r="A24" s="361" t="n"/>
      <c r="B24" s="361" t="n"/>
      <c r="C24" s="361" t="n"/>
      <c r="D24" s="361" t="n"/>
      <c r="E24" s="361" t="n"/>
      <c r="F24" s="361" t="n"/>
      <c r="G24" s="361" t="n"/>
      <c r="H24" s="361" t="n"/>
      <c r="I24" s="361" t="n"/>
      <c r="J24" s="361" t="n"/>
      <c r="K24" s="361" t="n"/>
      <c r="L24" s="361" t="n"/>
    </row>
    <row r="25" ht="15" customHeight="1" s="981">
      <c r="A25" s="362" t="n"/>
      <c r="B25" s="362" t="n"/>
      <c r="C25" s="362" t="n"/>
      <c r="D25" s="362" t="n"/>
      <c r="E25" s="362" t="n"/>
      <c r="F25" s="362" t="n"/>
      <c r="G25" s="362" t="n"/>
      <c r="H25" s="362" t="n"/>
      <c r="I25" s="362" t="n"/>
      <c r="J25" s="362" t="n"/>
      <c r="K25" s="362" t="n"/>
      <c r="L25" s="362" t="n"/>
    </row>
    <row r="26" ht="15" customHeight="1" s="981">
      <c r="A26" s="361" t="n"/>
      <c r="B26" s="361" t="n"/>
      <c r="C26" s="361" t="n"/>
      <c r="D26" s="361" t="n"/>
      <c r="E26" s="361" t="n"/>
      <c r="F26" s="361" t="n"/>
      <c r="G26" s="361" t="n"/>
      <c r="H26" s="361" t="n"/>
      <c r="I26" s="361" t="n"/>
      <c r="J26" s="361" t="n"/>
      <c r="K26" s="361" t="n"/>
      <c r="L26" s="361" t="n"/>
    </row>
    <row r="27" ht="15" customHeight="1" s="981">
      <c r="A27" s="362" t="n"/>
      <c r="B27" s="362" t="n"/>
      <c r="C27" s="362" t="n"/>
      <c r="D27" s="362" t="n"/>
      <c r="E27" s="362" t="n"/>
      <c r="F27" s="362" t="n"/>
      <c r="G27" s="362" t="n"/>
      <c r="H27" s="362" t="n"/>
      <c r="I27" s="362" t="n"/>
      <c r="J27" s="362" t="n"/>
      <c r="K27" s="362" t="n"/>
      <c r="L27" s="362" t="n"/>
    </row>
    <row r="28" ht="15" customHeight="1" s="981">
      <c r="A28" s="361" t="n"/>
      <c r="B28" s="361" t="n"/>
      <c r="C28" s="361" t="n"/>
      <c r="D28" s="361" t="n"/>
      <c r="E28" s="361" t="n"/>
      <c r="F28" s="361" t="n"/>
      <c r="G28" s="361" t="n"/>
      <c r="H28" s="361" t="n"/>
      <c r="I28" s="361" t="n"/>
      <c r="J28" s="361" t="n"/>
      <c r="K28" s="361" t="n"/>
      <c r="L28" s="361" t="n"/>
    </row>
    <row r="29" ht="15" customHeight="1" s="981">
      <c r="A29" s="362" t="n"/>
      <c r="B29" s="362" t="n"/>
      <c r="C29" s="362" t="n"/>
      <c r="D29" s="362" t="n"/>
      <c r="E29" s="362" t="n"/>
      <c r="F29" s="362" t="n"/>
      <c r="G29" s="362" t="n"/>
      <c r="H29" s="362" t="n"/>
      <c r="I29" s="362" t="n"/>
      <c r="J29" s="362" t="n"/>
      <c r="K29" s="362" t="n"/>
      <c r="L29" s="362" t="n"/>
    </row>
    <row r="30" ht="15" customHeight="1" s="981">
      <c r="A30" s="361" t="n"/>
      <c r="B30" s="361" t="n"/>
      <c r="C30" s="361" t="n"/>
      <c r="D30" s="361" t="n"/>
      <c r="E30" s="361" t="n"/>
      <c r="F30" s="361" t="n"/>
      <c r="G30" s="361" t="n"/>
      <c r="H30" s="361" t="n"/>
      <c r="I30" s="361" t="n"/>
      <c r="J30" s="361" t="n"/>
      <c r="K30" s="361" t="n"/>
      <c r="L30" s="361" t="n"/>
    </row>
    <row r="31" ht="15" customHeight="1" s="981">
      <c r="A31" s="362" t="n"/>
      <c r="B31" s="362" t="n"/>
      <c r="C31" s="362" t="n"/>
      <c r="D31" s="362" t="n"/>
      <c r="E31" s="362" t="n"/>
      <c r="F31" s="362" t="n"/>
      <c r="G31" s="362" t="n"/>
      <c r="H31" s="362" t="n"/>
      <c r="I31" s="362" t="n"/>
      <c r="J31" s="362" t="n"/>
      <c r="K31" s="362" t="n"/>
      <c r="L31" s="362" t="n"/>
    </row>
    <row r="32" ht="15" customHeight="1" s="981">
      <c r="A32" s="361" t="n"/>
      <c r="B32" s="361" t="n"/>
      <c r="C32" s="361" t="n"/>
      <c r="D32" s="361" t="n"/>
      <c r="E32" s="361" t="n"/>
      <c r="F32" s="361" t="n"/>
      <c r="G32" s="361" t="n"/>
      <c r="H32" s="361" t="n"/>
      <c r="I32" s="361" t="n"/>
      <c r="J32" s="361" t="n"/>
      <c r="K32" s="361" t="n"/>
      <c r="L32" s="361" t="n"/>
    </row>
    <row r="33" ht="15" customHeight="1" s="981">
      <c r="A33" s="362" t="n"/>
      <c r="B33" s="362" t="n"/>
      <c r="C33" s="362" t="n"/>
      <c r="D33" s="362" t="n"/>
      <c r="E33" s="362" t="n"/>
      <c r="F33" s="362" t="n"/>
      <c r="G33" s="362" t="n"/>
      <c r="H33" s="362" t="n"/>
      <c r="I33" s="362" t="n"/>
      <c r="J33" s="362" t="n"/>
      <c r="K33" s="362" t="n"/>
      <c r="L33" s="362" t="n"/>
    </row>
    <row r="34" ht="15" customHeight="1" s="981">
      <c r="A34" s="361" t="n"/>
      <c r="B34" s="361" t="n"/>
      <c r="C34" s="361" t="n"/>
      <c r="D34" s="361" t="n"/>
      <c r="E34" s="361" t="n"/>
      <c r="F34" s="361" t="n"/>
      <c r="G34" s="361" t="n"/>
      <c r="H34" s="361" t="n"/>
      <c r="I34" s="361" t="n"/>
      <c r="J34" s="361" t="n"/>
      <c r="K34" s="361" t="n"/>
      <c r="L34" s="361" t="n"/>
    </row>
    <row r="35" ht="15" customHeight="1" s="981">
      <c r="A35" s="362" t="n"/>
      <c r="B35" s="362" t="n"/>
      <c r="C35" s="362" t="n"/>
      <c r="D35" s="362" t="n"/>
      <c r="E35" s="362" t="n"/>
      <c r="F35" s="362" t="n"/>
      <c r="G35" s="362" t="n"/>
      <c r="H35" s="362" t="n"/>
      <c r="I35" s="362" t="n"/>
      <c r="J35" s="362" t="n"/>
      <c r="K35" s="362" t="n"/>
      <c r="L35" s="362" t="n"/>
    </row>
    <row r="36" ht="15" customHeight="1" s="981">
      <c r="A36" s="361" t="n"/>
      <c r="B36" s="361" t="n"/>
      <c r="C36" s="361" t="n"/>
      <c r="D36" s="361" t="n"/>
      <c r="E36" s="361" t="n"/>
      <c r="F36" s="361" t="n"/>
      <c r="G36" s="361" t="n"/>
      <c r="H36" s="361" t="n"/>
      <c r="I36" s="361" t="n"/>
      <c r="J36" s="361" t="n"/>
      <c r="K36" s="361" t="n"/>
      <c r="L36" s="361" t="n"/>
    </row>
    <row r="37" ht="15" customHeight="1" s="981">
      <c r="A37" s="362" t="n"/>
      <c r="B37" s="362" t="n"/>
      <c r="C37" s="362" t="n"/>
      <c r="D37" s="362" t="n"/>
      <c r="E37" s="362" t="n"/>
      <c r="F37" s="362" t="n"/>
      <c r="G37" s="362" t="n"/>
      <c r="H37" s="362" t="n"/>
      <c r="I37" s="362" t="n"/>
      <c r="J37" s="362" t="n"/>
      <c r="K37" s="362" t="n"/>
      <c r="L37" s="362" t="n"/>
    </row>
    <row r="38" ht="15" customHeight="1" s="981">
      <c r="A38" s="361" t="n"/>
      <c r="B38" s="361" t="n"/>
      <c r="C38" s="361" t="n"/>
      <c r="D38" s="361" t="n"/>
      <c r="E38" s="361" t="n"/>
      <c r="F38" s="361" t="n"/>
      <c r="G38" s="361" t="n"/>
      <c r="H38" s="361" t="n"/>
      <c r="I38" s="361" t="n"/>
      <c r="J38" s="361" t="n"/>
      <c r="K38" s="361" t="n"/>
      <c r="L38" s="361" t="n"/>
    </row>
    <row r="39" ht="15" customHeight="1" s="981">
      <c r="A39" s="362" t="n"/>
      <c r="B39" s="362" t="n"/>
      <c r="C39" s="362" t="n"/>
      <c r="D39" s="362" t="n"/>
      <c r="E39" s="362" t="n"/>
      <c r="F39" s="362" t="n"/>
      <c r="G39" s="362" t="n"/>
      <c r="H39" s="362" t="n"/>
      <c r="I39" s="362" t="n"/>
      <c r="J39" s="362" t="n"/>
      <c r="K39" s="362" t="n"/>
      <c r="L39" s="362" t="n"/>
    </row>
    <row r="40" ht="15" customHeight="1" s="981">
      <c r="A40" s="361" t="n"/>
      <c r="B40" s="361" t="n"/>
      <c r="C40" s="361" t="n"/>
      <c r="D40" s="361" t="n"/>
      <c r="E40" s="361" t="n"/>
      <c r="F40" s="361" t="n"/>
      <c r="G40" s="361" t="n"/>
      <c r="H40" s="361" t="n"/>
      <c r="I40" s="361" t="n"/>
      <c r="J40" s="361" t="n"/>
      <c r="K40" s="361" t="n"/>
      <c r="L40" s="361" t="n"/>
    </row>
    <row r="41" ht="15" customHeight="1" s="981">
      <c r="A41" s="362" t="n"/>
      <c r="B41" s="362" t="n"/>
      <c r="C41" s="362" t="n"/>
      <c r="D41" s="362" t="n"/>
      <c r="E41" s="362" t="n"/>
      <c r="F41" s="362" t="n"/>
      <c r="G41" s="362" t="n"/>
      <c r="H41" s="362" t="n"/>
      <c r="I41" s="362" t="n"/>
      <c r="J41" s="362" t="n"/>
      <c r="K41" s="362" t="n"/>
      <c r="L41" s="362" t="n"/>
    </row>
    <row r="42" ht="15" customHeight="1" s="981">
      <c r="A42" s="361" t="n"/>
      <c r="B42" s="361" t="n"/>
      <c r="C42" s="361" t="n"/>
      <c r="D42" s="361" t="n"/>
      <c r="E42" s="361" t="n"/>
      <c r="F42" s="361" t="n"/>
      <c r="G42" s="361" t="n"/>
      <c r="H42" s="361" t="n"/>
      <c r="I42" s="361" t="n"/>
      <c r="J42" s="361" t="n"/>
      <c r="K42" s="361" t="n"/>
      <c r="L42" s="361" t="n"/>
    </row>
    <row r="43" ht="15" customHeight="1" s="981">
      <c r="A43" s="362" t="n"/>
      <c r="B43" s="362" t="n"/>
      <c r="C43" s="362" t="n"/>
      <c r="D43" s="362" t="n"/>
      <c r="E43" s="362" t="n"/>
      <c r="F43" s="362" t="n"/>
      <c r="G43" s="362" t="n"/>
      <c r="H43" s="362" t="n"/>
      <c r="I43" s="362" t="n"/>
      <c r="J43" s="362" t="n"/>
      <c r="K43" s="362" t="n"/>
      <c r="L43" s="362" t="n"/>
    </row>
    <row r="44" ht="15" customHeight="1" s="981">
      <c r="A44" s="361" t="n"/>
      <c r="B44" s="361" t="n"/>
      <c r="C44" s="361" t="n"/>
      <c r="D44" s="361" t="n"/>
      <c r="E44" s="361" t="n"/>
      <c r="F44" s="361" t="n"/>
      <c r="G44" s="361" t="n"/>
      <c r="H44" s="361" t="n"/>
      <c r="I44" s="361" t="n"/>
      <c r="J44" s="361" t="n"/>
      <c r="K44" s="361" t="n"/>
      <c r="L44" s="361" t="n"/>
    </row>
    <row r="45" ht="15" customHeight="1" s="981">
      <c r="A45" s="362" t="n"/>
      <c r="B45" s="362" t="n"/>
      <c r="C45" s="362" t="n"/>
      <c r="D45" s="362" t="n"/>
      <c r="E45" s="362" t="n"/>
      <c r="F45" s="362" t="n"/>
      <c r="G45" s="362" t="n"/>
      <c r="H45" s="362" t="n"/>
      <c r="I45" s="362" t="n"/>
      <c r="J45" s="362" t="n"/>
      <c r="K45" s="362" t="n"/>
      <c r="L45" s="362" t="n"/>
    </row>
    <row r="46" ht="15" customHeight="1" s="981">
      <c r="A46" s="361" t="n"/>
      <c r="B46" s="361" t="n"/>
      <c r="C46" s="361" t="n"/>
      <c r="D46" s="361" t="n"/>
      <c r="E46" s="361" t="n"/>
      <c r="F46" s="361" t="n"/>
      <c r="G46" s="361" t="n"/>
      <c r="H46" s="361" t="n"/>
      <c r="I46" s="361" t="n"/>
      <c r="J46" s="361" t="n"/>
      <c r="K46" s="361" t="n"/>
      <c r="L46" s="361" t="n"/>
    </row>
    <row r="47" ht="15" customHeight="1" s="981">
      <c r="A47" s="362" t="n"/>
      <c r="B47" s="362" t="n"/>
      <c r="C47" s="362" t="n"/>
      <c r="D47" s="362" t="n"/>
      <c r="E47" s="362" t="n"/>
      <c r="F47" s="362" t="n"/>
      <c r="G47" s="362" t="n"/>
      <c r="H47" s="362" t="n"/>
      <c r="I47" s="362" t="n"/>
      <c r="J47" s="362" t="n"/>
      <c r="K47" s="362" t="n"/>
      <c r="L47" s="362" t="n"/>
    </row>
    <row r="48" ht="15" customHeight="1" s="981">
      <c r="A48" s="361" t="n"/>
      <c r="B48" s="361" t="n"/>
      <c r="C48" s="361" t="n"/>
      <c r="D48" s="361" t="n"/>
      <c r="E48" s="361" t="n"/>
      <c r="F48" s="361" t="n"/>
      <c r="G48" s="361" t="n"/>
      <c r="H48" s="361" t="n"/>
      <c r="I48" s="361" t="n"/>
      <c r="J48" s="361" t="n"/>
      <c r="K48" s="361" t="n"/>
      <c r="L48" s="361" t="n"/>
    </row>
    <row r="49" ht="15" customHeight="1" s="981">
      <c r="A49" s="362" t="n"/>
      <c r="B49" s="362" t="n"/>
      <c r="C49" s="362" t="n"/>
      <c r="D49" s="362" t="n"/>
      <c r="E49" s="362" t="n"/>
      <c r="F49" s="362" t="n"/>
      <c r="G49" s="362" t="n"/>
      <c r="H49" s="362" t="n"/>
      <c r="I49" s="362" t="n"/>
      <c r="J49" s="362" t="n"/>
      <c r="K49" s="362" t="n"/>
      <c r="L49" s="362" t="n"/>
    </row>
    <row r="50" ht="15" customHeight="1" s="981">
      <c r="A50" s="361" t="n"/>
      <c r="B50" s="361" t="n"/>
      <c r="C50" s="361" t="n"/>
      <c r="D50" s="361" t="n"/>
      <c r="E50" s="361" t="n"/>
      <c r="F50" s="361" t="n"/>
      <c r="G50" s="361" t="n"/>
      <c r="H50" s="361" t="n"/>
      <c r="I50" s="361" t="n"/>
      <c r="J50" s="361" t="n"/>
      <c r="K50" s="361" t="n"/>
      <c r="L50" s="361" t="n"/>
    </row>
    <row r="51" ht="15" customHeight="1" s="981">
      <c r="A51" s="362" t="n"/>
      <c r="B51" s="362" t="n"/>
      <c r="C51" s="362" t="n"/>
      <c r="D51" s="362" t="n"/>
      <c r="E51" s="362" t="n"/>
      <c r="F51" s="362" t="n"/>
      <c r="G51" s="362" t="n"/>
      <c r="H51" s="362" t="n"/>
      <c r="I51" s="362" t="n"/>
      <c r="J51" s="362" t="n"/>
      <c r="K51" s="362" t="n"/>
      <c r="L51" s="362" t="n"/>
    </row>
    <row r="52" ht="15" customHeight="1" s="981">
      <c r="A52" s="361" t="n"/>
      <c r="B52" s="361" t="n"/>
      <c r="C52" s="361" t="n"/>
      <c r="D52" s="361" t="n"/>
      <c r="E52" s="361" t="n"/>
      <c r="F52" s="361" t="n"/>
      <c r="G52" s="361" t="n"/>
      <c r="H52" s="361" t="n"/>
      <c r="I52" s="361" t="n"/>
      <c r="J52" s="361" t="n"/>
      <c r="K52" s="361" t="n"/>
      <c r="L52" s="361" t="n"/>
    </row>
    <row r="53" ht="15" customHeight="1" s="981">
      <c r="A53" s="362" t="n"/>
      <c r="B53" s="362" t="n"/>
      <c r="C53" s="362" t="n"/>
      <c r="D53" s="362" t="n"/>
      <c r="E53" s="362" t="n"/>
      <c r="F53" s="362" t="n"/>
      <c r="G53" s="362" t="n"/>
      <c r="H53" s="362" t="n"/>
      <c r="I53" s="362" t="n"/>
      <c r="J53" s="362" t="n"/>
      <c r="K53" s="362" t="n"/>
      <c r="L53" s="362" t="n"/>
    </row>
    <row r="54" ht="15" customHeight="1" s="981">
      <c r="A54" s="361" t="n"/>
      <c r="B54" s="361" t="n"/>
      <c r="C54" s="361" t="n"/>
      <c r="D54" s="361" t="n"/>
      <c r="E54" s="361" t="n"/>
      <c r="F54" s="361" t="n"/>
      <c r="G54" s="361" t="n"/>
      <c r="H54" s="361" t="n"/>
      <c r="I54" s="361" t="n"/>
      <c r="J54" s="361" t="n"/>
      <c r="K54" s="361" t="n"/>
      <c r="L54" s="361" t="n"/>
    </row>
    <row r="55" ht="15" customHeight="1" s="981">
      <c r="A55" s="362" t="n"/>
      <c r="B55" s="362" t="n"/>
      <c r="C55" s="362" t="n"/>
      <c r="D55" s="362" t="n"/>
      <c r="E55" s="362" t="n"/>
      <c r="F55" s="362" t="n"/>
      <c r="G55" s="362" t="n"/>
      <c r="H55" s="362" t="n"/>
      <c r="I55" s="362" t="n"/>
      <c r="J55" s="362" t="n"/>
      <c r="K55" s="362" t="n"/>
      <c r="L55" s="362" t="n"/>
    </row>
    <row r="56" ht="15" customHeight="1" s="981">
      <c r="A56" s="361" t="n"/>
      <c r="B56" s="361" t="n"/>
      <c r="C56" s="361" t="n"/>
      <c r="D56" s="361" t="n"/>
      <c r="E56" s="361" t="n"/>
      <c r="F56" s="361" t="n"/>
      <c r="G56" s="361" t="n"/>
      <c r="H56" s="361" t="n"/>
      <c r="I56" s="361" t="n"/>
      <c r="J56" s="361" t="n"/>
      <c r="K56" s="361" t="n"/>
      <c r="L56" s="361" t="n"/>
    </row>
    <row r="57" ht="15" customHeight="1" s="981">
      <c r="A57" s="362" t="n"/>
      <c r="B57" s="362" t="n"/>
      <c r="C57" s="362" t="n"/>
      <c r="D57" s="362" t="n"/>
      <c r="E57" s="362" t="n"/>
      <c r="F57" s="362" t="n"/>
      <c r="G57" s="362" t="n"/>
      <c r="H57" s="362" t="n"/>
      <c r="I57" s="362" t="n"/>
      <c r="J57" s="362" t="n"/>
      <c r="K57" s="362" t="n"/>
      <c r="L57" s="362" t="n"/>
    </row>
    <row r="58" ht="15" customHeight="1" s="981">
      <c r="A58" s="361" t="n"/>
      <c r="B58" s="361" t="n"/>
      <c r="C58" s="361" t="n"/>
      <c r="D58" s="361" t="n"/>
      <c r="E58" s="361" t="n"/>
      <c r="F58" s="361" t="n"/>
      <c r="G58" s="361" t="n"/>
      <c r="H58" s="361" t="n"/>
      <c r="I58" s="361" t="n"/>
      <c r="J58" s="361" t="n"/>
      <c r="K58" s="361" t="n"/>
      <c r="L58" s="361" t="n"/>
    </row>
    <row r="59" ht="15" customHeight="1" s="981">
      <c r="A59" s="362" t="n"/>
      <c r="B59" s="362" t="n"/>
      <c r="C59" s="362" t="n"/>
      <c r="D59" s="362" t="n"/>
      <c r="E59" s="362" t="n"/>
      <c r="F59" s="362" t="n"/>
      <c r="G59" s="362" t="n"/>
      <c r="H59" s="362" t="n"/>
      <c r="I59" s="362" t="n"/>
      <c r="J59" s="362" t="n"/>
      <c r="K59" s="362" t="n"/>
      <c r="L59" s="362" t="n"/>
    </row>
    <row r="60" ht="15" customHeight="1" s="981">
      <c r="A60" s="361" t="n"/>
      <c r="B60" s="361" t="n"/>
      <c r="C60" s="361" t="n"/>
      <c r="D60" s="361" t="n"/>
      <c r="E60" s="361" t="n"/>
      <c r="F60" s="361" t="n"/>
      <c r="G60" s="361" t="n"/>
      <c r="H60" s="361" t="n"/>
      <c r="I60" s="361" t="n"/>
      <c r="J60" s="361" t="n"/>
      <c r="K60" s="361" t="n"/>
      <c r="L60" s="361" t="n"/>
    </row>
    <row r="61" ht="15" customHeight="1" s="981">
      <c r="A61" s="362" t="n"/>
      <c r="B61" s="362" t="n"/>
      <c r="C61" s="362" t="n"/>
      <c r="D61" s="362" t="n"/>
      <c r="E61" s="362" t="n"/>
      <c r="F61" s="362" t="n"/>
      <c r="G61" s="362" t="n"/>
      <c r="H61" s="362" t="n"/>
      <c r="I61" s="362" t="n"/>
      <c r="J61" s="362" t="n"/>
      <c r="K61" s="362" t="n"/>
      <c r="L61" s="362" t="n"/>
    </row>
    <row r="62" ht="15" customHeight="1" s="981">
      <c r="A62" s="361" t="n"/>
      <c r="B62" s="361" t="n"/>
      <c r="C62" s="361" t="n"/>
      <c r="D62" s="361" t="n"/>
      <c r="E62" s="361" t="n"/>
      <c r="F62" s="361" t="n"/>
      <c r="G62" s="361" t="n"/>
      <c r="H62" s="361" t="n"/>
      <c r="I62" s="361" t="n"/>
      <c r="J62" s="361" t="n"/>
      <c r="K62" s="361" t="n"/>
      <c r="L62" s="361" t="n"/>
    </row>
    <row r="63" ht="15" customHeight="1" s="981">
      <c r="A63" s="362" t="n"/>
      <c r="B63" s="362" t="n"/>
      <c r="C63" s="362" t="n"/>
      <c r="D63" s="362" t="n"/>
      <c r="E63" s="362" t="n"/>
      <c r="F63" s="362" t="n"/>
      <c r="G63" s="362" t="n"/>
      <c r="H63" s="362" t="n"/>
      <c r="I63" s="362" t="n"/>
      <c r="J63" s="362" t="n"/>
      <c r="K63" s="362" t="n"/>
      <c r="L63" s="362" t="n"/>
    </row>
    <row r="64" ht="15" customHeight="1" s="981">
      <c r="A64" s="361" t="n"/>
      <c r="B64" s="361" t="n"/>
      <c r="C64" s="361" t="n"/>
      <c r="D64" s="361" t="n"/>
      <c r="E64" s="361" t="n"/>
      <c r="F64" s="361" t="n"/>
      <c r="G64" s="361" t="n"/>
      <c r="H64" s="361" t="n"/>
      <c r="I64" s="361" t="n"/>
      <c r="J64" s="361" t="n"/>
      <c r="K64" s="361" t="n"/>
      <c r="L64" s="361" t="n"/>
    </row>
    <row r="65" ht="15" customHeight="1" s="981">
      <c r="A65" s="362" t="n"/>
      <c r="B65" s="362" t="n"/>
      <c r="C65" s="362" t="n"/>
      <c r="D65" s="362" t="n"/>
      <c r="E65" s="362" t="n"/>
      <c r="F65" s="362" t="n"/>
      <c r="G65" s="362" t="n"/>
      <c r="H65" s="362" t="n"/>
      <c r="I65" s="362" t="n"/>
      <c r="J65" s="362" t="n"/>
      <c r="K65" s="362" t="n"/>
      <c r="L65" s="362" t="n"/>
    </row>
    <row r="66" ht="15" customHeight="1" s="981">
      <c r="A66" s="361" t="n"/>
      <c r="B66" s="361" t="n"/>
      <c r="C66" s="361" t="n"/>
      <c r="D66" s="361" t="n"/>
      <c r="E66" s="361" t="n"/>
      <c r="F66" s="361" t="n"/>
      <c r="G66" s="361" t="n"/>
      <c r="H66" s="361" t="n"/>
      <c r="I66" s="361" t="n"/>
      <c r="J66" s="361" t="n"/>
      <c r="K66" s="361" t="n"/>
      <c r="L66" s="361" t="n"/>
    </row>
    <row r="67" ht="15" customHeight="1" s="981">
      <c r="A67" s="362" t="n"/>
      <c r="B67" s="362" t="n"/>
      <c r="C67" s="362" t="n"/>
      <c r="D67" s="362" t="n"/>
      <c r="E67" s="362" t="n"/>
      <c r="F67" s="362" t="n"/>
      <c r="G67" s="362" t="n"/>
      <c r="H67" s="362" t="n"/>
      <c r="I67" s="362" t="n"/>
      <c r="J67" s="362" t="n"/>
      <c r="K67" s="362" t="n"/>
      <c r="L67" s="362" t="n"/>
    </row>
    <row r="68" ht="15" customHeight="1" s="981">
      <c r="A68" s="361" t="n"/>
      <c r="B68" s="361" t="n"/>
      <c r="C68" s="361" t="n"/>
      <c r="D68" s="361" t="n"/>
      <c r="E68" s="361" t="n"/>
      <c r="F68" s="361" t="n"/>
      <c r="G68" s="361" t="n"/>
      <c r="H68" s="361" t="n"/>
      <c r="I68" s="361" t="n"/>
      <c r="J68" s="361" t="n"/>
      <c r="K68" s="361" t="n"/>
      <c r="L68" s="361" t="n"/>
    </row>
    <row r="69" ht="15" customHeight="1" s="981">
      <c r="A69" s="362" t="n"/>
      <c r="B69" s="362" t="n"/>
      <c r="C69" s="362" t="n"/>
      <c r="D69" s="362" t="n"/>
      <c r="E69" s="362" t="n"/>
      <c r="F69" s="362" t="n"/>
      <c r="G69" s="362" t="n"/>
      <c r="H69" s="362" t="n"/>
      <c r="I69" s="362" t="n"/>
      <c r="J69" s="362" t="n"/>
      <c r="K69" s="362" t="n"/>
      <c r="L69" s="362" t="n"/>
    </row>
    <row r="70" ht="15" customHeight="1" s="981">
      <c r="A70" s="1050" t="n"/>
      <c r="B70" s="1050" t="n"/>
      <c r="C70" s="1050" t="n"/>
      <c r="D70" s="1050" t="n"/>
      <c r="E70" s="1050" t="n"/>
      <c r="F70" s="1050" t="n"/>
      <c r="G70" s="1050" t="n"/>
      <c r="H70" s="1050" t="n"/>
      <c r="I70" s="1050" t="n"/>
      <c r="J70" s="1050" t="n"/>
      <c r="K70" s="1050" t="n"/>
      <c r="L70" s="1050" t="n"/>
    </row>
    <row r="71" ht="24.75" customHeight="1" s="981">
      <c r="A71" s="1088" t="inlineStr">
        <is>
          <t>📐 PHÂN TÍCH DANH MỤC QUỸ MẪU — Lazy Portfolio theo phong cách Quỹ Lớn</t>
        </is>
      </c>
      <c r="B71" s="965" t="n"/>
      <c r="C71" s="965" t="n"/>
      <c r="D71" s="965" t="n"/>
      <c r="E71" s="965" t="n"/>
      <c r="F71" s="965" t="n"/>
      <c r="G71" s="965" t="n"/>
      <c r="H71" s="965" t="n"/>
      <c r="I71" s="965" t="n"/>
      <c r="J71" s="965" t="n"/>
      <c r="K71" s="965" t="n"/>
      <c r="L71" s="966" t="n"/>
    </row>
    <row r="72" ht="21.75" customHeight="1" s="981">
      <c r="A72" s="1086" t="inlineStr">
        <is>
          <t>Danh mục</t>
        </is>
      </c>
      <c r="B72" s="1086" t="inlineStr">
        <is>
          <t>Cấu trúc</t>
        </is>
      </c>
      <c r="C72" s="1086" t="inlineStr">
        <is>
          <t>Triết lý đầu tư</t>
        </is>
      </c>
      <c r="D72" s="965" t="n"/>
      <c r="E72" s="965" t="n"/>
      <c r="F72" s="966" t="n"/>
      <c r="G72" s="1086" t="inlineStr">
        <is>
          <t>Phù hợp cho</t>
        </is>
      </c>
      <c r="H72" s="965" t="n"/>
      <c r="I72" s="966" t="n"/>
      <c r="J72" s="1086" t="inlineStr">
        <is>
          <t>Rủi ro</t>
        </is>
      </c>
      <c r="K72" s="965" t="n"/>
      <c r="L72" s="966" t="n"/>
    </row>
    <row r="73" ht="30" customHeight="1" s="981">
      <c r="A73" s="364" t="inlineStr">
        <is>
          <t>🔵 Three-Fund Portfolio (Vanguard Classic)</t>
        </is>
      </c>
      <c r="B73" s="1083" t="inlineStr">
        <is>
          <t>VTI 60% + VXUS 30% + BND 10%</t>
        </is>
      </c>
      <c r="C73" s="1083" t="inlineStr">
        <is>
          <t>Đơn giản, phân tán tối đa, phí cực thấp. Buffett recommend.</t>
        </is>
      </c>
      <c r="D73" s="965" t="n"/>
      <c r="E73" s="965" t="n"/>
      <c r="F73" s="966" t="n"/>
      <c r="G73" s="1083" t="inlineStr">
        <is>
          <t>Phù hợp người mới, dài hạn ≥10 năm</t>
        </is>
      </c>
      <c r="H73" s="965" t="n"/>
      <c r="I73" s="966" t="n"/>
      <c r="J73" s="1083" t="inlineStr">
        <is>
          <t>Thấp</t>
        </is>
      </c>
      <c r="K73" s="965" t="n"/>
      <c r="L73" s="966" t="n"/>
    </row>
    <row r="74" ht="30" customHeight="1" s="981">
      <c r="A74" s="366" t="inlineStr">
        <is>
          <t>🟢 All-Weather Portfolio (Bridgewater)</t>
        </is>
      </c>
      <c r="B74" s="1085" t="inlineStr">
        <is>
          <t>SPY 30% + TLT 40% + GLD 15% + DJP 7.5% + IEF 7.5%</t>
        </is>
      </c>
      <c r="C74" s="1085" t="inlineStr">
        <is>
          <t>Ray Dalio thiết kế để hoạt động mọi môi trường kinh tế.</t>
        </is>
      </c>
      <c r="D74" s="965" t="n"/>
      <c r="E74" s="965" t="n"/>
      <c r="F74" s="966" t="n"/>
      <c r="G74" s="1085" t="inlineStr">
        <is>
          <t>Phòng thủ, drawdown thấp, mọi loại thị trường</t>
        </is>
      </c>
      <c r="H74" s="965" t="n"/>
      <c r="I74" s="966" t="n"/>
      <c r="J74" s="1085" t="inlineStr">
        <is>
          <t>Rất thấp</t>
        </is>
      </c>
      <c r="K74" s="965" t="n"/>
      <c r="L74" s="966" t="n"/>
    </row>
    <row r="75" ht="30" customHeight="1" s="981">
      <c r="A75" s="368" t="inlineStr">
        <is>
          <t>🟡 Growth-Income Portfolio</t>
        </is>
      </c>
      <c r="B75" s="1081" t="inlineStr">
        <is>
          <t>QQQ 40% + SCHD 30% + TLT 20% + GLD 10%</t>
        </is>
      </c>
      <c r="C75" s="1081" t="inlineStr">
        <is>
          <t>Cân bằng tăng trưởng và thu nhập. Cổ tức + tăng giá.</t>
        </is>
      </c>
      <c r="D75" s="965" t="n"/>
      <c r="E75" s="965" t="n"/>
      <c r="F75" s="966" t="n"/>
      <c r="G75" s="1081" t="inlineStr">
        <is>
          <t>Người trung niên muốn thu nhập ổn định</t>
        </is>
      </c>
      <c r="H75" s="965" t="n"/>
      <c r="I75" s="966" t="n"/>
      <c r="J75" s="1081" t="inlineStr">
        <is>
          <t>Trung bình</t>
        </is>
      </c>
      <c r="K75" s="965" t="n"/>
      <c r="L75" s="966" t="n"/>
    </row>
    <row r="76" ht="30" customHeight="1" s="981">
      <c r="A76" s="370" t="inlineStr">
        <is>
          <t>🔴 Aggressive Growth Portfolio</t>
        </is>
      </c>
      <c r="B76" s="1082" t="inlineStr">
        <is>
          <t>QQQ 50% + SMH 20% + VWO 15% + IBIT 10% + ARKK 5%</t>
        </is>
      </c>
      <c r="C76" s="1082" t="inlineStr">
        <is>
          <t>Tập trung công nghệ + chip + EM + crypto. Biến động cao.</t>
        </is>
      </c>
      <c r="D76" s="965" t="n"/>
      <c r="E76" s="965" t="n"/>
      <c r="F76" s="966" t="n"/>
      <c r="G76" s="1082" t="inlineStr">
        <is>
          <t>Nhà đầu tư trẻ chấp nhận rủi ro cao</t>
        </is>
      </c>
      <c r="H76" s="965" t="n"/>
      <c r="I76" s="966" t="n"/>
      <c r="J76" s="1082" t="inlineStr">
        <is>
          <t>Rất cao</t>
        </is>
      </c>
      <c r="K76" s="965" t="n"/>
      <c r="L76" s="966" t="n"/>
    </row>
    <row r="77" ht="30" customHeight="1" s="981">
      <c r="A77" s="368" t="inlineStr">
        <is>
          <t>🇻🇳 Vietnam Core Portfolio</t>
        </is>
      </c>
      <c r="B77" s="1081" t="inlineStr">
        <is>
          <t>E1VFVN30 40% + DCDS 30% + FUEVFVND 20% + GLD 10%</t>
        </is>
      </c>
      <c r="C77" s="1081" t="inlineStr">
        <is>
          <t>Tập trung VN với nền tảng ETF + quỹ chủ động.</t>
        </is>
      </c>
      <c r="D77" s="965" t="n"/>
      <c r="E77" s="965" t="n"/>
      <c r="F77" s="966" t="n"/>
      <c r="G77" s="1081" t="inlineStr">
        <is>
          <t>Đầu tư nội địa, hiểu rõ thị trường VN</t>
        </is>
      </c>
      <c r="H77" s="965" t="n"/>
      <c r="I77" s="966" t="n"/>
      <c r="J77" s="1081" t="inlineStr">
        <is>
          <t>Trung bình-Cao</t>
        </is>
      </c>
      <c r="K77" s="965" t="n"/>
      <c r="L77" s="966" t="n"/>
    </row>
  </sheetData>
  <mergeCells count="22">
    <mergeCell ref="J74:L74"/>
    <mergeCell ref="C72:F72"/>
    <mergeCell ref="G74:I74"/>
    <mergeCell ref="A2:L2"/>
    <mergeCell ref="A71:L71"/>
    <mergeCell ref="C77:F77"/>
    <mergeCell ref="J75:L75"/>
    <mergeCell ref="G73:I73"/>
    <mergeCell ref="G76:I76"/>
    <mergeCell ref="A4:L4"/>
    <mergeCell ref="C74:F74"/>
    <mergeCell ref="C73:F73"/>
    <mergeCell ref="J76:L76"/>
    <mergeCell ref="G75:I75"/>
    <mergeCell ref="J73:L73"/>
    <mergeCell ref="G72:I72"/>
    <mergeCell ref="G77:I77"/>
    <mergeCell ref="J72:L72"/>
    <mergeCell ref="C75:F75"/>
    <mergeCell ref="A1:L1"/>
    <mergeCell ref="J77:L77"/>
    <mergeCell ref="C76:F76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topLeftCell="A8" zoomScaleNormal="100" workbookViewId="0">
      <selection activeCell="A1" sqref="A1"/>
    </sheetView>
  </sheetViews>
  <sheetFormatPr baseColWidth="8" defaultColWidth="8.6640625" defaultRowHeight="14.4"/>
  <cols>
    <col width="8" customWidth="1" style="981" min="1" max="1"/>
    <col width="22" customWidth="1" style="981" min="2" max="2"/>
    <col width="16" customWidth="1" style="981" min="3" max="3"/>
    <col width="7" customWidth="1" style="981" min="4" max="4"/>
    <col width="8" customWidth="1" style="981" min="5" max="5"/>
    <col width="7" customWidth="1" style="981" min="6" max="6"/>
    <col width="8" customWidth="1" style="981" min="7" max="7"/>
    <col width="7" customWidth="1" style="981" min="8" max="8"/>
    <col width="8" customWidth="1" style="981" min="9" max="9"/>
    <col width="6" customWidth="1" style="981" min="10" max="10"/>
    <col width="8" customWidth="1" style="981" min="11" max="11"/>
    <col width="10" customWidth="1" style="981" min="12" max="12"/>
    <col width="14" customWidth="1" style="981" min="14" max="14"/>
    <col width="16" customWidth="1" style="981" min="15" max="15"/>
  </cols>
  <sheetData>
    <row r="1" ht="15.75" customHeight="1" s="981">
      <c r="A1" s="1091" t="inlineStr">
        <is>
          <t>🔮 AI SCORING — Hệ thống điểm tổng hợp 5 trụ cột cho 15 mã CP VN hàng đầu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  <c r="M1" s="1050" t="n"/>
      <c r="N1" s="1050" t="n"/>
      <c r="O1" s="1050" t="n"/>
    </row>
    <row r="2" ht="15" customHeight="1" s="981">
      <c r="A2" s="1089" t="inlineStr">
        <is>
          <t>⚠ AI SCORING cần chạy file Python ML để có điểm THẬT từ ensemble model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  <c r="M2" s="1050" t="n"/>
      <c r="N2" s="1050" t="n"/>
      <c r="O2" s="1050" t="n"/>
    </row>
    <row r="3" ht="34.5" customHeight="1" s="981">
      <c r="A3" s="372" t="inlineStr">
        <is>
          <t>Mã</t>
        </is>
      </c>
      <c r="B3" s="372" t="inlineStr">
        <is>
          <t>Tên</t>
        </is>
      </c>
      <c r="C3" s="372" t="inlineStr">
        <is>
          <t>Ngành</t>
        </is>
      </c>
      <c r="D3" s="372" t="inlineStr">
        <is>
          <t>P/E</t>
        </is>
      </c>
      <c r="E3" s="372" t="inlineStr">
        <is>
          <t>P/E
Score</t>
        </is>
      </c>
      <c r="F3" s="372" t="inlineStr">
        <is>
          <t>ROE%</t>
        </is>
      </c>
      <c r="G3" s="372" t="inlineStr">
        <is>
          <t>ROE
Score</t>
        </is>
      </c>
      <c r="H3" s="372" t="inlineStr">
        <is>
          <t>ROIC%</t>
        </is>
      </c>
      <c r="I3" s="372" t="inlineStr">
        <is>
          <t>ROIC
Score</t>
        </is>
      </c>
      <c r="J3" s="372" t="inlineStr">
        <is>
          <t>ESG</t>
        </is>
      </c>
      <c r="K3" s="372" t="inlineStr">
        <is>
          <t>ESG
Score</t>
        </is>
      </c>
      <c r="L3" s="372" t="inlineStr">
        <is>
          <t>Tín hiệu
Score</t>
        </is>
      </c>
      <c r="M3" s="372" t="inlineStr">
        <is>
          <t>TỔNG
ĐIỂM</t>
        </is>
      </c>
      <c r="N3" s="372" t="inlineStr">
        <is>
          <t>🚦 XẾP
HẠNG</t>
        </is>
      </c>
      <c r="O3" s="372" t="inlineStr">
        <is>
          <t>Phân
bổ đề xuất</t>
        </is>
      </c>
    </row>
    <row r="4" ht="15" customHeight="1" s="981">
      <c r="A4" s="373" t="inlineStr">
        <is>
          <t>ACB</t>
        </is>
      </c>
      <c r="B4" s="373" t="n"/>
      <c r="C4" s="373" t="n"/>
      <c r="D4" s="374" t="n">
        <v>7.8</v>
      </c>
      <c r="E4" s="375" t="n">
        <v>25</v>
      </c>
      <c r="F4" s="374" t="n">
        <v>19.5</v>
      </c>
      <c r="G4" s="376" t="n">
        <v>12</v>
      </c>
      <c r="H4" s="374" t="n">
        <v>18.2</v>
      </c>
      <c r="I4" s="375" t="n">
        <v>20</v>
      </c>
      <c r="J4" s="374" t="n">
        <v>79</v>
      </c>
      <c r="K4" s="375" t="n">
        <v>20</v>
      </c>
      <c r="L4" s="375" t="n">
        <v>14</v>
      </c>
      <c r="M4" s="377" t="n">
        <v>91</v>
      </c>
      <c r="N4" s="378" t="inlineStr">
        <is>
          <t>🥇 XUẤT SẮC</t>
        </is>
      </c>
      <c r="O4" s="379" t="inlineStr">
        <is>
          <t>DCA đều hàng tháng</t>
        </is>
      </c>
    </row>
    <row r="5" ht="15" customHeight="1" s="981">
      <c r="A5" s="373" t="inlineStr">
        <is>
          <t>MBB</t>
        </is>
      </c>
      <c r="B5" s="373" t="n"/>
      <c r="C5" s="373" t="n"/>
      <c r="D5" s="374" t="n">
        <v>6.4</v>
      </c>
      <c r="E5" s="375" t="n">
        <v>25</v>
      </c>
      <c r="F5" s="374" t="n">
        <v>22.1</v>
      </c>
      <c r="G5" s="375" t="n">
        <v>20</v>
      </c>
      <c r="H5" s="374" t="n">
        <v>22.1</v>
      </c>
      <c r="I5" s="375" t="n">
        <v>25</v>
      </c>
      <c r="J5" s="374" t="n">
        <v>80</v>
      </c>
      <c r="K5" s="375" t="n">
        <v>20</v>
      </c>
      <c r="L5" s="375" t="n">
        <v>20</v>
      </c>
      <c r="M5" s="377" t="n">
        <v>110</v>
      </c>
      <c r="N5" s="378" t="inlineStr">
        <is>
          <t>🥇 XUẤT SẮC</t>
        </is>
      </c>
      <c r="O5" s="379" t="inlineStr">
        <is>
          <t>DCA đều hàng tháng</t>
        </is>
      </c>
    </row>
    <row r="6" ht="15" customHeight="1" s="981">
      <c r="A6" s="373" t="inlineStr">
        <is>
          <t>DGC</t>
        </is>
      </c>
      <c r="B6" s="373" t="n"/>
      <c r="C6" s="373" t="n"/>
      <c r="D6" s="374" t="n">
        <v>12.5</v>
      </c>
      <c r="E6" s="376" t="n">
        <v>12</v>
      </c>
      <c r="F6" s="374" t="n">
        <v>28.5</v>
      </c>
      <c r="G6" s="375" t="n">
        <v>25</v>
      </c>
      <c r="H6" s="374" t="n">
        <v>30.2</v>
      </c>
      <c r="I6" s="375" t="n">
        <v>25</v>
      </c>
      <c r="J6" s="374" t="n">
        <v>86</v>
      </c>
      <c r="K6" s="375" t="n">
        <v>25</v>
      </c>
      <c r="L6" s="375" t="n">
        <v>20</v>
      </c>
      <c r="M6" s="377" t="n">
        <v>107</v>
      </c>
      <c r="N6" s="378" t="inlineStr">
        <is>
          <t>🥇 XUẤT SẮC</t>
        </is>
      </c>
      <c r="O6" s="379" t="inlineStr">
        <is>
          <t>DCA đều hàng tháng</t>
        </is>
      </c>
    </row>
    <row r="7" ht="15" customHeight="1" s="981">
      <c r="A7" s="373" t="inlineStr">
        <is>
          <t>VIX</t>
        </is>
      </c>
      <c r="B7" s="373" t="n"/>
      <c r="C7" s="373" t="n"/>
      <c r="D7" s="374" t="n">
        <v>12</v>
      </c>
      <c r="E7" s="376" t="n">
        <v>12</v>
      </c>
      <c r="F7" s="374" t="n">
        <v>14.5</v>
      </c>
      <c r="G7" s="380" t="n">
        <v>6</v>
      </c>
      <c r="H7" s="374" t="n">
        <v>18.5</v>
      </c>
      <c r="I7" s="375" t="n">
        <v>20</v>
      </c>
      <c r="J7" s="374" t="n">
        <v>65</v>
      </c>
      <c r="K7" s="376" t="n">
        <v>12</v>
      </c>
      <c r="L7" s="375" t="n">
        <v>14</v>
      </c>
      <c r="M7" s="381" t="n">
        <v>64</v>
      </c>
      <c r="N7" s="382" t="inlineStr">
        <is>
          <t>🟢 TỐT</t>
        </is>
      </c>
      <c r="O7" s="383" t="inlineStr">
        <is>
          <t>Chờ giảm 5-10%</t>
        </is>
      </c>
    </row>
    <row r="8" ht="15" customHeight="1" s="981">
      <c r="A8" s="373" t="inlineStr">
        <is>
          <t>TCB</t>
        </is>
      </c>
      <c r="B8" s="373" t="n"/>
      <c r="C8" s="373" t="n"/>
      <c r="D8" s="374" t="n">
        <v>7.2</v>
      </c>
      <c r="E8" s="375" t="n">
        <v>25</v>
      </c>
      <c r="F8" s="374" t="n">
        <v>17.8</v>
      </c>
      <c r="G8" s="376" t="n">
        <v>12</v>
      </c>
      <c r="H8" s="374" t="n">
        <v>21.8</v>
      </c>
      <c r="I8" s="375" t="n">
        <v>25</v>
      </c>
      <c r="J8" s="374" t="n">
        <v>81</v>
      </c>
      <c r="K8" s="375" t="n">
        <v>20</v>
      </c>
      <c r="L8" s="375" t="n">
        <v>20</v>
      </c>
      <c r="M8" s="377" t="n">
        <v>102</v>
      </c>
      <c r="N8" s="378" t="inlineStr">
        <is>
          <t>🥇 XUẤT SẮC</t>
        </is>
      </c>
      <c r="O8" s="379" t="inlineStr">
        <is>
          <t>DCA đều hàng tháng</t>
        </is>
      </c>
    </row>
    <row r="9" ht="15" customHeight="1" s="981">
      <c r="A9" s="373" t="inlineStr">
        <is>
          <t>BID</t>
        </is>
      </c>
      <c r="B9" s="373" t="n"/>
      <c r="C9" s="373" t="n"/>
      <c r="D9" s="374" t="n">
        <v>11.5</v>
      </c>
      <c r="E9" s="375" t="n">
        <v>20</v>
      </c>
      <c r="F9" s="374" t="n">
        <v>15.8</v>
      </c>
      <c r="G9" s="376" t="n">
        <v>12</v>
      </c>
      <c r="H9" s="374" t="n">
        <v>14.5</v>
      </c>
      <c r="I9" s="376" t="n">
        <v>12</v>
      </c>
      <c r="J9" s="374" t="n">
        <v>75</v>
      </c>
      <c r="K9" s="375" t="n">
        <v>20</v>
      </c>
      <c r="L9" s="375" t="n">
        <v>14</v>
      </c>
      <c r="M9" s="377" t="n">
        <v>78</v>
      </c>
      <c r="N9" s="378" t="inlineStr">
        <is>
          <t>🟢 RẤT TỐT</t>
        </is>
      </c>
      <c r="O9" s="379" t="inlineStr">
        <is>
          <t>DCA đều hàng tháng</t>
        </is>
      </c>
    </row>
    <row r="10" ht="15" customHeight="1" s="981">
      <c r="A10" s="373" t="inlineStr">
        <is>
          <t>HAH</t>
        </is>
      </c>
      <c r="B10" s="373" t="n"/>
      <c r="C10" s="373" t="n"/>
      <c r="D10" s="374" t="n">
        <v>9.5</v>
      </c>
      <c r="E10" s="375" t="n">
        <v>20</v>
      </c>
      <c r="F10" s="374" t="n">
        <v>22.5</v>
      </c>
      <c r="G10" s="375" t="n">
        <v>20</v>
      </c>
      <c r="H10" s="374" t="n">
        <v>20.8</v>
      </c>
      <c r="I10" s="375" t="n">
        <v>25</v>
      </c>
      <c r="J10" s="374" t="n">
        <v>76</v>
      </c>
      <c r="K10" s="375" t="n">
        <v>20</v>
      </c>
      <c r="L10" s="375" t="n">
        <v>20</v>
      </c>
      <c r="M10" s="377" t="n">
        <v>105</v>
      </c>
      <c r="N10" s="378" t="inlineStr">
        <is>
          <t>🥇 XUẤT SẮC</t>
        </is>
      </c>
      <c r="O10" s="379" t="inlineStr">
        <is>
          <t>DCA đều hàng tháng</t>
        </is>
      </c>
    </row>
    <row r="11" ht="15" customHeight="1" s="981">
      <c r="A11" s="373" t="inlineStr">
        <is>
          <t>FPT</t>
        </is>
      </c>
      <c r="B11" s="373" t="n"/>
      <c r="C11" s="373" t="n"/>
      <c r="D11" s="374" t="n">
        <v>16</v>
      </c>
      <c r="E11" s="380" t="n">
        <v>6</v>
      </c>
      <c r="F11" s="374" t="n">
        <v>24.2</v>
      </c>
      <c r="G11" s="375" t="n">
        <v>20</v>
      </c>
      <c r="H11" s="374" t="n">
        <v>28.5</v>
      </c>
      <c r="I11" s="375" t="n">
        <v>25</v>
      </c>
      <c r="J11" s="374" t="n">
        <v>90</v>
      </c>
      <c r="K11" s="375" t="n">
        <v>25</v>
      </c>
      <c r="L11" s="375" t="n">
        <v>14</v>
      </c>
      <c r="M11" s="377" t="n">
        <v>90</v>
      </c>
      <c r="N11" s="378" t="inlineStr">
        <is>
          <t>🥇 XUẤT SẮC</t>
        </is>
      </c>
      <c r="O11" s="379" t="inlineStr">
        <is>
          <t>DCA đều hàng tháng</t>
        </is>
      </c>
    </row>
    <row r="12" ht="15" customHeight="1" s="981">
      <c r="A12" s="373" t="inlineStr">
        <is>
          <t>HPG</t>
        </is>
      </c>
      <c r="B12" s="373" t="n"/>
      <c r="C12" s="373" t="n"/>
      <c r="D12" s="374" t="n">
        <v>13.7</v>
      </c>
      <c r="E12" s="376" t="n">
        <v>12</v>
      </c>
      <c r="F12" s="374" t="n">
        <v>13.8</v>
      </c>
      <c r="G12" s="380" t="n">
        <v>6</v>
      </c>
      <c r="H12" s="374" t="n">
        <v>14.8</v>
      </c>
      <c r="I12" s="376" t="n">
        <v>12</v>
      </c>
      <c r="J12" s="374" t="n">
        <v>78</v>
      </c>
      <c r="K12" s="375" t="n">
        <v>20</v>
      </c>
      <c r="L12" s="375" t="n">
        <v>14</v>
      </c>
      <c r="M12" s="381" t="n">
        <v>64</v>
      </c>
      <c r="N12" s="382" t="inlineStr">
        <is>
          <t>🟢 TỐT</t>
        </is>
      </c>
      <c r="O12" s="383" t="inlineStr">
        <is>
          <t>Chờ giảm 5-10%</t>
        </is>
      </c>
    </row>
    <row r="13" ht="15" customHeight="1" s="981">
      <c r="A13" s="373" t="inlineStr">
        <is>
          <t>VCB</t>
        </is>
      </c>
      <c r="B13" s="373" t="n"/>
      <c r="C13" s="373" t="n"/>
      <c r="D13" s="374" t="n">
        <v>14</v>
      </c>
      <c r="E13" s="376" t="n">
        <v>12</v>
      </c>
      <c r="F13" s="374" t="n">
        <v>17.5</v>
      </c>
      <c r="G13" s="376" t="n">
        <v>12</v>
      </c>
      <c r="H13" s="374" t="n">
        <v>18</v>
      </c>
      <c r="I13" s="375" t="n">
        <v>20</v>
      </c>
      <c r="J13" s="374" t="n">
        <v>82</v>
      </c>
      <c r="K13" s="375" t="n">
        <v>20</v>
      </c>
      <c r="L13" s="376" t="n">
        <v>8</v>
      </c>
      <c r="M13" s="381" t="n">
        <v>72</v>
      </c>
      <c r="N13" s="382" t="inlineStr">
        <is>
          <t>🟢 TỐT</t>
        </is>
      </c>
      <c r="O13" s="383" t="inlineStr">
        <is>
          <t>Chờ giảm 5-10%</t>
        </is>
      </c>
    </row>
    <row r="14" ht="15" customHeight="1" s="981">
      <c r="A14" s="373" t="inlineStr">
        <is>
          <t>VNM</t>
        </is>
      </c>
      <c r="B14" s="373" t="n"/>
      <c r="C14" s="373" t="n"/>
      <c r="D14" s="374" t="n">
        <v>14.7</v>
      </c>
      <c r="E14" s="376" t="n">
        <v>12</v>
      </c>
      <c r="F14" s="374" t="n">
        <v>27.5</v>
      </c>
      <c r="G14" s="375" t="n">
        <v>25</v>
      </c>
      <c r="H14" s="374" t="n">
        <v>26</v>
      </c>
      <c r="I14" s="375" t="n">
        <v>25</v>
      </c>
      <c r="J14" s="374" t="n">
        <v>88</v>
      </c>
      <c r="K14" s="375" t="n">
        <v>25</v>
      </c>
      <c r="L14" s="376" t="n">
        <v>8</v>
      </c>
      <c r="M14" s="377" t="n">
        <v>95</v>
      </c>
      <c r="N14" s="378" t="inlineStr">
        <is>
          <t>🥇 XUẤT SẮC</t>
        </is>
      </c>
      <c r="O14" s="379" t="inlineStr">
        <is>
          <t>DCA đều hàng tháng</t>
        </is>
      </c>
    </row>
    <row r="15" ht="15" customHeight="1" s="981">
      <c r="A15" s="373" t="inlineStr">
        <is>
          <t>SSI</t>
        </is>
      </c>
      <c r="B15" s="373" t="n"/>
      <c r="C15" s="373" t="n"/>
      <c r="D15" s="374" t="n">
        <v>14.2</v>
      </c>
      <c r="E15" s="376" t="n">
        <v>12</v>
      </c>
      <c r="F15" s="374" t="n">
        <v>12.8</v>
      </c>
      <c r="G15" s="380" t="n">
        <v>6</v>
      </c>
      <c r="H15" s="374" t="n">
        <v>18</v>
      </c>
      <c r="I15" s="375" t="n">
        <v>20</v>
      </c>
      <c r="J15" s="374" t="n">
        <v>78</v>
      </c>
      <c r="K15" s="375" t="n">
        <v>20</v>
      </c>
      <c r="L15" s="375" t="n">
        <v>14</v>
      </c>
      <c r="M15" s="381" t="n">
        <v>72</v>
      </c>
      <c r="N15" s="382" t="inlineStr">
        <is>
          <t>🟢 TỐT</t>
        </is>
      </c>
      <c r="O15" s="383" t="inlineStr">
        <is>
          <t>Chờ giảm 5-10%</t>
        </is>
      </c>
    </row>
    <row r="16" ht="15" customHeight="1" s="981">
      <c r="A16" s="373" t="inlineStr">
        <is>
          <t>GAS</t>
        </is>
      </c>
      <c r="B16" s="373" t="n"/>
      <c r="C16" s="373" t="n"/>
      <c r="D16" s="374" t="n">
        <v>14.5</v>
      </c>
      <c r="E16" s="376" t="n">
        <v>12</v>
      </c>
      <c r="F16" s="374" t="n">
        <v>23.4</v>
      </c>
      <c r="G16" s="375" t="n">
        <v>20</v>
      </c>
      <c r="H16" s="374" t="n">
        <v>24</v>
      </c>
      <c r="I16" s="375" t="n">
        <v>25</v>
      </c>
      <c r="J16" s="374" t="n">
        <v>82</v>
      </c>
      <c r="K16" s="375" t="n">
        <v>20</v>
      </c>
      <c r="L16" s="375" t="n">
        <v>14</v>
      </c>
      <c r="M16" s="377" t="n">
        <v>91</v>
      </c>
      <c r="N16" s="378" t="inlineStr">
        <is>
          <t>🥇 XUẤT SẮC</t>
        </is>
      </c>
      <c r="O16" s="379" t="inlineStr">
        <is>
          <t>DCA đều hàng tháng</t>
        </is>
      </c>
    </row>
    <row r="17" ht="15" customHeight="1" s="981">
      <c r="A17" s="373" t="inlineStr">
        <is>
          <t>CTR</t>
        </is>
      </c>
      <c r="B17" s="373" t="n"/>
      <c r="C17" s="373" t="n"/>
      <c r="D17" s="374" t="n">
        <v>22.5</v>
      </c>
      <c r="E17" s="380" t="n">
        <v>0</v>
      </c>
      <c r="F17" s="374" t="n">
        <v>22.8</v>
      </c>
      <c r="G17" s="375" t="n">
        <v>20</v>
      </c>
      <c r="H17" s="374" t="n">
        <v>25.5</v>
      </c>
      <c r="I17" s="375" t="n">
        <v>25</v>
      </c>
      <c r="J17" s="374" t="n">
        <v>76</v>
      </c>
      <c r="K17" s="375" t="n">
        <v>20</v>
      </c>
      <c r="L17" s="375" t="n">
        <v>14</v>
      </c>
      <c r="M17" s="377" t="n">
        <v>79</v>
      </c>
      <c r="N17" s="378" t="inlineStr">
        <is>
          <t>🟢 RẤT TỐT</t>
        </is>
      </c>
      <c r="O17" s="379" t="inlineStr">
        <is>
          <t>DCA đều hàng tháng</t>
        </is>
      </c>
    </row>
    <row r="18" ht="15" customHeight="1" s="981">
      <c r="A18" s="373" t="inlineStr">
        <is>
          <t>MWG</t>
        </is>
      </c>
      <c r="B18" s="373" t="n"/>
      <c r="C18" s="373" t="n"/>
      <c r="D18" s="374" t="n">
        <v>17.7</v>
      </c>
      <c r="E18" s="380" t="n">
        <v>6</v>
      </c>
      <c r="F18" s="374" t="n">
        <v>22</v>
      </c>
      <c r="G18" s="375" t="n">
        <v>20</v>
      </c>
      <c r="H18" s="374" t="n">
        <v>19.2</v>
      </c>
      <c r="I18" s="375" t="n">
        <v>20</v>
      </c>
      <c r="J18" s="374" t="n">
        <v>82</v>
      </c>
      <c r="K18" s="375" t="n">
        <v>20</v>
      </c>
      <c r="L18" s="375" t="n">
        <v>14</v>
      </c>
      <c r="M18" s="377" t="n">
        <v>80</v>
      </c>
      <c r="N18" s="378" t="inlineStr">
        <is>
          <t>🟢 RẤT TỐT</t>
        </is>
      </c>
      <c r="O18" s="379" t="inlineStr">
        <is>
          <t>DCA đều hàng tháng</t>
        </is>
      </c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  <c r="H19" s="1050" t="n"/>
      <c r="I19" s="1050" t="n"/>
      <c r="J19" s="1050" t="n"/>
      <c r="K19" s="1050" t="n"/>
      <c r="L19" s="1050" t="n"/>
      <c r="M19" s="1050" t="n"/>
      <c r="N19" s="1050" t="n"/>
      <c r="O19" s="1050" t="n"/>
    </row>
    <row r="20" ht="15" customHeight="1" s="981">
      <c r="A20" s="1090" t="inlineStr">
        <is>
          <t>📊 THỐNG KÊ</t>
        </is>
      </c>
      <c r="B20" s="966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  <c r="K20" s="1050" t="n"/>
      <c r="L20" s="1050" t="n"/>
      <c r="M20" s="1050" t="n"/>
      <c r="N20" s="1050" t="n"/>
      <c r="O20" s="1050" t="n"/>
    </row>
    <row r="21" ht="15" customHeight="1" s="981">
      <c r="A21" s="1090" t="inlineStr">
        <is>
          <t>Điểm cao nhất</t>
        </is>
      </c>
      <c r="B21" s="385" t="n">
        <v>110</v>
      </c>
      <c r="C21" s="1050" t="n"/>
      <c r="D21" s="1050" t="n"/>
      <c r="E21" s="1050" t="n"/>
      <c r="F21" s="1050" t="n"/>
      <c r="G21" s="1050" t="n"/>
      <c r="H21" s="1050" t="n"/>
      <c r="I21" s="1050" t="n"/>
      <c r="J21" s="1050" t="n"/>
      <c r="K21" s="1050" t="n"/>
      <c r="L21" s="1050" t="n"/>
      <c r="M21" s="1050" t="n"/>
      <c r="N21" s="1050" t="n"/>
      <c r="O21" s="1050" t="n"/>
    </row>
    <row r="22" ht="15" customHeight="1" s="981">
      <c r="A22" s="1090" t="inlineStr">
        <is>
          <t>Điểm thấp nhất</t>
        </is>
      </c>
      <c r="B22" s="385" t="n">
        <v>64</v>
      </c>
      <c r="C22" s="1050" t="n"/>
      <c r="D22" s="1050" t="n"/>
      <c r="E22" s="1050" t="n"/>
      <c r="F22" s="1050" t="n"/>
      <c r="G22" s="1050" t="n"/>
      <c r="H22" s="1050" t="n"/>
      <c r="I22" s="1050" t="n"/>
      <c r="J22" s="1050" t="n"/>
      <c r="K22" s="1050" t="n"/>
      <c r="L22" s="1050" t="n"/>
      <c r="M22" s="1050" t="n"/>
      <c r="N22" s="1050" t="n"/>
      <c r="O22" s="1050" t="n"/>
    </row>
    <row r="23" ht="15" customHeight="1" s="981">
      <c r="A23" s="1090" t="inlineStr">
        <is>
          <t>Điểm trung bình</t>
        </is>
      </c>
      <c r="B23" s="385" t="n">
        <v>86.7</v>
      </c>
      <c r="C23" s="1050" t="n"/>
      <c r="D23" s="1050" t="n"/>
      <c r="E23" s="1050" t="n"/>
      <c r="F23" s="1050" t="n"/>
      <c r="G23" s="1050" t="n"/>
      <c r="H23" s="1050" t="n"/>
      <c r="I23" s="1050" t="n"/>
      <c r="J23" s="1050" t="n"/>
      <c r="K23" s="1050" t="n"/>
      <c r="L23" s="1050" t="n"/>
      <c r="M23" s="1050" t="n"/>
      <c r="N23" s="1050" t="n"/>
      <c r="O23" s="1050" t="n"/>
    </row>
    <row r="24" ht="15" customHeight="1" s="981">
      <c r="A24" s="1090" t="inlineStr">
        <is>
          <t>Mã xuất sắc (≥75)</t>
        </is>
      </c>
      <c r="B24" s="385" t="n">
        <v>11</v>
      </c>
      <c r="C24" s="1050" t="n"/>
      <c r="D24" s="1050" t="n"/>
      <c r="E24" s="1050" t="n"/>
      <c r="F24" s="1050" t="n"/>
      <c r="G24" s="1050" t="n"/>
      <c r="H24" s="1050" t="n"/>
      <c r="I24" s="1050" t="n"/>
      <c r="J24" s="1050" t="n"/>
      <c r="K24" s="1050" t="n"/>
      <c r="L24" s="1050" t="n"/>
      <c r="M24" s="1050" t="n"/>
      <c r="N24" s="1050" t="n"/>
      <c r="O24" s="1050" t="n"/>
    </row>
  </sheetData>
  <mergeCells count="3">
    <mergeCell ref="A2:L2"/>
    <mergeCell ref="A20:B20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topLeftCell="A21" zoomScaleNormal="100" workbookViewId="0">
      <selection activeCell="A1" sqref="A1"/>
    </sheetView>
  </sheetViews>
  <sheetFormatPr baseColWidth="8" defaultColWidth="8.6640625" defaultRowHeight="14.4"/>
  <cols>
    <col width="4" customWidth="1" style="981" min="1" max="1"/>
    <col width="11" customWidth="1" style="981" min="2" max="2"/>
    <col width="22" customWidth="1" style="981" min="3" max="3"/>
    <col width="16" customWidth="1" style="981" min="4" max="4"/>
    <col width="12" customWidth="1" style="981" min="5" max="5"/>
    <col width="41.44140625" customWidth="1" style="981" min="6" max="6"/>
    <col width="13" customWidth="1" style="981" min="7" max="7"/>
    <col width="17" customWidth="1" style="981" min="12" max="12"/>
    <col width="24" customWidth="1" style="981" min="13" max="13"/>
  </cols>
  <sheetData>
    <row r="1" ht="36" customHeight="1" s="981">
      <c r="A1" s="1097" t="inlineStr">
        <is>
          <t>🐋 BỘ LỌC CÁ VOI v13 — Quỹ đầu tư di sản 50 năm | Tiêu chuẩn Quỹ chuyên nghiệp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6" t="n"/>
    </row>
    <row r="2" ht="13.5" customHeight="1" s="981">
      <c r="A2" s="973" t="inlineStr">
        <is>
          <t>💎 Triết lý: CFO ≥ LNST (lãi thật) | ROIC ≥ 15% (hào kinh tế) | ESG ≥ 50/100 (đạo đức) | Net Debt/EBITDA &lt; 2 (sức chống chịu) | 14.285.714 ₫/mã × 7 = 100 triệu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  <c r="M3" s="1050" t="n"/>
    </row>
    <row r="4" ht="25.5" customHeight="1" s="981">
      <c r="A4" s="1099" t="inlineStr">
        <is>
          <t>⚙️  THIẾT LẬP NGƯỠNG LỌC CHẤT LƯỢNG CAO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5" t="n"/>
      <c r="M4" s="966" t="n"/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  <c r="M5" s="1050" t="n"/>
    </row>
    <row r="6" ht="81.75" customHeight="1" s="981">
      <c r="A6" s="1093" t="inlineStr">
        <is>
          <t>CFO/LNST tối thiểu</t>
        </is>
      </c>
      <c r="B6" s="5" t="n">
        <v>1</v>
      </c>
      <c r="C6" s="1093" t="inlineStr">
        <is>
          <t>ROIC % tối thiểu</t>
        </is>
      </c>
      <c r="D6" s="5" t="n">
        <v>15</v>
      </c>
      <c r="E6" s="1093" t="inlineStr">
        <is>
          <t>ROE % tối thiểu</t>
        </is>
      </c>
      <c r="F6" s="5" t="n">
        <v>15</v>
      </c>
      <c r="G6" s="1093" t="inlineStr">
        <is>
          <t>Điểm ESG tối thiểu</t>
        </is>
      </c>
      <c r="H6" s="5" t="n">
        <v>50</v>
      </c>
      <c r="I6" s="1093" t="inlineStr">
        <is>
          <t>Net Debt/EBITDA tối đa</t>
        </is>
      </c>
      <c r="J6" s="5" t="n">
        <v>2</v>
      </c>
      <c r="K6" s="1093" t="inlineStr">
        <is>
          <t>P/E tối đa</t>
        </is>
      </c>
      <c r="L6" s="5" t="n">
        <v>20</v>
      </c>
      <c r="M6" s="1050" t="n"/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  <c r="M7" s="1050" t="n"/>
    </row>
    <row r="8" ht="14.25" customHeight="1" s="981">
      <c r="A8" s="1093" t="inlineStr">
        <is>
          <t>🐋 BẢNG ĐÁNH GIÁ 7 CỔ PHIẾU LÕI — Tự động chấm điểm 5 tiêu chí + phân bổ vốn</t>
        </is>
      </c>
      <c r="B8" s="965" t="n"/>
      <c r="C8" s="965" t="n"/>
      <c r="D8" s="965" t="n"/>
      <c r="E8" s="965" t="n"/>
      <c r="F8" s="965" t="n"/>
      <c r="G8" s="965" t="n"/>
      <c r="H8" s="965" t="n"/>
      <c r="I8" s="965" t="n"/>
      <c r="J8" s="965" t="n"/>
      <c r="K8" s="965" t="n"/>
      <c r="L8" s="965" t="n"/>
      <c r="M8" s="966" t="n"/>
    </row>
    <row r="9" ht="36" customHeight="1" s="981">
      <c r="A9" s="386" t="inlineStr">
        <is>
          <t>STT</t>
        </is>
      </c>
      <c r="B9" s="386" t="inlineStr">
        <is>
          <t>MÃ</t>
        </is>
      </c>
      <c r="C9" s="386" t="inlineStr">
        <is>
          <t>TÊN</t>
        </is>
      </c>
      <c r="D9" s="386" t="inlineStr">
        <is>
          <t>1. CFO/LNST</t>
        </is>
      </c>
      <c r="E9" s="386" t="inlineStr">
        <is>
          <t>2. ROIC %</t>
        </is>
      </c>
      <c r="F9" s="386" t="inlineStr">
        <is>
          <t>3. ROE %</t>
        </is>
      </c>
      <c r="G9" s="386" t="inlineStr">
        <is>
          <t>4. ĐIỂM ESG</t>
        </is>
      </c>
      <c r="H9" s="386" t="inlineStr">
        <is>
          <t>5. Net Debt/EBITDA</t>
        </is>
      </c>
      <c r="I9" s="386" t="inlineStr">
        <is>
          <t>P/E</t>
        </is>
      </c>
      <c r="J9" s="386" t="inlineStr">
        <is>
          <t>TỔNG ĐIỂM /5</t>
        </is>
      </c>
      <c r="K9" s="386" t="inlineStr">
        <is>
          <t>TÍN HIỆU</t>
        </is>
      </c>
      <c r="L9" s="386" t="inlineStr">
        <is>
          <t>VỐN GIẢI NGÂN (₫)</t>
        </is>
      </c>
      <c r="M9" s="386" t="inlineStr">
        <is>
          <t>GHI CHÚ</t>
        </is>
      </c>
    </row>
    <row r="10" ht="14.25" customHeight="1" s="981">
      <c r="A10" s="16" t="n">
        <v>1</v>
      </c>
      <c r="B10" s="235" t="inlineStr">
        <is>
          <t>MBB</t>
        </is>
      </c>
      <c r="C10" s="964" t="inlineStr">
        <is>
          <t>MB Bank</t>
        </is>
      </c>
      <c r="D10" s="387" t="n">
        <v>1.45</v>
      </c>
      <c r="E10" s="387" t="n">
        <v>22.1</v>
      </c>
      <c r="F10" s="387" t="n">
        <v>22.1</v>
      </c>
      <c r="G10" s="387" t="n">
        <v>75</v>
      </c>
      <c r="H10" s="387" t="n">
        <v>1.2</v>
      </c>
      <c r="I10" s="16" t="n">
        <v>6.4</v>
      </c>
      <c r="J10" s="388" t="inlineStr">
        <is>
          <t>5/5</t>
        </is>
      </c>
      <c r="K10" s="389" t="inlineStr">
        <is>
          <t>🐋 CÁ VOI — MUA MẠNH</t>
        </is>
      </c>
      <c r="L10" s="390" t="n">
        <v>14285714</v>
      </c>
      <c r="M10" s="964" t="inlineStr">
        <is>
          <t>P/E rẻ nhất ngành NH, ROE 22%</t>
        </is>
      </c>
    </row>
    <row r="11" ht="14.25" customHeight="1" s="981">
      <c r="A11" s="16" t="n">
        <v>2</v>
      </c>
      <c r="B11" s="235" t="inlineStr">
        <is>
          <t>FPT</t>
        </is>
      </c>
      <c r="C11" s="964" t="inlineStr">
        <is>
          <t>FPT Corp</t>
        </is>
      </c>
      <c r="D11" s="387" t="n">
        <v>1.32</v>
      </c>
      <c r="E11" s="387" t="n">
        <v>28.5</v>
      </c>
      <c r="F11" s="387" t="n">
        <v>26.8</v>
      </c>
      <c r="G11" s="387" t="n">
        <v>85</v>
      </c>
      <c r="H11" s="387" t="n">
        <v>0.5</v>
      </c>
      <c r="I11" s="16" t="n">
        <v>18.5</v>
      </c>
      <c r="J11" s="388" t="inlineStr">
        <is>
          <t>5/5</t>
        </is>
      </c>
      <c r="K11" s="389" t="inlineStr">
        <is>
          <t>🐋 CÁ VOI — MUA MẠNH</t>
        </is>
      </c>
      <c r="L11" s="390" t="n">
        <v>14285714</v>
      </c>
      <c r="M11" s="964" t="inlineStr">
        <is>
          <t>Tech compounder, FCF dồi dào</t>
        </is>
      </c>
    </row>
    <row r="12" ht="23.25" customHeight="1" s="981">
      <c r="A12" s="16" t="n">
        <v>3</v>
      </c>
      <c r="B12" s="235" t="inlineStr">
        <is>
          <t>VCB</t>
        </is>
      </c>
      <c r="C12" s="964" t="inlineStr">
        <is>
          <t>Vietcombank</t>
        </is>
      </c>
      <c r="D12" s="387" t="n">
        <v>1.55</v>
      </c>
      <c r="E12" s="387" t="n">
        <v>18</v>
      </c>
      <c r="F12" s="387" t="n">
        <v>18.7</v>
      </c>
      <c r="G12" s="387" t="n">
        <v>90</v>
      </c>
      <c r="H12" s="387" t="n">
        <v>0.8</v>
      </c>
      <c r="I12" s="16" t="n">
        <v>14</v>
      </c>
      <c r="J12" s="388" t="inlineStr">
        <is>
          <t>5/5</t>
        </is>
      </c>
      <c r="K12" s="389" t="inlineStr">
        <is>
          <t>🐋 CÁ VOI — MUA MẠNH</t>
        </is>
      </c>
      <c r="L12" s="390" t="n">
        <v>14285714</v>
      </c>
      <c r="M12" s="964" t="inlineStr">
        <is>
          <t>Ngân hàng lớn nhất VN, an toàn cao</t>
        </is>
      </c>
    </row>
    <row r="13" ht="14.25" customHeight="1" s="981">
      <c r="A13" s="16" t="n">
        <v>4</v>
      </c>
      <c r="B13" s="235" t="inlineStr">
        <is>
          <t>CTR</t>
        </is>
      </c>
      <c r="C13" s="964" t="inlineStr">
        <is>
          <t>Viettel Const</t>
        </is>
      </c>
      <c r="D13" s="387" t="n">
        <v>1.28</v>
      </c>
      <c r="E13" s="387" t="n">
        <v>25.5</v>
      </c>
      <c r="F13" s="387" t="n">
        <v>25</v>
      </c>
      <c r="G13" s="387" t="n">
        <v>70</v>
      </c>
      <c r="H13" s="387" t="n">
        <v>1.8</v>
      </c>
      <c r="I13" s="16" t="n">
        <v>16.4</v>
      </c>
      <c r="J13" s="388" t="inlineStr">
        <is>
          <t>5/5</t>
        </is>
      </c>
      <c r="K13" s="389" t="inlineStr">
        <is>
          <t>🐋 CÁ VOI — MUA MẠNH</t>
        </is>
      </c>
      <c r="L13" s="390" t="n">
        <v>14285714</v>
      </c>
      <c r="M13" s="964" t="inlineStr">
        <is>
          <t>5G Viettel, tăng trưởng cao</t>
        </is>
      </c>
    </row>
    <row r="14" ht="14.25" customHeight="1" s="981">
      <c r="A14" s="16" t="n">
        <v>5</v>
      </c>
      <c r="B14" s="235" t="inlineStr">
        <is>
          <t>MWG</t>
        </is>
      </c>
      <c r="C14" s="964" t="inlineStr">
        <is>
          <t>Mobile World</t>
        </is>
      </c>
      <c r="D14" s="387" t="n">
        <v>1.18</v>
      </c>
      <c r="E14" s="387" t="n">
        <v>19.2</v>
      </c>
      <c r="F14" s="387" t="n">
        <v>22</v>
      </c>
      <c r="G14" s="387" t="n">
        <v>65</v>
      </c>
      <c r="H14" s="387" t="n">
        <v>1.9</v>
      </c>
      <c r="I14" s="16" t="n">
        <v>17.5</v>
      </c>
      <c r="J14" s="388" t="inlineStr">
        <is>
          <t>5/5</t>
        </is>
      </c>
      <c r="K14" s="389" t="inlineStr">
        <is>
          <t>🐋 CÁ VOI — MUA MẠNH</t>
        </is>
      </c>
      <c r="L14" s="390" t="n">
        <v>14285714</v>
      </c>
      <c r="M14" s="964" t="inlineStr">
        <is>
          <t>BHX phục hồi, đa dạng kênh bán</t>
        </is>
      </c>
    </row>
    <row r="15" ht="14.25" customHeight="1" s="981">
      <c r="A15" s="16" t="n">
        <v>6</v>
      </c>
      <c r="B15" s="235" t="inlineStr">
        <is>
          <t>HPG</t>
        </is>
      </c>
      <c r="C15" s="964" t="inlineStr">
        <is>
          <t>Hòa Phát</t>
        </is>
      </c>
      <c r="D15" s="391" t="n">
        <v>0.95</v>
      </c>
      <c r="E15" s="391" t="n">
        <v>14.8</v>
      </c>
      <c r="F15" s="387" t="n">
        <v>16.5</v>
      </c>
      <c r="G15" s="387" t="n">
        <v>55</v>
      </c>
      <c r="H15" s="391" t="n">
        <v>2.3</v>
      </c>
      <c r="I15" s="16" t="n">
        <v>9.199999999999999</v>
      </c>
      <c r="J15" s="392" t="inlineStr">
        <is>
          <t>2/5</t>
        </is>
      </c>
      <c r="K15" s="393" t="inlineStr">
        <is>
          <t>🔴 LOẠI</t>
        </is>
      </c>
      <c r="L15" s="394" t="n">
        <v>0</v>
      </c>
      <c r="M15" s="964" t="inlineStr">
        <is>
          <t>Thép — chu kỳ, CFO yếu hơn</t>
        </is>
      </c>
    </row>
    <row r="16" ht="23.25" customHeight="1" s="981">
      <c r="A16" s="16" t="n">
        <v>7</v>
      </c>
      <c r="B16" s="235" t="inlineStr">
        <is>
          <t>VIX</t>
        </is>
      </c>
      <c r="C16" s="964" t="inlineStr">
        <is>
          <t>VIX Securities</t>
        </is>
      </c>
      <c r="D16" s="387" t="n">
        <v>1.05</v>
      </c>
      <c r="E16" s="387" t="n">
        <v>30.2</v>
      </c>
      <c r="F16" s="387" t="n">
        <v>28.8</v>
      </c>
      <c r="G16" s="391" t="n">
        <v>45</v>
      </c>
      <c r="H16" s="387" t="n">
        <v>1.5</v>
      </c>
      <c r="I16" s="16" t="n">
        <v>6</v>
      </c>
      <c r="J16" s="395" t="inlineStr">
        <is>
          <t>4/5</t>
        </is>
      </c>
      <c r="K16" s="396" t="inlineStr">
        <is>
          <t>🟢 ĐẠT — MUA</t>
        </is>
      </c>
      <c r="L16" s="397" t="n">
        <v>7142857</v>
      </c>
      <c r="M16" s="964" t="inlineStr">
        <is>
          <t>ROE 28% nhưng ESG thấp (chưa cổ tức)</t>
        </is>
      </c>
    </row>
    <row r="17" ht="14.25" customHeight="1" s="981">
      <c r="A17" s="16" t="n">
        <v>8</v>
      </c>
      <c r="B17" s="235" t="inlineStr">
        <is>
          <t>VNM</t>
        </is>
      </c>
      <c r="C17" s="964" t="inlineStr">
        <is>
          <t>Vinamilk</t>
        </is>
      </c>
      <c r="D17" s="387" t="n">
        <v>1.2</v>
      </c>
      <c r="E17" s="387" t="n">
        <v>26</v>
      </c>
      <c r="F17" s="387" t="n">
        <v>23.8</v>
      </c>
      <c r="G17" s="387" t="n">
        <v>80</v>
      </c>
      <c r="H17" s="387" t="n">
        <v>0.3</v>
      </c>
      <c r="I17" s="16" t="n">
        <v>15.2</v>
      </c>
      <c r="J17" s="388" t="inlineStr">
        <is>
          <t>5/5</t>
        </is>
      </c>
      <c r="K17" s="389" t="inlineStr">
        <is>
          <t>🐋 CÁ VOI — MUA MẠNH</t>
        </is>
      </c>
      <c r="L17" s="390" t="n">
        <v>14285714</v>
      </c>
      <c r="M17" s="964" t="inlineStr">
        <is>
          <t>Cổ tức cao 7%, biên LN ổn</t>
        </is>
      </c>
    </row>
    <row r="18" ht="14.25" customHeight="1" s="981">
      <c r="A18" s="16" t="n">
        <v>9</v>
      </c>
      <c r="B18" s="235" t="inlineStr">
        <is>
          <t>ACB</t>
        </is>
      </c>
      <c r="C18" s="964" t="inlineStr">
        <is>
          <t>ACB Bank</t>
        </is>
      </c>
      <c r="D18" s="387" t="n">
        <v>1.38</v>
      </c>
      <c r="E18" s="387" t="n">
        <v>24.5</v>
      </c>
      <c r="F18" s="387" t="n">
        <v>25</v>
      </c>
      <c r="G18" s="387" t="n">
        <v>78</v>
      </c>
      <c r="H18" s="387" t="n">
        <v>1.1</v>
      </c>
      <c r="I18" s="16" t="n">
        <v>6.8</v>
      </c>
      <c r="J18" s="388" t="inlineStr">
        <is>
          <t>5/5</t>
        </is>
      </c>
      <c r="K18" s="389" t="inlineStr">
        <is>
          <t>🐋 CÁ VOI — MUA MẠNH</t>
        </is>
      </c>
      <c r="L18" s="390" t="n">
        <v>14285714</v>
      </c>
      <c r="M18" s="964" t="inlineStr">
        <is>
          <t>Bán lẻ tốt, ROE 24.5%</t>
        </is>
      </c>
    </row>
    <row r="19" ht="23.25" customHeight="1" s="981">
      <c r="A19" s="16" t="n">
        <v>10</v>
      </c>
      <c r="B19" s="235" t="inlineStr">
        <is>
          <t>TCB</t>
        </is>
      </c>
      <c r="C19" s="964" t="inlineStr">
        <is>
          <t>Techcombank</t>
        </is>
      </c>
      <c r="D19" s="387" t="n">
        <v>1.25</v>
      </c>
      <c r="E19" s="387" t="n">
        <v>21.8</v>
      </c>
      <c r="F19" s="387" t="n">
        <v>20.1</v>
      </c>
      <c r="G19" s="387" t="n">
        <v>72</v>
      </c>
      <c r="H19" s="387" t="n">
        <v>1.4</v>
      </c>
      <c r="I19" s="16" t="n">
        <v>7.2</v>
      </c>
      <c r="J19" s="388" t="inlineStr">
        <is>
          <t>5/5</t>
        </is>
      </c>
      <c r="K19" s="389" t="inlineStr">
        <is>
          <t>🐋 CÁ VOI — MUA MẠNH</t>
        </is>
      </c>
      <c r="L19" s="390" t="n">
        <v>14285714</v>
      </c>
      <c r="M19" s="964" t="inlineStr">
        <is>
          <t>Cổ đông Warburg Pincus chiến lược</t>
        </is>
      </c>
    </row>
    <row r="20" ht="14.25" customHeight="1" s="981">
      <c r="A20" s="16" t="n">
        <v>11</v>
      </c>
      <c r="B20" s="235" t="inlineStr">
        <is>
          <t>GAS</t>
        </is>
      </c>
      <c r="C20" s="964" t="inlineStr">
        <is>
          <t>PV Gas</t>
        </is>
      </c>
      <c r="D20" s="387" t="n">
        <v>1.42</v>
      </c>
      <c r="E20" s="387" t="n">
        <v>24</v>
      </c>
      <c r="F20" s="387" t="n">
        <v>27</v>
      </c>
      <c r="G20" s="387" t="n">
        <v>82</v>
      </c>
      <c r="H20" s="387" t="n">
        <v>0.4</v>
      </c>
      <c r="I20" s="16" t="n">
        <v>11.5</v>
      </c>
      <c r="J20" s="388" t="inlineStr">
        <is>
          <t>5/5</t>
        </is>
      </c>
      <c r="K20" s="389" t="inlineStr">
        <is>
          <t>🐋 CÁ VOI — MUA MẠNH</t>
        </is>
      </c>
      <c r="L20" s="390" t="n">
        <v>14285714</v>
      </c>
      <c r="M20" s="964" t="inlineStr">
        <is>
          <t>Cổ tức 6%, FCF cao</t>
        </is>
      </c>
    </row>
    <row r="21" ht="14.25" customHeight="1" s="981">
      <c r="A21" s="16" t="n">
        <v>12</v>
      </c>
      <c r="B21" s="235" t="inlineStr">
        <is>
          <t>SSI</t>
        </is>
      </c>
      <c r="C21" s="964" t="inlineStr">
        <is>
          <t>SSI Securities</t>
        </is>
      </c>
      <c r="D21" s="387" t="n">
        <v>1.1</v>
      </c>
      <c r="E21" s="387" t="n">
        <v>18</v>
      </c>
      <c r="F21" s="387" t="n">
        <v>16.3</v>
      </c>
      <c r="G21" s="387" t="n">
        <v>60</v>
      </c>
      <c r="H21" s="387" t="n">
        <v>1.6</v>
      </c>
      <c r="I21" s="16" t="n">
        <v>9.5</v>
      </c>
      <c r="J21" s="388" t="inlineStr">
        <is>
          <t>5/5</t>
        </is>
      </c>
      <c r="K21" s="389" t="inlineStr">
        <is>
          <t>🐋 CÁ VOI — MUA MẠNH</t>
        </is>
      </c>
      <c r="L21" s="390" t="n">
        <v>14285714</v>
      </c>
      <c r="M21" s="964" t="inlineStr">
        <is>
          <t>Chứng khoán hưởng lợi TT</t>
        </is>
      </c>
    </row>
    <row r="22" ht="15" customHeight="1" s="981">
      <c r="A22" s="1050" t="n"/>
      <c r="B22" s="1050" t="n"/>
      <c r="C22" s="1050" t="n"/>
      <c r="D22" s="1050" t="n"/>
      <c r="E22" s="1050" t="n"/>
      <c r="F22" s="1050" t="n"/>
      <c r="G22" s="1050" t="n"/>
      <c r="H22" s="1050" t="n"/>
      <c r="I22" s="1050" t="n"/>
      <c r="J22" s="1050" t="n"/>
      <c r="K22" s="398" t="inlineStr">
        <is>
          <t>TỔNG VỐN:</t>
        </is>
      </c>
      <c r="L22" s="399" t="n">
        <v>149999997</v>
      </c>
      <c r="M22" s="1050" t="n"/>
    </row>
    <row r="23" ht="15" customHeight="1" s="981">
      <c r="A23" s="1050" t="n"/>
      <c r="B23" s="1050" t="n"/>
      <c r="C23" s="1050" t="n"/>
      <c r="D23" s="1050" t="n"/>
      <c r="E23" s="1050" t="n"/>
      <c r="F23" s="1050" t="n"/>
      <c r="G23" s="1050" t="n"/>
      <c r="H23" s="1050" t="n"/>
      <c r="I23" s="1050" t="n"/>
      <c r="J23" s="1050" t="n"/>
      <c r="K23" s="1050" t="n"/>
      <c r="L23" s="1050" t="n"/>
      <c r="M23" s="1050" t="n"/>
    </row>
    <row r="24" ht="15" customHeight="1" s="981">
      <c r="A24" s="1050" t="n"/>
      <c r="B24" s="1050" t="n"/>
      <c r="C24" s="1050" t="n"/>
      <c r="D24" s="1050" t="n"/>
      <c r="E24" s="1050" t="n"/>
      <c r="F24" s="1050" t="n"/>
      <c r="G24" s="1050" t="n"/>
      <c r="H24" s="1050" t="n"/>
      <c r="I24" s="1050" t="n"/>
      <c r="J24" s="1050" t="n"/>
      <c r="K24" s="1050" t="n"/>
      <c r="L24" s="1050" t="n"/>
      <c r="M24" s="1050" t="n"/>
    </row>
    <row r="25" ht="25.5" customHeight="1" s="981">
      <c r="A25" s="1099" t="inlineStr">
        <is>
          <t>🌪️ STRESS TEST — Mô phỏng cú sốc thị trường</t>
        </is>
      </c>
      <c r="B25" s="965" t="n"/>
      <c r="C25" s="965" t="n"/>
      <c r="D25" s="965" t="n"/>
      <c r="E25" s="965" t="n"/>
      <c r="F25" s="965" t="n"/>
      <c r="G25" s="965" t="n"/>
      <c r="H25" s="965" t="n"/>
      <c r="I25" s="965" t="n"/>
      <c r="J25" s="965" t="n"/>
      <c r="K25" s="965" t="n"/>
      <c r="L25" s="965" t="n"/>
      <c r="M25" s="966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  <c r="I26" s="1050" t="n"/>
      <c r="J26" s="1050" t="n"/>
      <c r="K26" s="1050" t="n"/>
      <c r="L26" s="1050" t="n"/>
      <c r="M26" s="1050" t="n"/>
    </row>
    <row r="27" ht="14.25" customHeight="1" s="981">
      <c r="A27" s="1079" t="inlineStr">
        <is>
          <t>Phân bổ tài sản:</t>
        </is>
      </c>
      <c r="B27" s="965" t="n"/>
      <c r="C27" s="966" t="n"/>
      <c r="D27" s="1050" t="n"/>
      <c r="E27" s="1050" t="n"/>
      <c r="F27" s="1036" t="inlineStr">
        <is>
          <t>KỊCH BẢN</t>
        </is>
      </c>
      <c r="G27" s="1036" t="inlineStr">
        <is>
          <t>CP %</t>
        </is>
      </c>
      <c r="H27" s="1036" t="inlineStr">
        <is>
          <t>Vàng %</t>
        </is>
      </c>
      <c r="I27" s="1036" t="inlineStr">
        <is>
          <t>BTC %</t>
        </is>
      </c>
      <c r="J27" s="1036" t="inlineStr">
        <is>
          <t>Cash %</t>
        </is>
      </c>
      <c r="K27" s="1036" t="inlineStr">
        <is>
          <t>TÁC ĐỘNG DANH MỤC</t>
        </is>
      </c>
      <c r="L27" s="965" t="n"/>
      <c r="M27" s="966" t="n"/>
    </row>
    <row r="28" ht="45.75" customHeight="1" s="981">
      <c r="A28" s="1092" t="inlineStr">
        <is>
          <t>Cổ phiếu (CP) %</t>
        </is>
      </c>
      <c r="B28" s="965" t="n"/>
      <c r="C28" s="966" t="n"/>
      <c r="D28" s="5" t="n">
        <v>70</v>
      </c>
      <c r="E28" s="1050" t="n"/>
      <c r="F28" s="964" t="inlineStr">
        <is>
          <t>💥 Khủng hoảng 2008 (CP -50%, Au +25%, BTC -80%)</t>
        </is>
      </c>
      <c r="G28" s="16" t="n">
        <v>-0.5</v>
      </c>
      <c r="H28" s="16" t="n">
        <v>0.25</v>
      </c>
      <c r="I28" s="16" t="n">
        <v>-0.8</v>
      </c>
      <c r="J28" s="16" t="n">
        <v>0</v>
      </c>
      <c r="K28" s="1098" t="n">
        <v>-0.34</v>
      </c>
      <c r="L28" s="965" t="n"/>
      <c r="M28" s="966" t="n"/>
    </row>
    <row r="29" ht="34.5" customHeight="1" s="981">
      <c r="A29" s="1092" t="inlineStr">
        <is>
          <t>Vàng (XAU) %</t>
        </is>
      </c>
      <c r="B29" s="965" t="n"/>
      <c r="C29" s="966" t="n"/>
      <c r="D29" s="5" t="n">
        <v>20</v>
      </c>
      <c r="E29" s="1050" t="n"/>
      <c r="F29" s="964" t="inlineStr">
        <is>
          <t>😷 COVID 2020 (CP -35%, Au +20%, BTC -60%)</t>
        </is>
      </c>
      <c r="G29" s="16" t="n">
        <v>-0.35</v>
      </c>
      <c r="H29" s="16" t="n">
        <v>0.2</v>
      </c>
      <c r="I29" s="16" t="n">
        <v>-0.6</v>
      </c>
      <c r="J29" s="16" t="n">
        <v>0</v>
      </c>
      <c r="K29" s="1098" t="n">
        <v>-0.235</v>
      </c>
      <c r="L29" s="965" t="n"/>
      <c r="M29" s="966" t="n"/>
    </row>
    <row r="30" ht="45.75" customHeight="1" s="981">
      <c r="A30" s="1092" t="inlineStr">
        <is>
          <t>Bitcoin (BTC) %</t>
        </is>
      </c>
      <c r="B30" s="965" t="n"/>
      <c r="C30" s="966" t="n"/>
      <c r="D30" s="5" t="n">
        <v>5</v>
      </c>
      <c r="E30" s="1050" t="n"/>
      <c r="F30" s="964" t="inlineStr">
        <is>
          <t>📉 Bull→Bear thường (CP -25%, Au +10%, BTC -50%)</t>
        </is>
      </c>
      <c r="G30" s="16" t="n">
        <v>-0.25</v>
      </c>
      <c r="H30" s="16" t="n">
        <v>0.1</v>
      </c>
      <c r="I30" s="16" t="n">
        <v>-0.5</v>
      </c>
      <c r="J30" s="16" t="n">
        <v>0</v>
      </c>
      <c r="K30" s="1094" t="n">
        <v>-0.18</v>
      </c>
      <c r="L30" s="965" t="n"/>
      <c r="M30" s="966" t="n"/>
    </row>
    <row r="31" ht="34.5" customHeight="1" s="981">
      <c r="A31" s="1092" t="inlineStr">
        <is>
          <t>Tiền mặt %</t>
        </is>
      </c>
      <c r="B31" s="965" t="n"/>
      <c r="C31" s="966" t="n"/>
      <c r="D31" s="5" t="n">
        <v>5</v>
      </c>
      <c r="E31" s="1050" t="n"/>
      <c r="F31" s="964" t="inlineStr">
        <is>
          <t>📈 Sideway (CP +5%, Au +3%, BTC +0%)</t>
        </is>
      </c>
      <c r="G31" s="16" t="n">
        <v>0.05</v>
      </c>
      <c r="H31" s="16" t="n">
        <v>0.03</v>
      </c>
      <c r="I31" s="16" t="n">
        <v>0</v>
      </c>
      <c r="J31" s="16" t="n">
        <v>0</v>
      </c>
      <c r="K31" s="1096" t="n">
        <v>0.041</v>
      </c>
      <c r="L31" s="965" t="n"/>
      <c r="M31" s="966" t="n"/>
    </row>
    <row r="32" ht="45.75" customHeight="1" s="981">
      <c r="A32" s="1092" t="inlineStr">
        <is>
          <t>TỔNG (phải = 100%):</t>
        </is>
      </c>
      <c r="B32" s="965" t="n"/>
      <c r="C32" s="966" t="n"/>
      <c r="D32" s="400" t="n"/>
      <c r="E32" s="401" t="n">
        <v>1</v>
      </c>
      <c r="F32" s="964" t="inlineStr">
        <is>
          <t>🚀 Bull thị trường (CP +30%, Au -5%, BTC +200%)</t>
        </is>
      </c>
      <c r="G32" s="16" t="n">
        <v>0.3</v>
      </c>
      <c r="H32" s="16" t="n">
        <v>-0.05</v>
      </c>
      <c r="I32" s="16" t="n">
        <v>2</v>
      </c>
      <c r="J32" s="16" t="n">
        <v>0</v>
      </c>
      <c r="K32" s="1096" t="n">
        <v>0.3</v>
      </c>
      <c r="L32" s="965" t="n"/>
      <c r="M32" s="966" t="n"/>
    </row>
    <row r="33" ht="15" customHeight="1" s="981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</row>
    <row r="34" ht="15" customHeight="1" s="981">
      <c r="A34" s="1050" t="n"/>
      <c r="B34" s="1050" t="n"/>
      <c r="C34" s="1050" t="n"/>
      <c r="D34" s="1050" t="n"/>
      <c r="E34" s="1050" t="n"/>
      <c r="F34" s="1050" t="n"/>
      <c r="G34" s="1050" t="n"/>
      <c r="H34" s="1050" t="n"/>
      <c r="I34" s="1050" t="n"/>
      <c r="J34" s="1050" t="n"/>
      <c r="K34" s="1050" t="n"/>
      <c r="L34" s="1050" t="n"/>
      <c r="M34" s="1050" t="n"/>
    </row>
    <row r="35" ht="25.5" customHeight="1" s="981">
      <c r="A35" s="1099" t="inlineStr">
        <is>
          <t>📚 GIẢI THÍCH TIÊU CHÍ LỌC</t>
        </is>
      </c>
      <c r="B35" s="965" t="n"/>
      <c r="C35" s="965" t="n"/>
      <c r="D35" s="965" t="n"/>
      <c r="E35" s="965" t="n"/>
      <c r="F35" s="965" t="n"/>
      <c r="G35" s="965" t="n"/>
      <c r="H35" s="965" t="n"/>
      <c r="I35" s="965" t="n"/>
      <c r="J35" s="965" t="n"/>
      <c r="K35" s="965" t="n"/>
      <c r="L35" s="965" t="n"/>
      <c r="M35" s="966" t="n"/>
    </row>
    <row r="36" ht="14.25" customHeight="1" s="981">
      <c r="A36" s="1093" t="inlineStr">
        <is>
          <t>1. CFO/LNST ≥ 1.0</t>
        </is>
      </c>
      <c r="B36" s="965" t="n"/>
      <c r="C36" s="966" t="n"/>
      <c r="D36" s="964" t="inlineStr">
        <is>
          <t>Dòng tiền HĐKD ≥ Lợi nhuận sau thuế. Lọc DN xào nấu lợi nhuận giấy. CFO &lt; LNST = "Cờ đỏ".</t>
        </is>
      </c>
      <c r="E36" s="965" t="n"/>
      <c r="F36" s="965" t="n"/>
      <c r="G36" s="965" t="n"/>
      <c r="H36" s="965" t="n"/>
      <c r="I36" s="965" t="n"/>
      <c r="J36" s="965" t="n"/>
      <c r="K36" s="965" t="n"/>
      <c r="L36" s="965" t="n"/>
      <c r="M36" s="966" t="n"/>
    </row>
    <row r="37" ht="14.25" customHeight="1" s="981">
      <c r="A37" s="1093" t="inlineStr">
        <is>
          <t>2. ROIC ≥ 15%</t>
        </is>
      </c>
      <c r="B37" s="965" t="n"/>
      <c r="C37" s="966" t="n"/>
      <c r="D37" s="1095" t="inlineStr">
        <is>
          <t>Tỷ suất sinh lời trên VỐN ĐẦU TƯ (bao gồm cả nợ). ROE có thể bị thổi nếu vay nhiều. ROIC mới phản ánh thật.</t>
        </is>
      </c>
      <c r="E37" s="965" t="n"/>
      <c r="F37" s="965" t="n"/>
      <c r="G37" s="965" t="n"/>
      <c r="H37" s="965" t="n"/>
      <c r="I37" s="965" t="n"/>
      <c r="J37" s="965" t="n"/>
      <c r="K37" s="965" t="n"/>
      <c r="L37" s="965" t="n"/>
      <c r="M37" s="966" t="n"/>
    </row>
    <row r="38" ht="14.25" customHeight="1" s="981">
      <c r="A38" s="1093" t="inlineStr">
        <is>
          <t>3. ROE ≥ 15%</t>
        </is>
      </c>
      <c r="B38" s="965" t="n"/>
      <c r="C38" s="966" t="n"/>
      <c r="D38" s="964" t="inlineStr">
        <is>
          <t>Tỷ suất sinh lời trên vốn chủ sở hữu. ROE bền 10+ năm = hào kinh tế (Economic Moat).</t>
        </is>
      </c>
      <c r="E38" s="965" t="n"/>
      <c r="F38" s="965" t="n"/>
      <c r="G38" s="965" t="n"/>
      <c r="H38" s="965" t="n"/>
      <c r="I38" s="965" t="n"/>
      <c r="J38" s="965" t="n"/>
      <c r="K38" s="965" t="n"/>
      <c r="L38" s="965" t="n"/>
      <c r="M38" s="966" t="n"/>
    </row>
    <row r="39" ht="14.25" customHeight="1" s="981">
      <c r="A39" s="1093" t="inlineStr">
        <is>
          <t>4. ESG Score ≥ 50</t>
        </is>
      </c>
      <c r="B39" s="965" t="n"/>
      <c r="C39" s="966" t="n"/>
      <c r="D39" s="1095" t="inlineStr">
        <is>
          <t>Điểm đạo đức = 40% (cổ tức tiền mặt 3-5 năm) + 30% (lãnh đạo mua &gt; bán × 1.5) + 30% (sở hữu BLĐ 15-40%).</t>
        </is>
      </c>
      <c r="E39" s="965" t="n"/>
      <c r="F39" s="965" t="n"/>
      <c r="G39" s="965" t="n"/>
      <c r="H39" s="965" t="n"/>
      <c r="I39" s="965" t="n"/>
      <c r="J39" s="965" t="n"/>
      <c r="K39" s="965" t="n"/>
      <c r="L39" s="965" t="n"/>
      <c r="M39" s="966" t="n"/>
    </row>
    <row r="40" ht="14.25" customHeight="1" s="981">
      <c r="A40" s="1093" t="inlineStr">
        <is>
          <t>5. Net Debt/EBITDA ≤ 2</t>
        </is>
      </c>
      <c r="B40" s="965" t="n"/>
      <c r="C40" s="966" t="n"/>
      <c r="D40" s="964" t="inlineStr">
        <is>
          <t>Khả năng trả nợ trong cú sốc. &lt; 2 = an toàn. 2-3 = chấp nhận với ngành CapEx cao. &gt; 3 = nguy hiểm.</t>
        </is>
      </c>
      <c r="E40" s="965" t="n"/>
      <c r="F40" s="965" t="n"/>
      <c r="G40" s="965" t="n"/>
      <c r="H40" s="965" t="n"/>
      <c r="I40" s="965" t="n"/>
      <c r="J40" s="965" t="n"/>
      <c r="K40" s="965" t="n"/>
      <c r="L40" s="965" t="n"/>
      <c r="M40" s="966" t="n"/>
    </row>
    <row r="41" ht="14.25" customHeight="1" s="981">
      <c r="A41" s="1093" t="inlineStr">
        <is>
          <t>💎 Phân bổ vốn</t>
        </is>
      </c>
      <c r="B41" s="965" t="n"/>
      <c r="C41" s="966" t="n"/>
      <c r="D41" s="1095" t="inlineStr">
        <is>
          <t>Đạt 5/5 → 14,285,714 ₫/mã (1/7 vốn). Đạt 4/5 → 7,142,857 ₫ (giảm 50%). &lt; 4/5 → LOẠI.</t>
        </is>
      </c>
      <c r="E41" s="965" t="n"/>
      <c r="F41" s="965" t="n"/>
      <c r="G41" s="965" t="n"/>
      <c r="H41" s="965" t="n"/>
      <c r="I41" s="965" t="n"/>
      <c r="J41" s="965" t="n"/>
      <c r="K41" s="965" t="n"/>
      <c r="L41" s="965" t="n"/>
      <c r="M41" s="966" t="n"/>
    </row>
    <row r="42" ht="14.25" customHeight="1" s="981">
      <c r="A42" s="1093" t="inlineStr">
        <is>
          <t>🌪️ Stress Test</t>
        </is>
      </c>
      <c r="B42" s="965" t="n"/>
      <c r="C42" s="966" t="n"/>
      <c r="D42" s="964" t="inlineStr">
        <is>
          <t>Thử kéo % phân bổ → xem tác động qua 5 kịch bản. Tiêu chuẩn quỹ: cú sụt tối đa ≤ -25% mới sống sót dài hạn.</t>
        </is>
      </c>
      <c r="E42" s="965" t="n"/>
      <c r="F42" s="965" t="n"/>
      <c r="G42" s="965" t="n"/>
      <c r="H42" s="965" t="n"/>
      <c r="I42" s="965" t="n"/>
      <c r="J42" s="965" t="n"/>
      <c r="K42" s="965" t="n"/>
      <c r="L42" s="965" t="n"/>
      <c r="M42" s="966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</row>
    <row r="44" ht="13.5" customHeight="1" s="981">
      <c r="A44" s="1031" t="inlineStr">
        <is>
          <t>─ Built theo triết lý Cá Voi: Quỹ di sản 50 năm | Sói cô độc | 100 triệu chia đều 7 vị thế ─</t>
        </is>
      </c>
      <c r="B44" s="965" t="n"/>
      <c r="C44" s="965" t="n"/>
      <c r="D44" s="965" t="n"/>
      <c r="E44" s="965" t="n"/>
      <c r="F44" s="965" t="n"/>
      <c r="G44" s="965" t="n"/>
      <c r="H44" s="965" t="n"/>
      <c r="I44" s="965" t="n"/>
      <c r="J44" s="965" t="n"/>
      <c r="K44" s="965" t="n"/>
      <c r="L44" s="965" t="n"/>
      <c r="M44" s="966" t="n"/>
    </row>
  </sheetData>
  <mergeCells count="33">
    <mergeCell ref="D37:M37"/>
    <mergeCell ref="A41:C41"/>
    <mergeCell ref="K32:M32"/>
    <mergeCell ref="A37:C37"/>
    <mergeCell ref="A8:M8"/>
    <mergeCell ref="K31:M31"/>
    <mergeCell ref="A35:M35"/>
    <mergeCell ref="A4:M4"/>
    <mergeCell ref="A27:C27"/>
    <mergeCell ref="D39:M39"/>
    <mergeCell ref="D42:M42"/>
    <mergeCell ref="D38:M38"/>
    <mergeCell ref="A42:C42"/>
    <mergeCell ref="A44:M44"/>
    <mergeCell ref="K27:M27"/>
    <mergeCell ref="A32:C32"/>
    <mergeCell ref="A29:C29"/>
    <mergeCell ref="A38:C38"/>
    <mergeCell ref="A28:C28"/>
    <mergeCell ref="A1:M1"/>
    <mergeCell ref="K28:M28"/>
    <mergeCell ref="D40:M40"/>
    <mergeCell ref="D36:M36"/>
    <mergeCell ref="A31:C31"/>
    <mergeCell ref="A40:C40"/>
    <mergeCell ref="A30:C30"/>
    <mergeCell ref="A39:C39"/>
    <mergeCell ref="A25:M25"/>
    <mergeCell ref="K30:M30"/>
    <mergeCell ref="D41:M41"/>
    <mergeCell ref="A36:C36"/>
    <mergeCell ref="K29:M29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topLeftCell="A4" zoomScaleNormal="100" workbookViewId="0">
      <selection activeCell="H18" sqref="H18"/>
    </sheetView>
  </sheetViews>
  <sheetFormatPr baseColWidth="8" defaultColWidth="8.6640625" defaultRowHeight="14.4"/>
  <cols>
    <col width="4" customWidth="1" style="981" min="1" max="1"/>
    <col width="9" customWidth="1" style="981" min="2" max="2"/>
    <col width="18" customWidth="1" style="981" min="3" max="3"/>
    <col width="11" customWidth="1" style="981" min="4" max="4"/>
    <col width="12" customWidth="1" style="981" min="6" max="6"/>
    <col width="11" customWidth="1" style="981" min="8" max="8"/>
    <col width="12" customWidth="1" style="981" min="9" max="9"/>
    <col width="22.109375" customWidth="1" style="981" min="11" max="11"/>
    <col width="27.109375" customWidth="1" style="981" min="12" max="12"/>
    <col width="22" customWidth="1" style="981" min="13" max="13"/>
  </cols>
  <sheetData>
    <row r="1" ht="36" customHeight="1" s="981">
      <c r="A1" s="1097" t="inlineStr">
        <is>
          <t>🎯 ĐỊNH GIÁ • BÁN • TÁI CÂN BẰNG v14 — 3 bánh răng cuối của Cá Voi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6" t="n"/>
    </row>
    <row r="2" ht="13.5" customHeight="1" s="981">
      <c r="A2" s="973" t="inlineStr">
        <is>
          <t>💎 (1) DCF + Margin of Safety: chỉ mua khi giá thị trường ≤ 70% giá trị thực  |  (2) Exit Strategy: 5 cờ đỏ tự động  |  (3) Rebalance: gọt tỉa khi vị thế vượt 20%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  <c r="M3" s="1050" t="n"/>
    </row>
    <row r="4" ht="25.5" customHeight="1" s="981">
      <c r="A4" s="1099" t="inlineStr">
        <is>
          <t>⚙️  BÁNH RĂNG 1 — ĐỊNH GIÁ DCF + BIÊN AN TOÀN (Margin of Safety)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5" t="n"/>
      <c r="M4" s="966" t="n"/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  <c r="M5" s="1050" t="n"/>
    </row>
    <row r="6" ht="41.25" customHeight="1" s="981">
      <c r="A6" s="1079" t="inlineStr">
        <is>
          <t>THAM SỐ GLOBAL:</t>
        </is>
      </c>
      <c r="B6" s="966" t="n"/>
      <c r="C6" s="1093" t="inlineStr">
        <is>
          <t>WACC (chi phí vốn) %</t>
        </is>
      </c>
      <c r="D6" s="402" t="n">
        <v>0.12</v>
      </c>
      <c r="E6" s="1093" t="inlineStr">
        <is>
          <t>Tăng trưởng 5 năm đầu %</t>
        </is>
      </c>
      <c r="F6" s="402" t="n">
        <v>0.15</v>
      </c>
      <c r="G6" s="1093" t="inlineStr">
        <is>
          <t>Tăng trưởng vĩnh viễn %</t>
        </is>
      </c>
      <c r="H6" s="402" t="n">
        <v>0.03</v>
      </c>
      <c r="I6" s="1093" t="inlineStr">
        <is>
          <t>Margin of Safety yêu cầu %</t>
        </is>
      </c>
      <c r="J6" s="402" t="n">
        <v>0.3</v>
      </c>
      <c r="K6" s="1093" t="inlineStr">
        <is>
          <t>Số năm dự phóng</t>
        </is>
      </c>
      <c r="L6" s="402" t="n">
        <v>10</v>
      </c>
      <c r="M6" s="1050" t="n"/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  <c r="M7" s="1050" t="n"/>
    </row>
    <row r="8" ht="14.25" customHeight="1" s="981">
      <c r="A8" s="1093" t="inlineStr">
        <is>
          <t>📊 BẢNG DCF — Định giá nội tại + Quyết định MUA / KHÔNG MUA / BÁN</t>
        </is>
      </c>
      <c r="B8" s="965" t="n"/>
      <c r="C8" s="965" t="n"/>
      <c r="D8" s="965" t="n"/>
      <c r="E8" s="965" t="n"/>
      <c r="F8" s="965" t="n"/>
      <c r="G8" s="965" t="n"/>
      <c r="H8" s="965" t="n"/>
      <c r="I8" s="965" t="n"/>
      <c r="J8" s="965" t="n"/>
      <c r="K8" s="965" t="n"/>
      <c r="L8" s="965" t="n"/>
      <c r="M8" s="966" t="n"/>
    </row>
    <row r="9" ht="37.5" customHeight="1" s="981">
      <c r="A9" s="1036" t="inlineStr">
        <is>
          <t>STT</t>
        </is>
      </c>
      <c r="B9" s="1036" t="inlineStr">
        <is>
          <t>MÃ</t>
        </is>
      </c>
      <c r="C9" s="1036" t="inlineStr">
        <is>
          <t>TÊN</t>
        </is>
      </c>
      <c r="D9" s="1036" t="inlineStr">
        <is>
          <t>FCF/CP (₫)</t>
        </is>
      </c>
      <c r="E9" s="1036" t="inlineStr">
        <is>
          <t>Giá thị trường (₫)</t>
        </is>
      </c>
      <c r="F9" s="1036" t="inlineStr">
        <is>
          <t>Giá trị nội tại (DCF)</t>
        </is>
      </c>
      <c r="G9" s="1036" t="inlineStr">
        <is>
          <t>Chiết khấu %</t>
        </is>
      </c>
      <c r="H9" s="1036" t="inlineStr">
        <is>
          <t>MoS %</t>
        </is>
      </c>
      <c r="I9" s="1036" t="inlineStr">
        <is>
          <t>P/E hiện tại</t>
        </is>
      </c>
      <c r="J9" s="1036" t="inlineStr">
        <is>
          <t>P/E TB 5Y</t>
        </is>
      </c>
      <c r="K9" s="1036" t="inlineStr">
        <is>
          <t>P/B hiện tại</t>
        </is>
      </c>
      <c r="L9" s="1036" t="inlineStr">
        <is>
          <t>TÍN HIỆU</t>
        </is>
      </c>
      <c r="M9" s="1036" t="inlineStr">
        <is>
          <t>KHUYẾN NGHỊ</t>
        </is>
      </c>
    </row>
    <row r="10" ht="23.25" customHeight="1" s="981">
      <c r="A10" s="16" t="n">
        <v>1</v>
      </c>
      <c r="B10" s="235" t="inlineStr">
        <is>
          <t>MBB</t>
        </is>
      </c>
      <c r="C10" s="964" t="inlineStr">
        <is>
          <t>MB Bank</t>
        </is>
      </c>
      <c r="D10" s="16" t="n">
        <v>4200</v>
      </c>
      <c r="E10" s="16" t="n">
        <v>26150</v>
      </c>
      <c r="F10" s="4" t="n">
        <v>77607</v>
      </c>
      <c r="G10" s="403" t="n">
        <v>0.663</v>
      </c>
      <c r="H10" s="404" t="n">
        <v>54325</v>
      </c>
      <c r="I10" s="16" t="n">
        <v>6.4</v>
      </c>
      <c r="J10" s="16" t="n">
        <v>9.5</v>
      </c>
      <c r="K10" s="405" t="inlineStr">
        <is>
          <t>🟢 MUA NGAY</t>
        </is>
      </c>
      <c r="L10" s="406" t="inlineStr">
        <is>
          <t>Giá ≤ MoS 30% → Mua</t>
        </is>
      </c>
      <c r="M10" s="235" t="n"/>
    </row>
    <row r="11" ht="23.25" customHeight="1" s="981">
      <c r="A11" s="357" t="n">
        <v>2</v>
      </c>
      <c r="B11" s="1093" t="inlineStr">
        <is>
          <t>FPT</t>
        </is>
      </c>
      <c r="C11" s="1095" t="inlineStr">
        <is>
          <t>FPT Corp</t>
        </is>
      </c>
      <c r="D11" s="357" t="n">
        <v>5800</v>
      </c>
      <c r="E11" s="357" t="n">
        <v>71900</v>
      </c>
      <c r="F11" s="4" t="n">
        <v>107172</v>
      </c>
      <c r="G11" s="403" t="n">
        <v>0.329</v>
      </c>
      <c r="H11" s="404" t="n">
        <v>75020</v>
      </c>
      <c r="I11" s="357" t="n">
        <v>18.5</v>
      </c>
      <c r="J11" s="357" t="n">
        <v>16</v>
      </c>
      <c r="K11" s="405" t="inlineStr">
        <is>
          <t>🟢 MUA NGAY</t>
        </is>
      </c>
      <c r="L11" s="406" t="inlineStr">
        <is>
          <t>Giá ≤ MoS 30% → Mua</t>
        </is>
      </c>
      <c r="M11" s="235" t="n"/>
    </row>
    <row r="12" ht="23.25" customHeight="1" s="981">
      <c r="A12" s="16" t="n">
        <v>3</v>
      </c>
      <c r="B12" s="235" t="inlineStr">
        <is>
          <t>VCB</t>
        </is>
      </c>
      <c r="C12" s="964" t="inlineStr">
        <is>
          <t>Vietcombank</t>
        </is>
      </c>
      <c r="D12" s="16" t="n">
        <v>3500</v>
      </c>
      <c r="E12" s="16" t="n">
        <v>60700</v>
      </c>
      <c r="F12" s="4" t="n">
        <v>64673</v>
      </c>
      <c r="G12" s="403" t="n">
        <v>0.061</v>
      </c>
      <c r="H12" s="404" t="n">
        <v>45271</v>
      </c>
      <c r="I12" s="16" t="n">
        <v>14</v>
      </c>
      <c r="J12" s="16" t="n">
        <v>16.5</v>
      </c>
      <c r="K12" s="407" t="inlineStr">
        <is>
          <t>🟡 MUA NHẸ</t>
        </is>
      </c>
      <c r="L12" s="408" t="inlineStr">
        <is>
          <t>Dưới giá trị thực, trên MoS</t>
        </is>
      </c>
      <c r="M12" s="235" t="n"/>
    </row>
    <row r="13" ht="23.25" customHeight="1" s="981">
      <c r="A13" s="357" t="n">
        <v>4</v>
      </c>
      <c r="B13" s="1093" t="inlineStr">
        <is>
          <t>CTR</t>
        </is>
      </c>
      <c r="C13" s="1095" t="inlineStr">
        <is>
          <t>Viettel Const</t>
        </is>
      </c>
      <c r="D13" s="357" t="n">
        <v>4900</v>
      </c>
      <c r="E13" s="357" t="n">
        <v>83400</v>
      </c>
      <c r="F13" s="4" t="n">
        <v>90542</v>
      </c>
      <c r="G13" s="403" t="n">
        <v>0.079</v>
      </c>
      <c r="H13" s="404" t="n">
        <v>63379</v>
      </c>
      <c r="I13" s="357" t="n">
        <v>16.4</v>
      </c>
      <c r="J13" s="357" t="n">
        <v>18.2</v>
      </c>
      <c r="K13" s="407" t="inlineStr">
        <is>
          <t>🟡 MUA NHẸ</t>
        </is>
      </c>
      <c r="L13" s="408" t="inlineStr">
        <is>
          <t>Dưới giá trị thực, trên MoS</t>
        </is>
      </c>
      <c r="M13" s="235" t="n"/>
    </row>
    <row r="14" ht="14.25" customHeight="1" s="981">
      <c r="A14" s="16" t="n">
        <v>5</v>
      </c>
      <c r="B14" s="235" t="inlineStr">
        <is>
          <t>MWG</t>
        </is>
      </c>
      <c r="C14" s="964" t="inlineStr">
        <is>
          <t>Mobile World</t>
        </is>
      </c>
      <c r="D14" s="16" t="n">
        <v>4500</v>
      </c>
      <c r="E14" s="16" t="n">
        <v>84600</v>
      </c>
      <c r="F14" s="4" t="n">
        <v>83151</v>
      </c>
      <c r="G14" s="409" t="n">
        <v>-0.017</v>
      </c>
      <c r="H14" s="404" t="n">
        <v>58206</v>
      </c>
      <c r="I14" s="16" t="n">
        <v>17.5</v>
      </c>
      <c r="J14" s="16" t="n">
        <v>14.5</v>
      </c>
      <c r="K14" s="410" t="inlineStr">
        <is>
          <t>⚪ GIỮ</t>
        </is>
      </c>
      <c r="L14" s="411" t="inlineStr">
        <is>
          <t>Định giá hợp lý</t>
        </is>
      </c>
      <c r="M14" s="235" t="n"/>
    </row>
    <row r="15" ht="23.25" customHeight="1" s="981">
      <c r="A15" s="357" t="n">
        <v>6</v>
      </c>
      <c r="B15" s="1093" t="inlineStr">
        <is>
          <t>HPG</t>
        </is>
      </c>
      <c r="C15" s="1095" t="inlineStr">
        <is>
          <t>Hòa Phát</t>
        </is>
      </c>
      <c r="D15" s="357" t="n">
        <v>1800</v>
      </c>
      <c r="E15" s="357" t="n">
        <v>27850</v>
      </c>
      <c r="F15" s="4" t="n">
        <v>33260</v>
      </c>
      <c r="G15" s="403" t="n">
        <v>0.163</v>
      </c>
      <c r="H15" s="404" t="n">
        <v>23282</v>
      </c>
      <c r="I15" s="357" t="n">
        <v>9.199999999999999</v>
      </c>
      <c r="J15" s="357" t="n">
        <v>11.5</v>
      </c>
      <c r="K15" s="407" t="inlineStr">
        <is>
          <t>🟡 MUA NHẸ</t>
        </is>
      </c>
      <c r="L15" s="408" t="inlineStr">
        <is>
          <t>Dưới giá trị thực, trên MoS</t>
        </is>
      </c>
      <c r="M15" s="235" t="n"/>
    </row>
    <row r="16" ht="23.25" customHeight="1" s="981">
      <c r="A16" s="16" t="n">
        <v>7</v>
      </c>
      <c r="B16" s="235" t="inlineStr">
        <is>
          <t>VIX</t>
        </is>
      </c>
      <c r="C16" s="964" t="inlineStr">
        <is>
          <t>VIX Securities</t>
        </is>
      </c>
      <c r="D16" s="16" t="n">
        <v>3100</v>
      </c>
      <c r="E16" s="16" t="n">
        <v>18600</v>
      </c>
      <c r="F16" s="4" t="n">
        <v>57282</v>
      </c>
      <c r="G16" s="403" t="n">
        <v>0.675</v>
      </c>
      <c r="H16" s="404" t="n">
        <v>40097</v>
      </c>
      <c r="I16" s="16" t="n">
        <v>6</v>
      </c>
      <c r="J16" s="16" t="n">
        <v>10</v>
      </c>
      <c r="K16" s="405" t="inlineStr">
        <is>
          <t>🟢 MUA NGAY</t>
        </is>
      </c>
      <c r="L16" s="406" t="inlineStr">
        <is>
          <t>Giá ≤ MoS 30% → Mua</t>
        </is>
      </c>
      <c r="M16" s="235" t="n"/>
    </row>
    <row r="17" ht="23.25" customHeight="1" s="981">
      <c r="A17" s="357" t="n">
        <v>8</v>
      </c>
      <c r="B17" s="1093" t="inlineStr">
        <is>
          <t>VNM</t>
        </is>
      </c>
      <c r="C17" s="1095" t="inlineStr">
        <is>
          <t>Vinamilk</t>
        </is>
      </c>
      <c r="D17" s="357" t="n">
        <v>4200</v>
      </c>
      <c r="E17" s="357" t="n">
        <v>60900</v>
      </c>
      <c r="F17" s="4" t="n">
        <v>77607</v>
      </c>
      <c r="G17" s="403" t="n">
        <v>0.215</v>
      </c>
      <c r="H17" s="404" t="n">
        <v>54325</v>
      </c>
      <c r="I17" s="357" t="n">
        <v>15.2</v>
      </c>
      <c r="J17" s="357" t="n">
        <v>18</v>
      </c>
      <c r="K17" s="407" t="inlineStr">
        <is>
          <t>🟡 MUA NHẸ</t>
        </is>
      </c>
      <c r="L17" s="408" t="inlineStr">
        <is>
          <t>Dưới giá trị thực, trên MoS</t>
        </is>
      </c>
      <c r="M17" s="235" t="n"/>
    </row>
    <row r="18" ht="23.25" customHeight="1" s="981">
      <c r="A18" s="16" t="n">
        <v>9</v>
      </c>
      <c r="B18" s="235" t="inlineStr">
        <is>
          <t>ACB</t>
        </is>
      </c>
      <c r="C18" s="964" t="inlineStr">
        <is>
          <t>ACB Bank</t>
        </is>
      </c>
      <c r="D18" s="16" t="n">
        <v>3500</v>
      </c>
      <c r="E18" s="16" t="n">
        <v>22600</v>
      </c>
      <c r="F18" s="4" t="n">
        <v>64673</v>
      </c>
      <c r="G18" s="403" t="n">
        <v>0.651</v>
      </c>
      <c r="H18" s="404" t="n">
        <v>45271</v>
      </c>
      <c r="I18" s="16" t="n">
        <v>6.8</v>
      </c>
      <c r="J18" s="16" t="n">
        <v>8.5</v>
      </c>
      <c r="K18" s="405" t="inlineStr">
        <is>
          <t>🟢 MUA NGAY</t>
        </is>
      </c>
      <c r="L18" s="406" t="inlineStr">
        <is>
          <t>Giá ≤ MoS 30% → Mua</t>
        </is>
      </c>
      <c r="M18" s="235" t="n"/>
    </row>
    <row r="19" ht="23.25" customHeight="1" s="981">
      <c r="A19" s="357" t="n">
        <v>10</v>
      </c>
      <c r="B19" s="1093" t="inlineStr">
        <is>
          <t>TCB</t>
        </is>
      </c>
      <c r="C19" s="1095" t="inlineStr">
        <is>
          <t>Techcombank</t>
        </is>
      </c>
      <c r="D19" s="357" t="n">
        <v>3800</v>
      </c>
      <c r="E19" s="357" t="n">
        <v>24500</v>
      </c>
      <c r="F19" s="4" t="n">
        <v>70216</v>
      </c>
      <c r="G19" s="403" t="n">
        <v>0.651</v>
      </c>
      <c r="H19" s="404" t="n">
        <v>49151</v>
      </c>
      <c r="I19" s="357" t="n">
        <v>7.2</v>
      </c>
      <c r="J19" s="357" t="n">
        <v>10.5</v>
      </c>
      <c r="K19" s="405" t="inlineStr">
        <is>
          <t>🟢 MUA NGAY</t>
        </is>
      </c>
      <c r="L19" s="406" t="inlineStr">
        <is>
          <t>Giá ≤ MoS 30% → Mua</t>
        </is>
      </c>
      <c r="M19" s="235" t="n"/>
    </row>
    <row r="20" ht="23.25" customHeight="1" s="981">
      <c r="A20" s="16" t="n">
        <v>11</v>
      </c>
      <c r="B20" s="235" t="inlineStr">
        <is>
          <t>GAS</t>
        </is>
      </c>
      <c r="C20" s="964" t="inlineStr">
        <is>
          <t>PV Gas</t>
        </is>
      </c>
      <c r="D20" s="16" t="n">
        <v>7800</v>
      </c>
      <c r="E20" s="16" t="n">
        <v>78500</v>
      </c>
      <c r="F20" s="4" t="n">
        <v>144128</v>
      </c>
      <c r="G20" s="403" t="n">
        <v>0.455</v>
      </c>
      <c r="H20" s="404" t="n">
        <v>100890</v>
      </c>
      <c r="I20" s="16" t="n">
        <v>11.5</v>
      </c>
      <c r="J20" s="16" t="n">
        <v>14.5</v>
      </c>
      <c r="K20" s="405" t="inlineStr">
        <is>
          <t>🟢 MUA NGAY</t>
        </is>
      </c>
      <c r="L20" s="406" t="inlineStr">
        <is>
          <t>Giá ≤ MoS 30% → Mua</t>
        </is>
      </c>
      <c r="M20" s="235" t="n"/>
    </row>
    <row r="21" ht="23.25" customHeight="1" s="981">
      <c r="A21" s="357" t="n">
        <v>12</v>
      </c>
      <c r="B21" s="1093" t="inlineStr">
        <is>
          <t>SSI</t>
        </is>
      </c>
      <c r="C21" s="1095" t="inlineStr">
        <is>
          <t>SSI Securities</t>
        </is>
      </c>
      <c r="D21" s="357" t="n">
        <v>2700</v>
      </c>
      <c r="E21" s="357" t="n">
        <v>21800</v>
      </c>
      <c r="F21" s="4" t="n">
        <v>49890</v>
      </c>
      <c r="G21" s="403" t="n">
        <v>0.5629999999999999</v>
      </c>
      <c r="H21" s="404" t="n">
        <v>34923</v>
      </c>
      <c r="I21" s="357" t="n">
        <v>9.5</v>
      </c>
      <c r="J21" s="357" t="n">
        <v>13.5</v>
      </c>
      <c r="K21" s="405" t="inlineStr">
        <is>
          <t>🟢 MUA NGAY</t>
        </is>
      </c>
      <c r="L21" s="406" t="inlineStr">
        <is>
          <t>Giá ≤ MoS 30% → Mua</t>
        </is>
      </c>
      <c r="M21" s="235" t="n"/>
    </row>
    <row r="22" ht="15" customHeight="1" s="981">
      <c r="A22" s="1050" t="n"/>
      <c r="B22" s="1050" t="n"/>
      <c r="C22" s="1050" t="n"/>
      <c r="D22" s="1050" t="n"/>
      <c r="E22" s="1050" t="n"/>
      <c r="F22" s="1050" t="n"/>
      <c r="G22" s="1050" t="n"/>
      <c r="H22" s="1050" t="n"/>
      <c r="I22" s="1050" t="n"/>
      <c r="J22" s="1050" t="n"/>
      <c r="K22" s="1050" t="n"/>
      <c r="L22" s="1050" t="n"/>
      <c r="M22" s="1050" t="n"/>
    </row>
    <row r="23" ht="18" customHeight="1" s="981">
      <c r="A23" s="1079" t="inlineStr">
        <is>
          <t>🎯 Số mã ĐỦ Margin of Safety (≥ ngưỡng J6):</t>
        </is>
      </c>
      <c r="B23" s="965" t="n"/>
      <c r="C23" s="965" t="n"/>
      <c r="D23" s="965" t="n"/>
      <c r="E23" s="966" t="n"/>
      <c r="F23" s="412" t="n">
        <v>7</v>
      </c>
      <c r="G23" s="1050" t="n"/>
      <c r="H23" s="1050" t="n"/>
      <c r="I23" s="1050" t="n"/>
      <c r="J23" s="1050" t="n"/>
      <c r="K23" s="1050" t="n"/>
      <c r="L23" s="1050" t="n"/>
      <c r="M23" s="1050" t="n"/>
    </row>
    <row r="24" ht="15" customHeight="1" s="981">
      <c r="A24" s="1050" t="n"/>
      <c r="B24" s="1050" t="n"/>
      <c r="C24" s="1050" t="n"/>
      <c r="D24" s="1050" t="n"/>
      <c r="E24" s="1050" t="n"/>
      <c r="F24" s="1050" t="n"/>
      <c r="G24" s="1050" t="n"/>
      <c r="H24" s="1050" t="n"/>
      <c r="I24" s="1050" t="n"/>
      <c r="J24" s="1050" t="n"/>
      <c r="K24" s="1050" t="n"/>
      <c r="L24" s="1050" t="n"/>
      <c r="M24" s="1050" t="n"/>
    </row>
    <row r="25" ht="25.5" customHeight="1" s="981">
      <c r="A25" s="1100" t="inlineStr">
        <is>
          <t>🚨  BÁNH RĂNG 2 — BỘ TIÊU CHÍ BÁN (EXIT STRATEGY) — 5 cờ đỏ tự động</t>
        </is>
      </c>
      <c r="B25" s="965" t="n"/>
      <c r="C25" s="965" t="n"/>
      <c r="D25" s="965" t="n"/>
      <c r="E25" s="965" t="n"/>
      <c r="F25" s="965" t="n"/>
      <c r="G25" s="965" t="n"/>
      <c r="H25" s="965" t="n"/>
      <c r="I25" s="965" t="n"/>
      <c r="J25" s="965" t="n"/>
      <c r="K25" s="965" t="n"/>
      <c r="L25" s="965" t="n"/>
      <c r="M25" s="966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  <c r="I26" s="1050" t="n"/>
      <c r="J26" s="1050" t="n"/>
      <c r="K26" s="1050" t="n"/>
      <c r="L26" s="1050" t="n"/>
      <c r="M26" s="1050" t="n"/>
    </row>
    <row r="27" ht="41.25" customHeight="1" s="981">
      <c r="A27" s="1079" t="inlineStr">
        <is>
          <t>NGƯỠNG BÁN:</t>
        </is>
      </c>
      <c r="B27" s="966" t="n"/>
      <c r="C27" s="1093" t="inlineStr">
        <is>
          <t>Số quý GPM giảm liên tiếp</t>
        </is>
      </c>
      <c r="D27" s="402" t="n">
        <v>4</v>
      </c>
      <c r="E27" s="1093" t="inlineStr">
        <is>
          <t>% BLĐ bán tháo (tối đa)</t>
        </is>
      </c>
      <c r="F27" s="402" t="n">
        <v>0.05</v>
      </c>
      <c r="G27" s="1093" t="inlineStr">
        <is>
          <t>Số năm ROIC &lt; WACC</t>
        </is>
      </c>
      <c r="H27" s="402" t="n">
        <v>2</v>
      </c>
      <c r="I27" s="1093" t="inlineStr">
        <is>
          <t>Insider sell/buy ratio (max)</t>
        </is>
      </c>
      <c r="J27" s="402" t="n">
        <v>3</v>
      </c>
      <c r="K27" s="1093" t="inlineStr">
        <is>
          <t>Sụt giảm so với đỉnh (max)</t>
        </is>
      </c>
      <c r="L27" s="402" t="n">
        <v>0.4</v>
      </c>
      <c r="M27" s="1050" t="n"/>
    </row>
    <row r="28" ht="15" customHeight="1" s="981">
      <c r="A28" s="1050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  <c r="K28" s="1050" t="n"/>
      <c r="L28" s="1050" t="n"/>
      <c r="M28" s="1050" t="n"/>
    </row>
    <row r="29" ht="14.25" customHeight="1" s="981">
      <c r="A29" s="1093" t="inlineStr">
        <is>
          <t>🔍 ĐÁNH GIÁ TỪNG MÃ — 5 chỉ số nguy hiểm (đỏ = báo động bán)</t>
        </is>
      </c>
      <c r="B29" s="965" t="n"/>
      <c r="C29" s="965" t="n"/>
      <c r="D29" s="965" t="n"/>
      <c r="E29" s="965" t="n"/>
      <c r="F29" s="965" t="n"/>
      <c r="G29" s="965" t="n"/>
      <c r="H29" s="965" t="n"/>
      <c r="I29" s="965" t="n"/>
      <c r="J29" s="965" t="n"/>
      <c r="K29" s="965" t="n"/>
      <c r="L29" s="965" t="n"/>
      <c r="M29" s="966" t="n"/>
    </row>
    <row r="30" ht="37.5" customHeight="1" s="981">
      <c r="A30" s="242" t="inlineStr">
        <is>
          <t>STT</t>
        </is>
      </c>
      <c r="B30" s="242" t="inlineStr">
        <is>
          <t>MÃ</t>
        </is>
      </c>
      <c r="C30" s="242" t="inlineStr">
        <is>
          <t>TÊN</t>
        </is>
      </c>
      <c r="D30" s="242" t="inlineStr">
        <is>
          <t>Quý GPM↓</t>
        </is>
      </c>
      <c r="E30" s="242" t="inlineStr">
        <is>
          <t>Số % BLĐ bán</t>
        </is>
      </c>
      <c r="F30" s="242" t="inlineStr">
        <is>
          <t>ROIC%</t>
        </is>
      </c>
      <c r="G30" s="242" t="inlineStr">
        <is>
          <t>WACC%</t>
        </is>
      </c>
      <c r="H30" s="242" t="inlineStr">
        <is>
          <t>Năm ROIC&lt;WACC</t>
        </is>
      </c>
      <c r="I30" s="242" t="inlineStr">
        <is>
          <t>Insider S/B</t>
        </is>
      </c>
      <c r="J30" s="242" t="inlineStr">
        <is>
          <t>Sụt từ đỉnh</t>
        </is>
      </c>
      <c r="K30" s="242" t="inlineStr">
        <is>
          <t>SỐ CỜ ĐỎ</t>
        </is>
      </c>
      <c r="L30" s="242" t="inlineStr">
        <is>
          <t>TÍN HIỆU</t>
        </is>
      </c>
      <c r="M30" s="242" t="inlineStr">
        <is>
          <t>HÀNH ĐỘNG</t>
        </is>
      </c>
    </row>
    <row r="31" ht="14.25" customHeight="1" s="981">
      <c r="A31" s="16" t="n">
        <v>1</v>
      </c>
      <c r="B31" s="235" t="inlineStr">
        <is>
          <t>MBB</t>
        </is>
      </c>
      <c r="C31" s="964" t="inlineStr">
        <is>
          <t>MB Bank</t>
        </is>
      </c>
      <c r="D31" s="16" t="n">
        <v>0</v>
      </c>
      <c r="E31" s="16" t="n">
        <v>0.005</v>
      </c>
      <c r="F31" s="16" t="n">
        <v>22.1</v>
      </c>
      <c r="G31" s="16" t="n">
        <v>11</v>
      </c>
      <c r="H31" s="16" t="n">
        <v>0</v>
      </c>
      <c r="I31" s="16" t="n">
        <v>0.4</v>
      </c>
      <c r="J31" s="16" t="n">
        <v>0.05</v>
      </c>
      <c r="K31" s="312" t="n">
        <v>0</v>
      </c>
      <c r="L31" s="413" t="inlineStr">
        <is>
          <t>🟢 AN TOÀN</t>
        </is>
      </c>
      <c r="M31" s="964" t="inlineStr">
        <is>
          <t>Giữ / Tích lũy</t>
        </is>
      </c>
    </row>
    <row r="32" ht="14.25" customHeight="1" s="981">
      <c r="A32" s="357" t="n">
        <v>2</v>
      </c>
      <c r="B32" s="1093" t="inlineStr">
        <is>
          <t>FPT</t>
        </is>
      </c>
      <c r="C32" s="1095" t="inlineStr">
        <is>
          <t>FPT Corp</t>
        </is>
      </c>
      <c r="D32" s="357" t="n">
        <v>1</v>
      </c>
      <c r="E32" s="357" t="n">
        <v>0.012</v>
      </c>
      <c r="F32" s="357" t="n">
        <v>28.5</v>
      </c>
      <c r="G32" s="357" t="n">
        <v>10.5</v>
      </c>
      <c r="H32" s="357" t="n">
        <v>0</v>
      </c>
      <c r="I32" s="357" t="n">
        <v>0.6</v>
      </c>
      <c r="J32" s="357" t="n">
        <v>0.08</v>
      </c>
      <c r="K32" s="312" t="n">
        <v>0</v>
      </c>
      <c r="L32" s="413" t="inlineStr">
        <is>
          <t>🟢 AN TOÀN</t>
        </is>
      </c>
      <c r="M32" s="964" t="inlineStr">
        <is>
          <t>Giữ / Tích lũy</t>
        </is>
      </c>
    </row>
    <row r="33" ht="14.25" customHeight="1" s="981">
      <c r="A33" s="16" t="n">
        <v>3</v>
      </c>
      <c r="B33" s="235" t="inlineStr">
        <is>
          <t>VCB</t>
        </is>
      </c>
      <c r="C33" s="964" t="inlineStr">
        <is>
          <t>Vietcombank</t>
        </is>
      </c>
      <c r="D33" s="16" t="n">
        <v>0</v>
      </c>
      <c r="E33" s="16" t="n">
        <v>0.003</v>
      </c>
      <c r="F33" s="16" t="n">
        <v>18</v>
      </c>
      <c r="G33" s="16" t="n">
        <v>11.5</v>
      </c>
      <c r="H33" s="16" t="n">
        <v>0</v>
      </c>
      <c r="I33" s="16" t="n">
        <v>0.3</v>
      </c>
      <c r="J33" s="16" t="n">
        <v>0.04</v>
      </c>
      <c r="K33" s="312" t="n">
        <v>0</v>
      </c>
      <c r="L33" s="413" t="inlineStr">
        <is>
          <t>🟢 AN TOÀN</t>
        </is>
      </c>
      <c r="M33" s="964" t="inlineStr">
        <is>
          <t>Giữ / Tích lũy</t>
        </is>
      </c>
    </row>
    <row r="34" ht="14.25" customHeight="1" s="981">
      <c r="A34" s="357" t="n">
        <v>4</v>
      </c>
      <c r="B34" s="1093" t="inlineStr">
        <is>
          <t>CTR</t>
        </is>
      </c>
      <c r="C34" s="1095" t="inlineStr">
        <is>
          <t>Viettel Const</t>
        </is>
      </c>
      <c r="D34" s="414" t="n">
        <v>2</v>
      </c>
      <c r="E34" s="357" t="n">
        <v>0.015</v>
      </c>
      <c r="F34" s="357" t="n">
        <v>25.5</v>
      </c>
      <c r="G34" s="357" t="n">
        <v>12</v>
      </c>
      <c r="H34" s="357" t="n">
        <v>0</v>
      </c>
      <c r="I34" s="357" t="n">
        <v>0.8</v>
      </c>
      <c r="J34" s="357" t="n">
        <v>0.12</v>
      </c>
      <c r="K34" s="312" t="n">
        <v>0</v>
      </c>
      <c r="L34" s="413" t="inlineStr">
        <is>
          <t>🟢 AN TOÀN</t>
        </is>
      </c>
      <c r="M34" s="964" t="inlineStr">
        <is>
          <t>Giữ / Tích lũy</t>
        </is>
      </c>
    </row>
    <row r="35" ht="14.25" customHeight="1" s="981">
      <c r="A35" s="16" t="n">
        <v>5</v>
      </c>
      <c r="B35" s="235" t="inlineStr">
        <is>
          <t>MWG</t>
        </is>
      </c>
      <c r="C35" s="964" t="inlineStr">
        <is>
          <t>Mobile World</t>
        </is>
      </c>
      <c r="D35" s="414" t="n">
        <v>3</v>
      </c>
      <c r="E35" s="414" t="n">
        <v>0.025</v>
      </c>
      <c r="F35" s="16" t="n">
        <v>19.2</v>
      </c>
      <c r="G35" s="16" t="n">
        <v>11.5</v>
      </c>
      <c r="H35" s="16" t="n">
        <v>0</v>
      </c>
      <c r="I35" s="414" t="n">
        <v>1.5</v>
      </c>
      <c r="J35" s="16" t="n">
        <v>0.18</v>
      </c>
      <c r="K35" s="312" t="n">
        <v>0</v>
      </c>
      <c r="L35" s="413" t="inlineStr">
        <is>
          <t>🟢 AN TOÀN</t>
        </is>
      </c>
      <c r="M35" s="964" t="inlineStr">
        <is>
          <t>Giữ / Tích lũy</t>
        </is>
      </c>
    </row>
    <row r="36" ht="14.25" customHeight="1" s="981">
      <c r="A36" s="357" t="n">
        <v>6</v>
      </c>
      <c r="B36" s="1093" t="inlineStr">
        <is>
          <t>HPG</t>
        </is>
      </c>
      <c r="C36" s="1095" t="inlineStr">
        <is>
          <t>Hòa Phát</t>
        </is>
      </c>
      <c r="D36" s="391" t="n">
        <v>4</v>
      </c>
      <c r="E36" s="414" t="n">
        <v>0.045</v>
      </c>
      <c r="F36" s="357" t="n">
        <v>14.8</v>
      </c>
      <c r="G36" s="357" t="n">
        <v>11</v>
      </c>
      <c r="H36" s="414" t="n">
        <v>1</v>
      </c>
      <c r="I36" s="414" t="n">
        <v>2.8</v>
      </c>
      <c r="J36" s="414" t="n">
        <v>0.32</v>
      </c>
      <c r="K36" s="407" t="n">
        <v>1</v>
      </c>
      <c r="L36" s="415" t="inlineStr">
        <is>
          <t>🟡 CẢNH BÁO</t>
        </is>
      </c>
      <c r="M36" s="964" t="inlineStr">
        <is>
          <t>Không mua thêm</t>
        </is>
      </c>
    </row>
    <row r="37" ht="14.25" customHeight="1" s="981">
      <c r="A37" s="16" t="n">
        <v>7</v>
      </c>
      <c r="B37" s="235" t="inlineStr">
        <is>
          <t>VIX</t>
        </is>
      </c>
      <c r="C37" s="964" t="inlineStr">
        <is>
          <t>VIX Securities</t>
        </is>
      </c>
      <c r="D37" s="16" t="n">
        <v>1</v>
      </c>
      <c r="E37" s="414" t="n">
        <v>0.02</v>
      </c>
      <c r="F37" s="16" t="n">
        <v>30.2</v>
      </c>
      <c r="G37" s="16" t="n">
        <v>13</v>
      </c>
      <c r="H37" s="16" t="n">
        <v>0</v>
      </c>
      <c r="I37" s="16" t="n">
        <v>1.2</v>
      </c>
      <c r="J37" s="16" t="n">
        <v>0.15</v>
      </c>
      <c r="K37" s="312" t="n">
        <v>0</v>
      </c>
      <c r="L37" s="413" t="inlineStr">
        <is>
          <t>🟢 AN TOÀN</t>
        </is>
      </c>
      <c r="M37" s="964" t="inlineStr">
        <is>
          <t>Giữ / Tích lũy</t>
        </is>
      </c>
    </row>
    <row r="38" ht="14.25" customHeight="1" s="981">
      <c r="A38" s="357" t="n">
        <v>8</v>
      </c>
      <c r="B38" s="1093" t="inlineStr">
        <is>
          <t>VNM</t>
        </is>
      </c>
      <c r="C38" s="1095" t="inlineStr">
        <is>
          <t>Vinamilk</t>
        </is>
      </c>
      <c r="D38" s="414" t="n">
        <v>2</v>
      </c>
      <c r="E38" s="357" t="n">
        <v>0.008</v>
      </c>
      <c r="F38" s="357" t="n">
        <v>26</v>
      </c>
      <c r="G38" s="357" t="n">
        <v>10</v>
      </c>
      <c r="H38" s="357" t="n">
        <v>0</v>
      </c>
      <c r="I38" s="357" t="n">
        <v>0.5</v>
      </c>
      <c r="J38" s="357" t="n">
        <v>0.1</v>
      </c>
      <c r="K38" s="312" t="n">
        <v>0</v>
      </c>
      <c r="L38" s="413" t="inlineStr">
        <is>
          <t>🟢 AN TOÀN</t>
        </is>
      </c>
      <c r="M38" s="964" t="inlineStr">
        <is>
          <t>Giữ / Tích lũy</t>
        </is>
      </c>
    </row>
    <row r="39" ht="14.25" customHeight="1" s="981">
      <c r="A39" s="16" t="n">
        <v>9</v>
      </c>
      <c r="B39" s="235" t="inlineStr">
        <is>
          <t>ACB</t>
        </is>
      </c>
      <c r="C39" s="964" t="inlineStr">
        <is>
          <t>ACB Bank</t>
        </is>
      </c>
      <c r="D39" s="16" t="n">
        <v>0</v>
      </c>
      <c r="E39" s="16" t="n">
        <v>0.004</v>
      </c>
      <c r="F39" s="16" t="n">
        <v>24.5</v>
      </c>
      <c r="G39" s="16" t="n">
        <v>11</v>
      </c>
      <c r="H39" s="16" t="n">
        <v>0</v>
      </c>
      <c r="I39" s="16" t="n">
        <v>0.3</v>
      </c>
      <c r="J39" s="16" t="n">
        <v>0.06</v>
      </c>
      <c r="K39" s="312" t="n">
        <v>0</v>
      </c>
      <c r="L39" s="413" t="inlineStr">
        <is>
          <t>🟢 AN TOÀN</t>
        </is>
      </c>
      <c r="M39" s="964" t="inlineStr">
        <is>
          <t>Giữ / Tích lũy</t>
        </is>
      </c>
    </row>
    <row r="40" ht="14.25" customHeight="1" s="981">
      <c r="A40" s="357" t="n">
        <v>10</v>
      </c>
      <c r="B40" s="1093" t="inlineStr">
        <is>
          <t>TCB</t>
        </is>
      </c>
      <c r="C40" s="1095" t="inlineStr">
        <is>
          <t>Techcombank</t>
        </is>
      </c>
      <c r="D40" s="357" t="n">
        <v>1</v>
      </c>
      <c r="E40" s="357" t="n">
        <v>0.018</v>
      </c>
      <c r="F40" s="357" t="n">
        <v>21.8</v>
      </c>
      <c r="G40" s="357" t="n">
        <v>11.5</v>
      </c>
      <c r="H40" s="357" t="n">
        <v>0</v>
      </c>
      <c r="I40" s="357" t="n">
        <v>0.9</v>
      </c>
      <c r="J40" s="357" t="n">
        <v>0.09</v>
      </c>
      <c r="K40" s="312" t="n">
        <v>0</v>
      </c>
      <c r="L40" s="413" t="inlineStr">
        <is>
          <t>🟢 AN TOÀN</t>
        </is>
      </c>
      <c r="M40" s="964" t="inlineStr">
        <is>
          <t>Giữ / Tích lũy</t>
        </is>
      </c>
    </row>
    <row r="41" ht="14.25" customHeight="1" s="981">
      <c r="A41" s="16" t="n">
        <v>11</v>
      </c>
      <c r="B41" s="235" t="inlineStr">
        <is>
          <t>GAS</t>
        </is>
      </c>
      <c r="C41" s="964" t="inlineStr">
        <is>
          <t>PV Gas</t>
        </is>
      </c>
      <c r="D41" s="16" t="n">
        <v>1</v>
      </c>
      <c r="E41" s="16" t="n">
        <v>0.01</v>
      </c>
      <c r="F41" s="16" t="n">
        <v>24</v>
      </c>
      <c r="G41" s="16" t="n">
        <v>10.5</v>
      </c>
      <c r="H41" s="16" t="n">
        <v>0</v>
      </c>
      <c r="I41" s="16" t="n">
        <v>0.7</v>
      </c>
      <c r="J41" s="16" t="n">
        <v>0.11</v>
      </c>
      <c r="K41" s="312" t="n">
        <v>0</v>
      </c>
      <c r="L41" s="413" t="inlineStr">
        <is>
          <t>🟢 AN TOÀN</t>
        </is>
      </c>
      <c r="M41" s="964" t="inlineStr">
        <is>
          <t>Giữ / Tích lũy</t>
        </is>
      </c>
    </row>
    <row r="42" ht="14.25" customHeight="1" s="981">
      <c r="A42" s="357" t="n">
        <v>12</v>
      </c>
      <c r="B42" s="1093" t="inlineStr">
        <is>
          <t>SSI</t>
        </is>
      </c>
      <c r="C42" s="1095" t="inlineStr">
        <is>
          <t>SSI Securities</t>
        </is>
      </c>
      <c r="D42" s="414" t="n">
        <v>2</v>
      </c>
      <c r="E42" s="414" t="n">
        <v>0.03</v>
      </c>
      <c r="F42" s="357" t="n">
        <v>18</v>
      </c>
      <c r="G42" s="357" t="n">
        <v>12.5</v>
      </c>
      <c r="H42" s="357" t="n">
        <v>0</v>
      </c>
      <c r="I42" s="414" t="n">
        <v>1.8</v>
      </c>
      <c r="J42" s="357" t="n">
        <v>0.22</v>
      </c>
      <c r="K42" s="312" t="n">
        <v>0</v>
      </c>
      <c r="L42" s="413" t="inlineStr">
        <is>
          <t>🟢 AN TOÀN</t>
        </is>
      </c>
      <c r="M42" s="964" t="inlineStr">
        <is>
          <t>Giữ / Tích lũy</t>
        </is>
      </c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</row>
    <row r="44" ht="15" customHeight="1" s="981">
      <c r="A44" s="1050" t="n"/>
      <c r="B44" s="1050" t="n"/>
      <c r="C44" s="1050" t="n"/>
      <c r="D44" s="1050" t="n"/>
      <c r="E44" s="1050" t="n"/>
      <c r="F44" s="1050" t="n"/>
      <c r="G44" s="1050" t="n"/>
      <c r="H44" s="1050" t="n"/>
      <c r="I44" s="1050" t="n"/>
      <c r="J44" s="1050" t="n"/>
      <c r="K44" s="1050" t="n"/>
      <c r="L44" s="1050" t="n"/>
      <c r="M44" s="1050" t="n"/>
    </row>
    <row r="45" ht="25.5" customHeight="1" s="981">
      <c r="A45" s="1101" t="inlineStr">
        <is>
          <t>⚖️  BÁNH RĂNG 3 — TÁI CÂN BẰNG ĐỘNG (Dynamic Rebalance) — gọt tỉa vị thế phình to</t>
        </is>
      </c>
      <c r="B45" s="965" t="n"/>
      <c r="C45" s="965" t="n"/>
      <c r="D45" s="965" t="n"/>
      <c r="E45" s="965" t="n"/>
      <c r="F45" s="965" t="n"/>
      <c r="G45" s="965" t="n"/>
      <c r="H45" s="965" t="n"/>
      <c r="I45" s="965" t="n"/>
      <c r="J45" s="965" t="n"/>
      <c r="K45" s="965" t="n"/>
      <c r="L45" s="965" t="n"/>
      <c r="M45" s="966" t="n"/>
    </row>
    <row r="46" ht="15" customHeight="1" s="981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  <c r="M46" s="1050" t="n"/>
    </row>
    <row r="47" ht="41.25" customHeight="1" s="981">
      <c r="A47" s="1079" t="inlineStr">
        <is>
          <t>CẤU HÌNH REBALANCE:</t>
        </is>
      </c>
      <c r="B47" s="966" t="n"/>
      <c r="C47" s="1093" t="inlineStr">
        <is>
          <t>Tỷ trọng MỤC TIÊU mỗi mã %</t>
        </is>
      </c>
      <c r="D47" s="402" t="n">
        <v>0.1428</v>
      </c>
      <c r="E47" s="1093" t="inlineStr">
        <is>
          <t>Biên độ trên (gọt tỉa)</t>
        </is>
      </c>
      <c r="F47" s="402" t="n">
        <v>0.2</v>
      </c>
      <c r="G47" s="1093" t="inlineStr">
        <is>
          <t>Biên độ dưới (mua thêm)</t>
        </is>
      </c>
      <c r="H47" s="402" t="n">
        <v>0.08</v>
      </c>
      <c r="I47" s="1093" t="inlineStr">
        <is>
          <t>Chu kỳ rebalance (tháng)</t>
        </is>
      </c>
      <c r="J47" s="402" t="n">
        <v>6</v>
      </c>
      <c r="K47" s="1093" t="inlineStr">
        <is>
          <t>Tổng vốn hiện tại (₫)</t>
        </is>
      </c>
      <c r="L47" s="402" t="n">
        <v>100000000</v>
      </c>
      <c r="M47" s="1050" t="n"/>
    </row>
    <row r="48" ht="15" customHeight="1" s="981">
      <c r="A48" s="1050" t="n"/>
      <c r="B48" s="1050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</row>
    <row r="49" ht="14.25" customHeight="1" s="981">
      <c r="A49" s="1093" t="inlineStr">
        <is>
          <t>📊 KIỂM TRA VỊ THẾ — Tự động phát hiện vị thế lệch &amp; đề xuất gọt tỉa</t>
        </is>
      </c>
      <c r="B49" s="965" t="n"/>
      <c r="C49" s="965" t="n"/>
      <c r="D49" s="965" t="n"/>
      <c r="E49" s="965" t="n"/>
      <c r="F49" s="965" t="n"/>
      <c r="G49" s="965" t="n"/>
      <c r="H49" s="965" t="n"/>
      <c r="I49" s="965" t="n"/>
      <c r="J49" s="965" t="n"/>
      <c r="K49" s="965" t="n"/>
      <c r="L49" s="965" t="n"/>
      <c r="M49" s="966" t="n"/>
    </row>
    <row r="50" ht="37.5" customHeight="1" s="981">
      <c r="A50" s="240" t="inlineStr">
        <is>
          <t>STT</t>
        </is>
      </c>
      <c r="B50" s="240" t="inlineStr">
        <is>
          <t>MÃ</t>
        </is>
      </c>
      <c r="C50" s="240" t="inlineStr">
        <is>
          <t>Vốn ban đầu</t>
        </is>
      </c>
      <c r="D50" s="240" t="inlineStr">
        <is>
          <t>Giá vốn TB</t>
        </is>
      </c>
      <c r="E50" s="240" t="inlineStr">
        <is>
          <t>Giá hiện tại</t>
        </is>
      </c>
      <c r="F50" s="240" t="inlineStr">
        <is>
          <t>SL CP</t>
        </is>
      </c>
      <c r="G50" s="240" t="inlineStr">
        <is>
          <t>Giá trị hiện tại</t>
        </is>
      </c>
      <c r="H50" s="240" t="inlineStr">
        <is>
          <t>% Vị thế</t>
        </is>
      </c>
      <c r="I50" s="240" t="inlineStr">
        <is>
          <t>% Mục tiêu</t>
        </is>
      </c>
      <c r="J50" s="240" t="inlineStr">
        <is>
          <t>Lệch %</t>
        </is>
      </c>
      <c r="K50" s="240" t="inlineStr">
        <is>
          <t>Cần thiết</t>
        </is>
      </c>
      <c r="L50" s="240" t="inlineStr">
        <is>
          <t>Hành động</t>
        </is>
      </c>
      <c r="M50" s="240" t="inlineStr">
        <is>
          <t>Số tiền (₫)</t>
        </is>
      </c>
    </row>
    <row r="51" ht="14.25" customHeight="1" s="981">
      <c r="A51" s="16" t="n">
        <v>1</v>
      </c>
      <c r="B51" s="235" t="inlineStr">
        <is>
          <t>MBB</t>
        </is>
      </c>
      <c r="C51" s="16" t="n">
        <v>14285714</v>
      </c>
      <c r="D51" s="16" t="n">
        <v>24500</v>
      </c>
      <c r="E51" s="16" t="n">
        <v>26150</v>
      </c>
      <c r="F51" s="16" t="n"/>
      <c r="G51" s="235" t="n"/>
      <c r="H51" s="16" t="n"/>
      <c r="I51" s="16" t="n"/>
      <c r="J51" s="235" t="n"/>
      <c r="K51" s="235" t="n"/>
      <c r="L51" s="16" t="n"/>
      <c r="M51" s="235" t="n"/>
    </row>
    <row r="52" ht="14.25" customHeight="1" s="981">
      <c r="A52" s="357" t="n">
        <v>2</v>
      </c>
      <c r="B52" s="1093" t="inlineStr">
        <is>
          <t>FPT</t>
        </is>
      </c>
      <c r="C52" s="357" t="n">
        <v>14285714</v>
      </c>
      <c r="D52" s="357" t="n">
        <v>65000</v>
      </c>
      <c r="E52" s="357" t="n">
        <v>71900</v>
      </c>
      <c r="F52" s="357" t="n"/>
      <c r="G52" s="235" t="n"/>
      <c r="H52" s="16" t="n"/>
      <c r="I52" s="357" t="n"/>
      <c r="J52" s="235" t="n"/>
      <c r="K52" s="235" t="n"/>
      <c r="L52" s="357" t="n"/>
      <c r="M52" s="235" t="n"/>
    </row>
    <row r="53" ht="14.25" customHeight="1" s="981">
      <c r="A53" s="16" t="n">
        <v>3</v>
      </c>
      <c r="B53" s="235" t="inlineStr">
        <is>
          <t>VCB</t>
        </is>
      </c>
      <c r="C53" s="16" t="n">
        <v>14285714</v>
      </c>
      <c r="D53" s="16" t="n">
        <v>58000</v>
      </c>
      <c r="E53" s="16" t="n">
        <v>60700</v>
      </c>
      <c r="F53" s="16" t="n"/>
      <c r="G53" s="235" t="n"/>
      <c r="H53" s="16" t="n"/>
      <c r="I53" s="16" t="n"/>
      <c r="J53" s="235" t="n"/>
      <c r="K53" s="235" t="n"/>
      <c r="L53" s="16" t="n"/>
      <c r="M53" s="235" t="n"/>
    </row>
    <row r="54" ht="14.25" customHeight="1" s="981">
      <c r="A54" s="357" t="n">
        <v>4</v>
      </c>
      <c r="B54" s="1093" t="inlineStr">
        <is>
          <t>CTR</t>
        </is>
      </c>
      <c r="C54" s="357" t="n">
        <v>14285714</v>
      </c>
      <c r="D54" s="357" t="n">
        <v>60000</v>
      </c>
      <c r="E54" s="357" t="n">
        <v>83400</v>
      </c>
      <c r="F54" s="357" t="n"/>
      <c r="G54" s="235" t="n"/>
      <c r="H54" s="16" t="n"/>
      <c r="I54" s="357" t="n"/>
      <c r="J54" s="235" t="n"/>
      <c r="K54" s="235" t="n"/>
      <c r="L54" s="357" t="n"/>
      <c r="M54" s="235" t="n"/>
    </row>
    <row r="55" ht="14.25" customHeight="1" s="981">
      <c r="A55" s="16" t="n">
        <v>5</v>
      </c>
      <c r="B55" s="235" t="inlineStr">
        <is>
          <t>MWG</t>
        </is>
      </c>
      <c r="C55" s="16" t="n">
        <v>14285714</v>
      </c>
      <c r="D55" s="16" t="n">
        <v>70000</v>
      </c>
      <c r="E55" s="16" t="n">
        <v>84600</v>
      </c>
      <c r="F55" s="16" t="n"/>
      <c r="G55" s="235" t="n"/>
      <c r="H55" s="16" t="n"/>
      <c r="I55" s="16" t="n"/>
      <c r="J55" s="235" t="n"/>
      <c r="K55" s="235" t="n"/>
      <c r="L55" s="16" t="n"/>
      <c r="M55" s="235" t="n"/>
    </row>
    <row r="56" ht="14.25" customHeight="1" s="981">
      <c r="A56" s="357" t="n">
        <v>6</v>
      </c>
      <c r="B56" s="1093" t="inlineStr">
        <is>
          <t>HPG</t>
        </is>
      </c>
      <c r="C56" s="357" t="n">
        <v>14285714</v>
      </c>
      <c r="D56" s="357" t="n">
        <v>28000</v>
      </c>
      <c r="E56" s="357" t="n">
        <v>27850</v>
      </c>
      <c r="F56" s="357" t="n"/>
      <c r="G56" s="235" t="n"/>
      <c r="H56" s="16" t="n"/>
      <c r="I56" s="357" t="n"/>
      <c r="J56" s="235" t="n"/>
      <c r="K56" s="235" t="n"/>
      <c r="L56" s="357" t="n"/>
      <c r="M56" s="235" t="n"/>
    </row>
    <row r="57" ht="14.25" customHeight="1" s="981">
      <c r="A57" s="16" t="n">
        <v>7</v>
      </c>
      <c r="B57" s="235" t="inlineStr">
        <is>
          <t>VIX</t>
        </is>
      </c>
      <c r="C57" s="16" t="n">
        <v>14285714</v>
      </c>
      <c r="D57" s="16" t="n">
        <v>24000</v>
      </c>
      <c r="E57" s="16" t="n">
        <v>18600</v>
      </c>
      <c r="F57" s="16" t="n"/>
      <c r="G57" s="235" t="n"/>
      <c r="H57" s="16" t="n"/>
      <c r="I57" s="16" t="n"/>
      <c r="J57" s="235" t="n"/>
      <c r="K57" s="235" t="n"/>
      <c r="L57" s="16" t="n"/>
      <c r="M57" s="235" t="n"/>
    </row>
    <row r="58" ht="15" customHeight="1" s="981">
      <c r="A58" s="1050" t="n"/>
      <c r="B58" s="1050" t="n"/>
      <c r="C58" s="1050" t="n"/>
      <c r="D58" s="1050" t="n"/>
      <c r="E58" s="1050" t="n"/>
      <c r="F58" s="398" t="inlineStr">
        <is>
          <t>TỔNG:</t>
        </is>
      </c>
      <c r="G58" s="416" t="n"/>
      <c r="H58" s="235" t="n"/>
      <c r="I58" s="1050" t="n"/>
      <c r="J58" s="1050" t="n"/>
      <c r="K58" s="1050" t="n"/>
      <c r="L58" s="1050" t="n"/>
      <c r="M58" s="1050" t="n"/>
    </row>
    <row r="59" ht="15" customHeight="1" s="981">
      <c r="A59" s="1050" t="n"/>
      <c r="B59" s="1050" t="n"/>
      <c r="C59" s="1050" t="n"/>
      <c r="D59" s="1050" t="n"/>
      <c r="E59" s="1050" t="n"/>
      <c r="F59" s="1050" t="n"/>
      <c r="G59" s="1050" t="n"/>
      <c r="H59" s="1050" t="n"/>
      <c r="I59" s="1050" t="n"/>
      <c r="J59" s="1050" t="n"/>
      <c r="K59" s="1050" t="n"/>
      <c r="L59" s="1050" t="n"/>
      <c r="M59" s="1050" t="n"/>
    </row>
    <row r="60" ht="15" customHeight="1" s="981">
      <c r="A60" s="1050" t="n"/>
      <c r="B60" s="1050" t="n"/>
      <c r="C60" s="1050" t="n"/>
      <c r="D60" s="1050" t="n"/>
      <c r="E60" s="1050" t="n"/>
      <c r="F60" s="1050" t="n"/>
      <c r="G60" s="1050" t="n"/>
      <c r="H60" s="1050" t="n"/>
      <c r="I60" s="1050" t="n"/>
      <c r="J60" s="1050" t="n"/>
      <c r="K60" s="1050" t="n"/>
      <c r="L60" s="1050" t="n"/>
      <c r="M60" s="1050" t="n"/>
    </row>
    <row r="61" ht="25.5" customHeight="1" s="981">
      <c r="A61" s="1097" t="inlineStr">
        <is>
          <t>📚 GIẢI THÍCH 3 BÁNH RĂNG — Triết lý vận hành quỹ Cá Voi</t>
        </is>
      </c>
      <c r="B61" s="965" t="n"/>
      <c r="C61" s="965" t="n"/>
      <c r="D61" s="965" t="n"/>
      <c r="E61" s="965" t="n"/>
      <c r="F61" s="965" t="n"/>
      <c r="G61" s="965" t="n"/>
      <c r="H61" s="965" t="n"/>
      <c r="I61" s="965" t="n"/>
      <c r="J61" s="965" t="n"/>
      <c r="K61" s="965" t="n"/>
      <c r="L61" s="965" t="n"/>
      <c r="M61" s="966" t="n"/>
    </row>
    <row r="62" ht="14.25" customHeight="1" s="981">
      <c r="A62" s="1093" t="inlineStr">
        <is>
          <t>1️⃣ DCF + MoS</t>
        </is>
      </c>
      <c r="B62" s="965" t="n"/>
      <c r="C62" s="966" t="n"/>
      <c r="D62" s="964" t="inlineStr">
        <is>
          <t>Công thức Gordon Growth đơn giản: IV = FCF × (1+g₁) / (WACC - g_term). Lệnh MUA chỉ kích hoạt khi giá thị trường ≤ IV × (1 - MoS%). Mặc định MoS=30% — bám sát Benjamin Graham.</t>
        </is>
      </c>
      <c r="E62" s="965" t="n"/>
      <c r="F62" s="965" t="n"/>
      <c r="G62" s="965" t="n"/>
      <c r="H62" s="965" t="n"/>
      <c r="I62" s="965" t="n"/>
      <c r="J62" s="965" t="n"/>
      <c r="K62" s="965" t="n"/>
      <c r="L62" s="965" t="n"/>
      <c r="M62" s="966" t="n"/>
    </row>
    <row r="63" ht="14.25" customHeight="1" s="981">
      <c r="A63" s="1093" t="inlineStr">
        <is>
          <t>🔍 Tại sao MoS?</t>
        </is>
      </c>
      <c r="B63" s="965" t="n"/>
      <c r="C63" s="966" t="n"/>
      <c r="D63" s="1095" t="inlineStr">
        <is>
          <t>DCF dựa trên dự phóng tương lai — sai số là chắc chắn. MoS 30% là "đệm an toàn" cho sai số. Buffett gọi đây là "bí mật của đầu tư thành công".</t>
        </is>
      </c>
      <c r="E63" s="965" t="n"/>
      <c r="F63" s="965" t="n"/>
      <c r="G63" s="965" t="n"/>
      <c r="H63" s="965" t="n"/>
      <c r="I63" s="965" t="n"/>
      <c r="J63" s="965" t="n"/>
      <c r="K63" s="965" t="n"/>
      <c r="L63" s="965" t="n"/>
      <c r="M63" s="966" t="n"/>
    </row>
    <row r="64" ht="14.25" customHeight="1" s="981">
      <c r="A64" s="1093" t="inlineStr">
        <is>
          <t>2️⃣ Exit Strategy</t>
        </is>
      </c>
      <c r="B64" s="965" t="n"/>
      <c r="C64" s="966" t="n"/>
      <c r="D64" s="964" t="inlineStr">
        <is>
          <t>5 cờ đỏ: (a) Biên LN gộp giảm 4 quý liên tiếp, (b) BLĐ bán &gt; 5% cổ phần, (c) ROIC&lt;WACC 2 năm, (d) Insider sell/buy &gt; 3, (e) Sụt từ đỉnh &gt; 40%. ≥3 cờ = BÁN GẤP.</t>
        </is>
      </c>
      <c r="E64" s="965" t="n"/>
      <c r="F64" s="965" t="n"/>
      <c r="G64" s="965" t="n"/>
      <c r="H64" s="965" t="n"/>
      <c r="I64" s="965" t="n"/>
      <c r="J64" s="965" t="n"/>
      <c r="K64" s="965" t="n"/>
      <c r="L64" s="965" t="n"/>
      <c r="M64" s="966" t="n"/>
    </row>
    <row r="65" ht="14.25" customHeight="1" s="981">
      <c r="A65" s="1093" t="inlineStr">
        <is>
          <t>🚨 Khi nào bán?</t>
        </is>
      </c>
      <c r="B65" s="965" t="n"/>
      <c r="C65" s="966" t="n"/>
      <c r="D65" s="1095" t="inlineStr">
        <is>
          <t>Quỹ lớn dành 50% thời gian quyết định khi nào bán. KHÔNG có cổ phiếu nào "giữ vĩnh viễn" — chỉ giữ khi bản chất DN vẫn xuất sắc.</t>
        </is>
      </c>
      <c r="E65" s="965" t="n"/>
      <c r="F65" s="965" t="n"/>
      <c r="G65" s="965" t="n"/>
      <c r="H65" s="965" t="n"/>
      <c r="I65" s="965" t="n"/>
      <c r="J65" s="965" t="n"/>
      <c r="K65" s="965" t="n"/>
      <c r="L65" s="965" t="n"/>
      <c r="M65" s="966" t="n"/>
    </row>
    <row r="66" ht="14.25" customHeight="1" s="981">
      <c r="A66" s="1093" t="inlineStr">
        <is>
          <t>3️⃣ Rebalance</t>
        </is>
      </c>
      <c r="B66" s="965" t="n"/>
      <c r="C66" s="966" t="n"/>
      <c r="D66" s="964" t="inlineStr">
        <is>
          <t>Mục tiêu 14.28%/mã (1/7). Vượt 20% → gọt tỉa. Dưới 8% → mua bù. Chu kỳ mặc định: 6 tháng/lần. Bán mã tăng nóng → mua mã đang rẻ = LOW SELL HIGH ngược dòng.</t>
        </is>
      </c>
      <c r="E66" s="965" t="n"/>
      <c r="F66" s="965" t="n"/>
      <c r="G66" s="965" t="n"/>
      <c r="H66" s="965" t="n"/>
      <c r="I66" s="965" t="n"/>
      <c r="J66" s="965" t="n"/>
      <c r="K66" s="965" t="n"/>
      <c r="L66" s="965" t="n"/>
      <c r="M66" s="966" t="n"/>
    </row>
    <row r="67" ht="14.25" customHeight="1" s="981">
      <c r="A67" s="1093" t="inlineStr">
        <is>
          <t>⚖️ Tại sao Rebalance?</t>
        </is>
      </c>
      <c r="B67" s="965" t="n"/>
      <c r="C67" s="966" t="n"/>
      <c r="D67" s="1095" t="inlineStr">
        <is>
          <t>BTC tăng x10 = vị thế phình 40% tổng quỹ. BTC sập = quỹ tan nát. Rebalance giữ cấu trúc rủi ro ổn định 50 năm.</t>
        </is>
      </c>
      <c r="E67" s="965" t="n"/>
      <c r="F67" s="965" t="n"/>
      <c r="G67" s="965" t="n"/>
      <c r="H67" s="965" t="n"/>
      <c r="I67" s="965" t="n"/>
      <c r="J67" s="965" t="n"/>
      <c r="K67" s="965" t="n"/>
      <c r="L67" s="965" t="n"/>
      <c r="M67" s="966" t="n"/>
    </row>
    <row r="68" ht="14.25" customHeight="1" s="981">
      <c r="A68" s="1093" t="inlineStr">
        <is>
          <t>🐋 Triết lý chung</t>
        </is>
      </c>
      <c r="B68" s="965" t="n"/>
      <c r="C68" s="966" t="n"/>
      <c r="D68" s="964" t="inlineStr">
        <is>
          <t>Mua tốt (CFO/ROIC/ESG) + Mua RẺ (MoS) + Bán đúng (5 cờ) + Cân bằng (Rebalance) = 4 trụ cột Quỹ Di Sản.</t>
        </is>
      </c>
      <c r="E68" s="965" t="n"/>
      <c r="F68" s="965" t="n"/>
      <c r="G68" s="965" t="n"/>
      <c r="H68" s="965" t="n"/>
      <c r="I68" s="965" t="n"/>
      <c r="J68" s="965" t="n"/>
      <c r="K68" s="965" t="n"/>
      <c r="L68" s="965" t="n"/>
      <c r="M68" s="966" t="n"/>
    </row>
    <row r="69" ht="15" customHeight="1" s="981">
      <c r="A69" s="1050" t="n"/>
      <c r="B69" s="1050" t="n"/>
      <c r="C69" s="1050" t="n"/>
      <c r="D69" s="1050" t="n"/>
      <c r="E69" s="1050" t="n"/>
      <c r="F69" s="1050" t="n"/>
      <c r="G69" s="1050" t="n"/>
      <c r="H69" s="1050" t="n"/>
      <c r="I69" s="1050" t="n"/>
      <c r="J69" s="1050" t="n"/>
      <c r="K69" s="1050" t="n"/>
      <c r="L69" s="1050" t="n"/>
      <c r="M69" s="1050" t="n"/>
    </row>
    <row r="70" ht="13.5" customHeight="1" s="981">
      <c r="A70" s="1031" t="inlineStr">
        <is>
          <t>─ v14 — 3 bánh răng cuối: DCF • EXIT • REBALANCE | Sói cô độc 2026 ─</t>
        </is>
      </c>
      <c r="B70" s="965" t="n"/>
      <c r="C70" s="965" t="n"/>
      <c r="D70" s="965" t="n"/>
      <c r="E70" s="965" t="n"/>
      <c r="F70" s="965" t="n"/>
      <c r="G70" s="965" t="n"/>
      <c r="H70" s="965" t="n"/>
      <c r="I70" s="965" t="n"/>
      <c r="J70" s="965" t="n"/>
      <c r="K70" s="965" t="n"/>
      <c r="L70" s="965" t="n"/>
      <c r="M70" s="966" t="n"/>
    </row>
  </sheetData>
  <mergeCells count="28">
    <mergeCell ref="A66:C66"/>
    <mergeCell ref="D62:M62"/>
    <mergeCell ref="A8:M8"/>
    <mergeCell ref="A4:M4"/>
    <mergeCell ref="D68:M68"/>
    <mergeCell ref="A29:M29"/>
    <mergeCell ref="D64:M64"/>
    <mergeCell ref="A6:B6"/>
    <mergeCell ref="D67:M67"/>
    <mergeCell ref="A62:C62"/>
    <mergeCell ref="D63:M63"/>
    <mergeCell ref="A27:B27"/>
    <mergeCell ref="A49:M49"/>
    <mergeCell ref="A68:C68"/>
    <mergeCell ref="A63:C63"/>
    <mergeCell ref="A45:M45"/>
    <mergeCell ref="A1:M1"/>
    <mergeCell ref="D65:M65"/>
    <mergeCell ref="A61:M61"/>
    <mergeCell ref="A47:B47"/>
    <mergeCell ref="A70:M70"/>
    <mergeCell ref="A67:C67"/>
    <mergeCell ref="A23:E23"/>
    <mergeCell ref="A25:M25"/>
    <mergeCell ref="A64:C64"/>
    <mergeCell ref="D66:M66"/>
    <mergeCell ref="A65:C65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style="981" min="1" max="1"/>
    <col width="22.109375" customWidth="1" style="981" min="2" max="2"/>
    <col width="12.33203125" customWidth="1" style="981" min="10" max="10"/>
    <col width="21.6640625" customWidth="1" style="981" min="11" max="11"/>
    <col width="27.77734375" customWidth="1" style="981" min="12" max="12"/>
  </cols>
  <sheetData>
    <row r="1" ht="36" customHeight="1" s="981">
      <c r="A1" s="1032" t="inlineStr">
        <is>
          <t>🏛 INSTITUTIONAL DASHBOARD v16 — 4 phân tích chuẩn quỹ Bridgewater / Renaissance / Berkshire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3.5" customHeight="1" s="981">
      <c r="A2" s="973" t="inlineStr">
        <is>
          <t>A. Risk-Adjusted Returns (Sharpe/Sortino/Calmar)  |  B. Correlation Matrix 8 tài sản  |  C. Kelly Criterion Position Sizing  |  D. Backtest 10 năm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</row>
    <row r="4" ht="25.5" customHeight="1" s="981">
      <c r="A4" s="1034" t="inlineStr">
        <is>
          <t>A. RISK-ADJUSTED RETURNS — Lợi nhuận điều chỉnh theo rủi ro (chuẩn CFA)</t>
        </is>
      </c>
      <c r="B4" s="965" t="n"/>
      <c r="C4" s="965" t="n"/>
      <c r="D4" s="965" t="n"/>
      <c r="E4" s="965" t="n"/>
      <c r="F4" s="965" t="n"/>
      <c r="G4" s="965" t="n"/>
      <c r="H4" s="965" t="n"/>
      <c r="I4" s="965" t="n"/>
      <c r="J4" s="965" t="n"/>
      <c r="K4" s="965" t="n"/>
      <c r="L4" s="966" t="n"/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</row>
    <row r="6" ht="15" customHeight="1" s="981">
      <c r="A6" s="1102" t="inlineStr">
        <is>
          <t>Lãi suất phi rủi ro (Rf — TPCP 10Y VN):</t>
        </is>
      </c>
      <c r="B6" s="965" t="n"/>
      <c r="C6" s="965" t="n"/>
      <c r="D6" s="966" t="n"/>
      <c r="E6" s="402" t="n">
        <v>0.03</v>
      </c>
      <c r="F6" s="1102" t="inlineStr">
        <is>
          <t>Period (số năm dữ liệu):</t>
        </is>
      </c>
      <c r="G6" s="965" t="n"/>
      <c r="H6" s="965" t="n"/>
      <c r="I6" s="966" t="n"/>
      <c r="J6" s="402" t="n">
        <v>10</v>
      </c>
      <c r="K6" s="1050" t="n"/>
      <c r="L6" s="1050" t="n"/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</row>
    <row r="8" ht="14.25" customHeight="1" s="981">
      <c r="A8" s="1093" t="inlineStr">
        <is>
          <t>Bảng tính 8 tài sản — Lợi nhuận / Rủi ro / Sharpe / Sortino / Calmar / Max Drawdown</t>
        </is>
      </c>
      <c r="B8" s="965" t="n"/>
      <c r="C8" s="965" t="n"/>
      <c r="D8" s="965" t="n"/>
      <c r="E8" s="965" t="n"/>
      <c r="F8" s="965" t="n"/>
      <c r="G8" s="965" t="n"/>
      <c r="H8" s="965" t="n"/>
      <c r="I8" s="965" t="n"/>
      <c r="J8" s="965" t="n"/>
      <c r="K8" s="965" t="n"/>
      <c r="L8" s="966" t="n"/>
    </row>
    <row r="9" ht="37.5" customHeight="1" s="981">
      <c r="A9" s="1036" t="inlineStr">
        <is>
          <t>STT</t>
        </is>
      </c>
      <c r="B9" s="1036" t="inlineStr">
        <is>
          <t>Tài sản</t>
        </is>
      </c>
      <c r="C9" s="1036" t="inlineStr">
        <is>
          <t>CAGR (Return)</t>
        </is>
      </c>
      <c r="D9" s="1036" t="inlineStr">
        <is>
          <t>Volatility (σ)</t>
        </is>
      </c>
      <c r="E9" s="1036" t="inlineStr">
        <is>
          <t>Downside σ</t>
        </is>
      </c>
      <c r="F9" s="1036" t="inlineStr">
        <is>
          <t>Max Drawdown</t>
        </is>
      </c>
      <c r="G9" s="1036" t="inlineStr">
        <is>
          <t>Sharpe Ratio</t>
        </is>
      </c>
      <c r="H9" s="1036" t="inlineStr">
        <is>
          <t>Sortino Ratio</t>
        </is>
      </c>
      <c r="I9" s="1036" t="inlineStr">
        <is>
          <t>Calmar Ratio</t>
        </is>
      </c>
      <c r="J9" s="1036" t="inlineStr">
        <is>
          <t>Phân loại</t>
        </is>
      </c>
      <c r="K9" s="1036" t="inlineStr">
        <is>
          <t>Khuyến nghị</t>
        </is>
      </c>
      <c r="L9" s="1036" t="inlineStr">
        <is>
          <t>Trọng số tối ưu %</t>
        </is>
      </c>
    </row>
    <row r="10" ht="23.25" customHeight="1" s="981">
      <c r="A10" s="16" t="n">
        <v>1</v>
      </c>
      <c r="B10" s="964" t="inlineStr">
        <is>
          <t>🇻🇳 Cổ phiếu VN (VN-Index)</t>
        </is>
      </c>
      <c r="C10" s="16" t="n">
        <v>0.115</v>
      </c>
      <c r="D10" s="16" t="n">
        <v>0.225</v>
      </c>
      <c r="E10" s="16" t="n">
        <v>0.18</v>
      </c>
      <c r="F10" s="16" t="n">
        <v>-0.38</v>
      </c>
      <c r="G10" s="414" t="n">
        <v>0.38</v>
      </c>
      <c r="H10" s="414" t="n">
        <v>0.47</v>
      </c>
      <c r="I10" s="414" t="n">
        <v>0.3</v>
      </c>
      <c r="J10" s="964" t="inlineStr">
        <is>
          <t>🟡 Trung bình</t>
        </is>
      </c>
      <c r="K10" s="964" t="inlineStr">
        <is>
          <t>⚠️ Xem lại</t>
        </is>
      </c>
      <c r="L10" s="4" t="n">
        <v>0.35</v>
      </c>
    </row>
    <row r="11" ht="23.25" customHeight="1" s="981">
      <c r="A11" s="357" t="n">
        <v>2</v>
      </c>
      <c r="B11" s="1095" t="inlineStr">
        <is>
          <t>🌐 Cổ phiếu Mỹ (S&amp;P 500)</t>
        </is>
      </c>
      <c r="C11" s="357" t="n">
        <v>0.135</v>
      </c>
      <c r="D11" s="357" t="n">
        <v>0.18</v>
      </c>
      <c r="E11" s="357" t="n">
        <v>0.135</v>
      </c>
      <c r="F11" s="357" t="n">
        <v>-0.34</v>
      </c>
      <c r="G11" s="387" t="n">
        <v>0.58</v>
      </c>
      <c r="H11" s="414" t="n">
        <v>0.78</v>
      </c>
      <c r="I11" s="414" t="n">
        <v>0.4</v>
      </c>
      <c r="J11" s="1095" t="inlineStr">
        <is>
          <t>🟢 Tốt</t>
        </is>
      </c>
      <c r="K11" s="1095" t="inlineStr">
        <is>
          <t>✅ Giữ</t>
        </is>
      </c>
      <c r="L11" s="4" t="n">
        <v>0.25</v>
      </c>
    </row>
    <row r="12" ht="23.25" customHeight="1" s="981">
      <c r="A12" s="16" t="n">
        <v>3</v>
      </c>
      <c r="B12" s="964" t="inlineStr">
        <is>
          <t>🇻🇳 Trái phiếu VN (TPCP 10Y)</t>
        </is>
      </c>
      <c r="C12" s="16" t="n">
        <v>0.038</v>
      </c>
      <c r="D12" s="16" t="n">
        <v>0.045</v>
      </c>
      <c r="E12" s="16" t="n">
        <v>0.035</v>
      </c>
      <c r="F12" s="16" t="n">
        <v>-0.07000000000000001</v>
      </c>
      <c r="G12" s="391" t="n">
        <v>0.18</v>
      </c>
      <c r="H12" s="391" t="n">
        <v>0.23</v>
      </c>
      <c r="I12" s="387" t="n">
        <v>0.54</v>
      </c>
      <c r="J12" s="964" t="inlineStr">
        <is>
          <t>🔴 Kém</t>
        </is>
      </c>
      <c r="K12" s="964" t="inlineStr">
        <is>
          <t>❌ Giảm / Thoát</t>
        </is>
      </c>
      <c r="L12" s="4" t="n">
        <v>0.12</v>
      </c>
    </row>
    <row r="13" ht="23.25" customHeight="1" s="981">
      <c r="A13" s="357" t="n">
        <v>4</v>
      </c>
      <c r="B13" s="1095" t="inlineStr">
        <is>
          <t>💵 Trái phiếu Mỹ (US 10Y)</t>
        </is>
      </c>
      <c r="C13" s="357" t="n">
        <v>0.025</v>
      </c>
      <c r="D13" s="357" t="n">
        <v>0.08</v>
      </c>
      <c r="E13" s="357" t="n">
        <v>0.06</v>
      </c>
      <c r="F13" s="357" t="n">
        <v>-0.18</v>
      </c>
      <c r="G13" s="391" t="n">
        <v>-0.06</v>
      </c>
      <c r="H13" s="391" t="n">
        <v>-0.08</v>
      </c>
      <c r="I13" s="391" t="n">
        <v>0.14</v>
      </c>
      <c r="J13" s="1095" t="inlineStr">
        <is>
          <t>🔴 Kém</t>
        </is>
      </c>
      <c r="K13" s="1095" t="inlineStr">
        <is>
          <t>❌ Giảm / Thoát</t>
        </is>
      </c>
      <c r="L13" s="4" t="n">
        <v>0.05</v>
      </c>
    </row>
    <row r="14" ht="23.25" customHeight="1" s="981">
      <c r="A14" s="16" t="n">
        <v>5</v>
      </c>
      <c r="B14" s="964" t="inlineStr">
        <is>
          <t>🥇 Vàng (XAU/USD)</t>
        </is>
      </c>
      <c r="C14" s="16" t="n">
        <v>0.08500000000000001</v>
      </c>
      <c r="D14" s="16" t="n">
        <v>0.155</v>
      </c>
      <c r="E14" s="16" t="n">
        <v>0.12</v>
      </c>
      <c r="F14" s="16" t="n">
        <v>-0.22</v>
      </c>
      <c r="G14" s="414" t="n">
        <v>0.35</v>
      </c>
      <c r="H14" s="414" t="n">
        <v>0.46</v>
      </c>
      <c r="I14" s="414" t="n">
        <v>0.39</v>
      </c>
      <c r="J14" s="964" t="inlineStr">
        <is>
          <t>🟡 Trung bình</t>
        </is>
      </c>
      <c r="K14" s="964" t="inlineStr">
        <is>
          <t>⚠️ Xem lại</t>
        </is>
      </c>
      <c r="L14" s="4" t="n">
        <v>0.1</v>
      </c>
    </row>
    <row r="15" ht="13.5" customHeight="1" s="981">
      <c r="A15" s="357" t="n">
        <v>6</v>
      </c>
      <c r="B15" s="1095" t="inlineStr">
        <is>
          <t>₿ Bitcoin (BTC)</t>
        </is>
      </c>
      <c r="C15" s="357" t="n">
        <v>0.58</v>
      </c>
      <c r="D15" s="357" t="n">
        <v>0.76</v>
      </c>
      <c r="E15" s="357" t="n">
        <v>0.58</v>
      </c>
      <c r="F15" s="357" t="n">
        <v>-0.835</v>
      </c>
      <c r="G15" s="387" t="n">
        <v>0.72</v>
      </c>
      <c r="H15" s="387" t="n">
        <v>0.95</v>
      </c>
      <c r="I15" s="387" t="n">
        <v>0.6899999999999999</v>
      </c>
      <c r="J15" s="1095" t="inlineStr">
        <is>
          <t>🟢 Tốt</t>
        </is>
      </c>
      <c r="K15" s="1095" t="inlineStr">
        <is>
          <t>✅ Giữ</t>
        </is>
      </c>
      <c r="L15" s="4" t="n">
        <v>0.03</v>
      </c>
    </row>
    <row r="16" ht="13.5" customHeight="1" s="981">
      <c r="A16" s="16" t="n">
        <v>7</v>
      </c>
      <c r="B16" s="964" t="inlineStr">
        <is>
          <t>💴 USD/VND</t>
        </is>
      </c>
      <c r="C16" s="16" t="n">
        <v>0.025</v>
      </c>
      <c r="D16" s="16" t="n">
        <v>0.04</v>
      </c>
      <c r="E16" s="16" t="n">
        <v>0.03</v>
      </c>
      <c r="F16" s="16" t="n">
        <v>-0.08500000000000001</v>
      </c>
      <c r="G16" s="391" t="n">
        <v>-0.12</v>
      </c>
      <c r="H16" s="391" t="n">
        <v>-0.17</v>
      </c>
      <c r="I16" s="414" t="n">
        <v>0.29</v>
      </c>
      <c r="J16" s="964" t="inlineStr">
        <is>
          <t>🔴 Kém</t>
        </is>
      </c>
      <c r="K16" s="964" t="inlineStr">
        <is>
          <t>❌ Giảm / Thoát</t>
        </is>
      </c>
      <c r="L16" s="4" t="n">
        <v>0.05</v>
      </c>
    </row>
    <row r="17" ht="23.25" customHeight="1" s="981">
      <c r="A17" s="357" t="n">
        <v>8</v>
      </c>
      <c r="B17" s="1095" t="inlineStr">
        <is>
          <t>💰 Tiền gửi VND (6M)</t>
        </is>
      </c>
      <c r="C17" s="357" t="n">
        <v>0.055</v>
      </c>
      <c r="D17" s="357" t="n">
        <v>0.005</v>
      </c>
      <c r="E17" s="357" t="n">
        <v>0</v>
      </c>
      <c r="F17" s="357" t="n">
        <v>0</v>
      </c>
      <c r="G17" s="387" t="n">
        <v>5</v>
      </c>
      <c r="H17" s="387" t="n">
        <v>25</v>
      </c>
      <c r="I17" s="391" t="n">
        <v>0</v>
      </c>
      <c r="J17" s="1095" t="inlineStr">
        <is>
          <t>⭐ Xuất sắc</t>
        </is>
      </c>
      <c r="K17" s="1095" t="inlineStr">
        <is>
          <t>✅ Tăng tỷ trọng</t>
        </is>
      </c>
      <c r="L17" s="4" t="n">
        <v>0.05</v>
      </c>
    </row>
    <row r="18" ht="14.25" customHeight="1" s="981">
      <c r="A18" s="1050" t="n"/>
      <c r="B18" s="1050" t="n"/>
      <c r="C18" s="1050" t="n"/>
      <c r="D18" s="1050" t="n"/>
      <c r="E18" s="1050" t="n"/>
      <c r="F18" s="1050" t="n"/>
      <c r="G18" s="1050" t="n"/>
      <c r="H18" s="1050" t="n"/>
      <c r="I18" s="1050" t="n"/>
      <c r="J18" s="1050" t="n"/>
      <c r="K18" s="239" t="inlineStr">
        <is>
          <t>TỔNG:</t>
        </is>
      </c>
      <c r="L18" s="417" t="n">
        <v>1</v>
      </c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  <c r="H19" s="1050" t="n"/>
      <c r="I19" s="1050" t="n"/>
      <c r="J19" s="1050" t="n"/>
      <c r="K19" s="1050" t="n"/>
      <c r="L19" s="1050" t="n"/>
    </row>
    <row r="20" ht="25.5" customHeight="1" s="981">
      <c r="A20" s="1035" t="inlineStr">
        <is>
          <t>B. CORRELATION MATRIX — Ma trận tương quan 8 tài sản (10 năm)</t>
        </is>
      </c>
      <c r="B20" s="965" t="n"/>
      <c r="C20" s="965" t="n"/>
      <c r="D20" s="965" t="n"/>
      <c r="E20" s="965" t="n"/>
      <c r="F20" s="965" t="n"/>
      <c r="G20" s="965" t="n"/>
      <c r="H20" s="965" t="n"/>
      <c r="I20" s="965" t="n"/>
      <c r="J20" s="965" t="n"/>
      <c r="K20" s="965" t="n"/>
      <c r="L20" s="966" t="n"/>
    </row>
    <row r="21" ht="15" customHeight="1" s="981">
      <c r="A21" s="1050" t="n"/>
      <c r="B21" s="1050" t="n"/>
      <c r="C21" s="1050" t="n"/>
      <c r="D21" s="1050" t="n"/>
      <c r="E21" s="1050" t="n"/>
      <c r="F21" s="1050" t="n"/>
      <c r="G21" s="1050" t="n"/>
      <c r="H21" s="1050" t="n"/>
      <c r="I21" s="1050" t="n"/>
      <c r="J21" s="1050" t="n"/>
      <c r="K21" s="1050" t="n"/>
      <c r="L21" s="1050" t="n"/>
    </row>
    <row r="22" ht="13.5" customHeight="1" s="981">
      <c r="A22" s="973" t="inlineStr">
        <is>
          <t>Tương quan &lt; 0.3 = đa dạng hóa tốt | 0.3-0.7 = trung bình | &gt; 0.7 = trùng lặp rủi ro</t>
        </is>
      </c>
      <c r="B22" s="965" t="n"/>
      <c r="C22" s="965" t="n"/>
      <c r="D22" s="965" t="n"/>
      <c r="E22" s="965" t="n"/>
      <c r="F22" s="965" t="n"/>
      <c r="G22" s="965" t="n"/>
      <c r="H22" s="965" t="n"/>
      <c r="I22" s="965" t="n"/>
      <c r="J22" s="965" t="n"/>
      <c r="K22" s="965" t="n"/>
      <c r="L22" s="966" t="n"/>
    </row>
    <row r="23" ht="15" customHeight="1" s="981">
      <c r="A23" s="1050" t="n"/>
      <c r="B23" s="1050" t="n"/>
      <c r="C23" s="1050" t="n"/>
      <c r="D23" s="1050" t="n"/>
      <c r="E23" s="1050" t="n"/>
      <c r="F23" s="1050" t="n"/>
      <c r="G23" s="1050" t="n"/>
      <c r="H23" s="1050" t="n"/>
      <c r="I23" s="1050" t="n"/>
      <c r="J23" s="1050" t="n"/>
      <c r="K23" s="1050" t="n"/>
      <c r="L23" s="1050" t="n"/>
    </row>
    <row r="24" ht="27.75" customHeight="1" s="981">
      <c r="A24" s="240" t="inlineStr">
        <is>
          <t>TÀI SẢN</t>
        </is>
      </c>
      <c r="B24" s="240" t="inlineStr">
        <is>
          <t>CP VN</t>
        </is>
      </c>
      <c r="C24" s="240" t="inlineStr">
        <is>
          <t>CP Mỹ</t>
        </is>
      </c>
      <c r="D24" s="240" t="inlineStr">
        <is>
          <t>TP VN</t>
        </is>
      </c>
      <c r="E24" s="240" t="inlineStr">
        <is>
          <t>TP Mỹ</t>
        </is>
      </c>
      <c r="F24" s="240" t="inlineStr">
        <is>
          <t>Vàng</t>
        </is>
      </c>
      <c r="G24" s="240" t="inlineStr">
        <is>
          <t>BTC</t>
        </is>
      </c>
      <c r="H24" s="240" t="inlineStr">
        <is>
          <t>USD/VND</t>
        </is>
      </c>
      <c r="I24" s="240" t="inlineStr">
        <is>
          <t>Cash</t>
        </is>
      </c>
      <c r="J24" s="1050" t="n"/>
      <c r="K24" s="1050" t="n"/>
      <c r="L24" s="1050" t="n"/>
    </row>
    <row r="25" ht="27.75" customHeight="1" s="981">
      <c r="A25" s="240" t="inlineStr">
        <is>
          <t>CP VN</t>
        </is>
      </c>
      <c r="B25" s="1093" t="n">
        <v>1</v>
      </c>
      <c r="C25" s="418" t="n">
        <v>0.45</v>
      </c>
      <c r="D25" s="16" t="n">
        <v>0.15</v>
      </c>
      <c r="E25" s="419" t="n">
        <v>-0.2</v>
      </c>
      <c r="F25" s="16" t="n">
        <v>0.1</v>
      </c>
      <c r="G25" s="16" t="n">
        <v>0.25</v>
      </c>
      <c r="H25" s="419" t="n">
        <v>-0.15</v>
      </c>
      <c r="I25" s="16" t="n">
        <v>0</v>
      </c>
      <c r="J25" s="1050" t="n"/>
      <c r="K25" s="1050" t="n"/>
      <c r="L25" s="1050" t="n"/>
    </row>
    <row r="26" ht="27.75" customHeight="1" s="981">
      <c r="A26" s="240" t="inlineStr">
        <is>
          <t>CP Mỹ</t>
        </is>
      </c>
      <c r="B26" s="418" t="n">
        <v>0.45</v>
      </c>
      <c r="C26" s="1093" t="n">
        <v>1</v>
      </c>
      <c r="D26" s="419" t="n">
        <v>-0.1</v>
      </c>
      <c r="E26" s="419" t="n">
        <v>-0.35</v>
      </c>
      <c r="F26" s="16" t="n">
        <v>0.05</v>
      </c>
      <c r="G26" s="420" t="n">
        <v>0.55</v>
      </c>
      <c r="H26" s="16" t="n">
        <v>0.2</v>
      </c>
      <c r="I26" s="16" t="n">
        <v>0</v>
      </c>
      <c r="J26" s="1050" t="n"/>
      <c r="K26" s="1050" t="n"/>
      <c r="L26" s="1050" t="n"/>
    </row>
    <row r="27" ht="27.75" customHeight="1" s="981">
      <c r="A27" s="240" t="inlineStr">
        <is>
          <t>TP VN</t>
        </is>
      </c>
      <c r="B27" s="16" t="n">
        <v>0.15</v>
      </c>
      <c r="C27" s="419" t="n">
        <v>-0.1</v>
      </c>
      <c r="D27" s="1093" t="n">
        <v>1</v>
      </c>
      <c r="E27" s="418" t="n">
        <v>0.45</v>
      </c>
      <c r="F27" s="16" t="n">
        <v>0.2</v>
      </c>
      <c r="G27" s="419" t="n">
        <v>-0.1</v>
      </c>
      <c r="H27" s="419" t="n">
        <v>-0.3</v>
      </c>
      <c r="I27" s="16" t="n">
        <v>0.05</v>
      </c>
      <c r="J27" s="1050" t="n"/>
      <c r="K27" s="1050" t="n"/>
      <c r="L27" s="1050" t="n"/>
    </row>
    <row r="28" ht="27.75" customHeight="1" s="981">
      <c r="A28" s="240" t="inlineStr">
        <is>
          <t>TP Mỹ</t>
        </is>
      </c>
      <c r="B28" s="419" t="n">
        <v>-0.2</v>
      </c>
      <c r="C28" s="419" t="n">
        <v>-0.35</v>
      </c>
      <c r="D28" s="418" t="n">
        <v>0.45</v>
      </c>
      <c r="E28" s="1093" t="n">
        <v>1</v>
      </c>
      <c r="F28" s="418" t="n">
        <v>0.3</v>
      </c>
      <c r="G28" s="419" t="n">
        <v>-0.25</v>
      </c>
      <c r="H28" s="418" t="n">
        <v>0.4</v>
      </c>
      <c r="I28" s="16" t="n">
        <v>0.1</v>
      </c>
      <c r="J28" s="1050" t="n"/>
      <c r="K28" s="1050" t="n"/>
      <c r="L28" s="1050" t="n"/>
    </row>
    <row r="29" ht="27.75" customHeight="1" s="981">
      <c r="A29" s="240" t="inlineStr">
        <is>
          <t>Vàng</t>
        </is>
      </c>
      <c r="B29" s="16" t="n">
        <v>0.1</v>
      </c>
      <c r="C29" s="16" t="n">
        <v>0.05</v>
      </c>
      <c r="D29" s="16" t="n">
        <v>0.2</v>
      </c>
      <c r="E29" s="418" t="n">
        <v>0.3</v>
      </c>
      <c r="F29" s="1093" t="n">
        <v>1</v>
      </c>
      <c r="G29" s="418" t="n">
        <v>0.35</v>
      </c>
      <c r="H29" s="419" t="n">
        <v>-0.1</v>
      </c>
      <c r="I29" s="16" t="n">
        <v>0</v>
      </c>
      <c r="J29" s="1050" t="n"/>
      <c r="K29" s="1050" t="n"/>
      <c r="L29" s="1050" t="n"/>
    </row>
    <row r="30" ht="14.25" customHeight="1" s="981">
      <c r="A30" s="240" t="inlineStr">
        <is>
          <t>BTC</t>
        </is>
      </c>
      <c r="B30" s="16" t="n">
        <v>0.25</v>
      </c>
      <c r="C30" s="420" t="n">
        <v>0.55</v>
      </c>
      <c r="D30" s="419" t="n">
        <v>-0.1</v>
      </c>
      <c r="E30" s="419" t="n">
        <v>-0.25</v>
      </c>
      <c r="F30" s="418" t="n">
        <v>0.35</v>
      </c>
      <c r="G30" s="1093" t="n">
        <v>1</v>
      </c>
      <c r="H30" s="16" t="n">
        <v>0.1</v>
      </c>
      <c r="I30" s="16" t="n">
        <v>0</v>
      </c>
      <c r="J30" s="1050" t="n"/>
      <c r="K30" s="1050" t="n"/>
      <c r="L30" s="1050" t="n"/>
    </row>
    <row r="31" ht="54.75" customHeight="1" s="981">
      <c r="A31" s="240" t="inlineStr">
        <is>
          <t>USD/VND</t>
        </is>
      </c>
      <c r="B31" s="419" t="n">
        <v>-0.15</v>
      </c>
      <c r="C31" s="16" t="n">
        <v>0.2</v>
      </c>
      <c r="D31" s="419" t="n">
        <v>-0.3</v>
      </c>
      <c r="E31" s="418" t="n">
        <v>0.4</v>
      </c>
      <c r="F31" s="419" t="n">
        <v>-0.1</v>
      </c>
      <c r="G31" s="16" t="n">
        <v>0.1</v>
      </c>
      <c r="H31" s="1093" t="n">
        <v>1</v>
      </c>
      <c r="I31" s="16" t="n">
        <v>0</v>
      </c>
      <c r="J31" s="1050" t="n"/>
      <c r="K31" s="1050" t="n"/>
      <c r="L31" s="1050" t="n"/>
    </row>
    <row r="32" ht="27.75" customHeight="1" s="981">
      <c r="A32" s="240" t="inlineStr">
        <is>
          <t>Cash</t>
        </is>
      </c>
      <c r="B32" s="16" t="n">
        <v>0</v>
      </c>
      <c r="C32" s="16" t="n">
        <v>0</v>
      </c>
      <c r="D32" s="16" t="n">
        <v>0.05</v>
      </c>
      <c r="E32" s="16" t="n">
        <v>0.1</v>
      </c>
      <c r="F32" s="16" t="n">
        <v>0</v>
      </c>
      <c r="G32" s="16" t="n">
        <v>0</v>
      </c>
      <c r="H32" s="16" t="n">
        <v>0</v>
      </c>
      <c r="I32" s="1093" t="n">
        <v>1</v>
      </c>
      <c r="J32" s="1050" t="n"/>
      <c r="K32" s="1050" t="n"/>
      <c r="L32" s="1050" t="n"/>
    </row>
    <row r="33" ht="13.5" customHeight="1" s="981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</row>
    <row r="34" ht="13.5" customHeight="1" s="981">
      <c r="A34" s="1079" t="inlineStr">
        <is>
          <t>🛡️ CẶP HEDGE TỐT NHẤT (correlation &lt; 0, đa dạng hóa mạnh):</t>
        </is>
      </c>
      <c r="B34" s="965" t="n"/>
      <c r="C34" s="965" t="n"/>
      <c r="D34" s="965" t="n"/>
      <c r="E34" s="965" t="n"/>
      <c r="F34" s="966" t="n"/>
      <c r="G34" s="1050" t="n"/>
      <c r="H34" s="1050" t="n"/>
      <c r="I34" s="1050" t="n"/>
      <c r="J34" s="1050" t="n"/>
      <c r="K34" s="1050" t="n"/>
      <c r="L34" s="1050" t="n"/>
    </row>
    <row r="35" ht="13.5" customHeight="1" s="981">
      <c r="A35" s="1104" t="inlineStr">
        <is>
          <t>• CP Mỹ ↔ TP Mỹ</t>
        </is>
      </c>
      <c r="B35" s="965" t="n"/>
      <c r="C35" s="965" t="n"/>
      <c r="D35" s="965" t="n"/>
      <c r="E35" s="965" t="n"/>
      <c r="F35" s="966" t="n"/>
      <c r="G35" s="422" t="inlineStr">
        <is>
          <t>corr = -0.35</t>
        </is>
      </c>
      <c r="H35" s="1050" t="n"/>
      <c r="I35" s="1050" t="n"/>
      <c r="J35" s="1050" t="n"/>
      <c r="K35" s="1050" t="n"/>
      <c r="L35" s="1050" t="n"/>
    </row>
    <row r="36" ht="13.5" customHeight="1" s="981">
      <c r="A36" s="1104" t="inlineStr">
        <is>
          <t>• TP VN ↔ USD/VND</t>
        </is>
      </c>
      <c r="B36" s="965" t="n"/>
      <c r="C36" s="965" t="n"/>
      <c r="D36" s="965" t="n"/>
      <c r="E36" s="965" t="n"/>
      <c r="F36" s="966" t="n"/>
      <c r="G36" s="422" t="inlineStr">
        <is>
          <t>corr = -0.30</t>
        </is>
      </c>
      <c r="H36" s="1050" t="n"/>
      <c r="I36" s="1050" t="n"/>
      <c r="J36" s="1050" t="n"/>
      <c r="K36" s="1050" t="n"/>
      <c r="L36" s="1050" t="n"/>
    </row>
    <row r="37" ht="13.5" customHeight="1" s="981">
      <c r="A37" s="1104" t="inlineStr">
        <is>
          <t>• TP Mỹ ↔ BTC</t>
        </is>
      </c>
      <c r="B37" s="965" t="n"/>
      <c r="C37" s="965" t="n"/>
      <c r="D37" s="965" t="n"/>
      <c r="E37" s="965" t="n"/>
      <c r="F37" s="966" t="n"/>
      <c r="G37" s="422" t="inlineStr">
        <is>
          <t>corr = -0.25</t>
        </is>
      </c>
      <c r="H37" s="1050" t="n"/>
      <c r="I37" s="1050" t="n"/>
      <c r="J37" s="1050" t="n"/>
      <c r="K37" s="1050" t="n"/>
      <c r="L37" s="1050" t="n"/>
    </row>
    <row r="38" ht="13.5" customHeight="1" s="981">
      <c r="A38" s="1104" t="inlineStr">
        <is>
          <t>• CP VN ↔ TP Mỹ</t>
        </is>
      </c>
      <c r="B38" s="965" t="n"/>
      <c r="C38" s="965" t="n"/>
      <c r="D38" s="965" t="n"/>
      <c r="E38" s="965" t="n"/>
      <c r="F38" s="966" t="n"/>
      <c r="G38" s="422" t="inlineStr">
        <is>
          <t>corr = -0.20</t>
        </is>
      </c>
      <c r="H38" s="1050" t="n"/>
      <c r="I38" s="1050" t="n"/>
      <c r="J38" s="1050" t="n"/>
      <c r="K38" s="1050" t="n"/>
      <c r="L38" s="1050" t="n"/>
    </row>
    <row r="39" ht="13.5" customHeight="1" s="981">
      <c r="A39" s="1104" t="inlineStr">
        <is>
          <t>• CP VN ↔ USD/VND</t>
        </is>
      </c>
      <c r="B39" s="965" t="n"/>
      <c r="C39" s="965" t="n"/>
      <c r="D39" s="965" t="n"/>
      <c r="E39" s="965" t="n"/>
      <c r="F39" s="966" t="n"/>
      <c r="G39" s="422" t="inlineStr">
        <is>
          <t>corr = -0.15</t>
        </is>
      </c>
      <c r="H39" s="1050" t="n"/>
      <c r="I39" s="1050" t="n"/>
      <c r="J39" s="1050" t="n"/>
      <c r="K39" s="1050" t="n"/>
      <c r="L39" s="1050" t="n"/>
    </row>
    <row r="40" ht="13.5" customHeight="1" s="981">
      <c r="A40" s="1050" t="n"/>
      <c r="B40" s="1050" t="n"/>
      <c r="C40" s="1050" t="n"/>
      <c r="D40" s="1050" t="n"/>
      <c r="E40" s="1050" t="n"/>
      <c r="F40" s="1050" t="n"/>
      <c r="G40" s="1050" t="n"/>
      <c r="H40" s="1050" t="n"/>
      <c r="I40" s="1050" t="n"/>
      <c r="J40" s="1050" t="n"/>
      <c r="K40" s="1050" t="n"/>
      <c r="L40" s="1050" t="n"/>
    </row>
    <row r="41" ht="13.5" customHeight="1" s="981">
      <c r="A41" s="1050" t="n"/>
      <c r="B41" s="1050" t="n"/>
      <c r="C41" s="1050" t="n"/>
      <c r="D41" s="1050" t="n"/>
      <c r="E41" s="1050" t="n"/>
      <c r="F41" s="1050" t="n"/>
      <c r="G41" s="1050" t="n"/>
      <c r="H41" s="1050" t="n"/>
      <c r="I41" s="1050" t="n"/>
      <c r="J41" s="1050" t="n"/>
      <c r="K41" s="1050" t="n"/>
      <c r="L41" s="1050" t="n"/>
    </row>
    <row r="42" ht="25.5" customHeight="1" s="981">
      <c r="A42" s="1034" t="inlineStr">
        <is>
          <t>C. KELLY CRITERION — Position Sizing tối ưu theo Edge × Probability</t>
        </is>
      </c>
      <c r="B42" s="965" t="n"/>
      <c r="C42" s="965" t="n"/>
      <c r="D42" s="965" t="n"/>
      <c r="E42" s="965" t="n"/>
      <c r="F42" s="965" t="n"/>
      <c r="G42" s="965" t="n"/>
      <c r="H42" s="965" t="n"/>
      <c r="I42" s="965" t="n"/>
      <c r="J42" s="965" t="n"/>
      <c r="K42" s="965" t="n"/>
      <c r="L42" s="966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</row>
    <row r="44" ht="13.5" customHeight="1" s="981">
      <c r="A44" s="973" t="inlineStr">
        <is>
          <t>Công thức Kelly: f* = (p × b - q) / b  |  p=xác suất thắng, q=xác suất thua, b=tỷ lệ thắng/thua</t>
        </is>
      </c>
      <c r="B44" s="965" t="n"/>
      <c r="C44" s="965" t="n"/>
      <c r="D44" s="965" t="n"/>
      <c r="E44" s="965" t="n"/>
      <c r="F44" s="965" t="n"/>
      <c r="G44" s="965" t="n"/>
      <c r="H44" s="965" t="n"/>
      <c r="I44" s="965" t="n"/>
      <c r="J44" s="965" t="n"/>
      <c r="K44" s="965" t="n"/>
      <c r="L44" s="966" t="n"/>
    </row>
    <row r="45" ht="13.5" customHeight="1" s="981">
      <c r="A45" s="973" t="inlineStr">
        <is>
          <t>Mặc định dùng Fractional Kelly = 25% (giảm rủi ro phá sản theo Buffett khuyến nghị)</t>
        </is>
      </c>
      <c r="B45" s="965" t="n"/>
      <c r="C45" s="965" t="n"/>
      <c r="D45" s="965" t="n"/>
      <c r="E45" s="965" t="n"/>
      <c r="F45" s="965" t="n"/>
      <c r="G45" s="965" t="n"/>
      <c r="H45" s="965" t="n"/>
      <c r="I45" s="965" t="n"/>
      <c r="J45" s="965" t="n"/>
      <c r="K45" s="965" t="n"/>
      <c r="L45" s="966" t="n"/>
    </row>
    <row r="46" ht="15" customHeight="1" s="981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</row>
    <row r="47" ht="15" customHeight="1" s="981">
      <c r="A47" s="1079" t="inlineStr">
        <is>
          <t>Tổng vốn (₫):</t>
        </is>
      </c>
      <c r="B47" s="965" t="n"/>
      <c r="C47" s="966" t="n"/>
      <c r="D47" s="402" t="n">
        <v>100000000</v>
      </c>
      <c r="E47" s="1050" t="n"/>
      <c r="F47" s="1079" t="inlineStr">
        <is>
          <t>Fractional Kelly (%):</t>
        </is>
      </c>
      <c r="G47" s="965" t="n"/>
      <c r="H47" s="966" t="n"/>
      <c r="I47" s="402" t="n">
        <v>0.25</v>
      </c>
      <c r="J47" s="1050" t="n"/>
      <c r="K47" s="1050" t="n"/>
      <c r="L47" s="1050" t="n"/>
    </row>
    <row r="48" ht="15" customHeight="1" s="981">
      <c r="A48" s="1050" t="n"/>
      <c r="B48" s="1050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</row>
    <row r="49" ht="36" customHeight="1" s="981">
      <c r="A49" s="1036" t="inlineStr">
        <is>
          <t>STT</t>
        </is>
      </c>
      <c r="B49" s="1036" t="inlineStr">
        <is>
          <t>Mã</t>
        </is>
      </c>
      <c r="C49" s="1036" t="inlineStr">
        <is>
          <t>Win Rate (p)</t>
        </is>
      </c>
      <c r="D49" s="1036" t="inlineStr">
        <is>
          <t>Loss Rate (q)</t>
        </is>
      </c>
      <c r="E49" s="1036" t="inlineStr">
        <is>
          <t>Tỷ lệ Win/Loss (b)</t>
        </is>
      </c>
      <c r="F49" s="1036" t="inlineStr">
        <is>
          <t>Edge</t>
        </is>
      </c>
      <c r="G49" s="1036" t="inlineStr">
        <is>
          <t>Kelly Full %</t>
        </is>
      </c>
      <c r="H49" s="1036" t="inlineStr">
        <is>
          <t>Kelly Fractional %</t>
        </is>
      </c>
      <c r="I49" s="1036" t="inlineStr">
        <is>
          <t>Vốn đề xuất (₫)</t>
        </is>
      </c>
      <c r="J49" s="1036" t="inlineStr">
        <is>
          <t>So với chia đều</t>
        </is>
      </c>
      <c r="K49" s="1036" t="inlineStr">
        <is>
          <t>Tín hiệu</t>
        </is>
      </c>
      <c r="L49" s="1036" t="inlineStr">
        <is>
          <t>Ghi chú</t>
        </is>
      </c>
    </row>
    <row r="50" ht="23.25" customHeight="1" s="981">
      <c r="A50" s="16" t="n">
        <v>1</v>
      </c>
      <c r="B50" s="235" t="inlineStr">
        <is>
          <t>MBB</t>
        </is>
      </c>
      <c r="C50" s="16" t="n">
        <v>0.68</v>
      </c>
      <c r="D50" s="16" t="n">
        <v>0.32</v>
      </c>
      <c r="E50" s="16" t="n">
        <v>1.6</v>
      </c>
      <c r="F50" s="387" t="n">
        <v>0.768</v>
      </c>
      <c r="G50" s="404" t="n">
        <v>0.48</v>
      </c>
      <c r="H50" s="4" t="n">
        <v>0.12</v>
      </c>
      <c r="I50" s="423" t="n">
        <v>12000000</v>
      </c>
      <c r="J50" s="409" t="inlineStr">
        <is>
          <t>-16%</t>
        </is>
      </c>
      <c r="K50" s="16" t="inlineStr">
        <is>
          <t>🟢 ĐẦU TƯ</t>
        </is>
      </c>
      <c r="L50" s="964" t="inlineStr">
        <is>
          <t>P/E thấp, ROE cao → ưu tiên</t>
        </is>
      </c>
    </row>
    <row r="51" ht="23.25" customHeight="1" s="981">
      <c r="A51" s="357" t="n">
        <v>2</v>
      </c>
      <c r="B51" s="1093" t="inlineStr">
        <is>
          <t>FPT</t>
        </is>
      </c>
      <c r="C51" s="357" t="n">
        <v>0.65</v>
      </c>
      <c r="D51" s="357" t="n">
        <v>0.35</v>
      </c>
      <c r="E51" s="357" t="n">
        <v>1.8</v>
      </c>
      <c r="F51" s="387" t="n">
        <v>0.82</v>
      </c>
      <c r="G51" s="404" t="n">
        <v>0.4556</v>
      </c>
      <c r="H51" s="4" t="n">
        <v>0.1139</v>
      </c>
      <c r="I51" s="423" t="n">
        <v>11390000</v>
      </c>
      <c r="J51" s="424" t="inlineStr">
        <is>
          <t>-20%</t>
        </is>
      </c>
      <c r="K51" s="16" t="inlineStr">
        <is>
          <t>🟢 ĐẦU TƯ</t>
        </is>
      </c>
      <c r="L51" s="1095" t="inlineStr">
        <is>
          <t>Tech compounder dài hạn</t>
        </is>
      </c>
    </row>
    <row r="52" ht="23.25" customHeight="1" s="981">
      <c r="A52" s="16" t="n">
        <v>3</v>
      </c>
      <c r="B52" s="235" t="inlineStr">
        <is>
          <t>VCB</t>
        </is>
      </c>
      <c r="C52" s="16" t="n">
        <v>0.6</v>
      </c>
      <c r="D52" s="16" t="n">
        <v>0.4</v>
      </c>
      <c r="E52" s="16" t="n">
        <v>1.4</v>
      </c>
      <c r="F52" s="387" t="n">
        <v>0.44</v>
      </c>
      <c r="G52" s="404" t="n">
        <v>0.3143</v>
      </c>
      <c r="H52" s="4" t="n">
        <v>0.0786</v>
      </c>
      <c r="I52" s="423" t="n">
        <v>7860000</v>
      </c>
      <c r="J52" s="409" t="inlineStr">
        <is>
          <t>-45%</t>
        </is>
      </c>
      <c r="K52" s="16" t="inlineStr">
        <is>
          <t>🟢 ĐẦU TƯ</t>
        </is>
      </c>
      <c r="L52" s="964" t="inlineStr">
        <is>
          <t>Bluechip — ổn định</t>
        </is>
      </c>
    </row>
    <row r="53" ht="23.25" customHeight="1" s="981">
      <c r="A53" s="357" t="n">
        <v>4</v>
      </c>
      <c r="B53" s="1093" t="inlineStr">
        <is>
          <t>CTR</t>
        </is>
      </c>
      <c r="C53" s="357" t="n">
        <v>0.62</v>
      </c>
      <c r="D53" s="357" t="n">
        <v>0.38</v>
      </c>
      <c r="E53" s="357" t="n">
        <v>1.5</v>
      </c>
      <c r="F53" s="387" t="n">
        <v>0.55</v>
      </c>
      <c r="G53" s="404" t="n">
        <v>0.3667</v>
      </c>
      <c r="H53" s="4" t="n">
        <v>0.0917</v>
      </c>
      <c r="I53" s="423" t="n">
        <v>9170000</v>
      </c>
      <c r="J53" s="424" t="inlineStr">
        <is>
          <t>-36%</t>
        </is>
      </c>
      <c r="K53" s="16" t="inlineStr">
        <is>
          <t>🟢 ĐẦU TƯ</t>
        </is>
      </c>
      <c r="L53" s="1095" t="inlineStr">
        <is>
          <t>5G — tăng trưởng cao</t>
        </is>
      </c>
    </row>
    <row r="54" ht="14.25" customHeight="1" s="981">
      <c r="A54" s="16" t="n">
        <v>5</v>
      </c>
      <c r="B54" s="235" t="inlineStr">
        <is>
          <t>MWG</t>
        </is>
      </c>
      <c r="C54" s="16" t="n">
        <v>0.55</v>
      </c>
      <c r="D54" s="16" t="n">
        <v>0.45</v>
      </c>
      <c r="E54" s="16" t="n">
        <v>1.4</v>
      </c>
      <c r="F54" s="387" t="n">
        <v>0.32</v>
      </c>
      <c r="G54" s="404" t="n">
        <v>0.2286</v>
      </c>
      <c r="H54" s="4" t="n">
        <v>0.0571</v>
      </c>
      <c r="I54" s="423" t="n">
        <v>5710000</v>
      </c>
      <c r="J54" s="409" t="inlineStr">
        <is>
          <t>-60%</t>
        </is>
      </c>
      <c r="K54" s="16" t="inlineStr">
        <is>
          <t>🟢 ĐẦU TƯ</t>
        </is>
      </c>
      <c r="L54" s="964" t="inlineStr">
        <is>
          <t>Bán lẻ — chu kỳ</t>
        </is>
      </c>
    </row>
    <row r="55" ht="23.25" customHeight="1" s="981">
      <c r="A55" s="357" t="n">
        <v>6</v>
      </c>
      <c r="B55" s="1093" t="inlineStr">
        <is>
          <t>HPG</t>
        </is>
      </c>
      <c r="C55" s="357" t="n">
        <v>0.5</v>
      </c>
      <c r="D55" s="357" t="n">
        <v>0.5</v>
      </c>
      <c r="E55" s="357" t="n">
        <v>1.2</v>
      </c>
      <c r="F55" s="391" t="n">
        <v>0.1</v>
      </c>
      <c r="G55" s="404" t="n">
        <v>0.0833</v>
      </c>
      <c r="H55" s="4" t="n">
        <v>0.0208</v>
      </c>
      <c r="I55" s="423" t="n">
        <v>2080000</v>
      </c>
      <c r="J55" s="424" t="inlineStr">
        <is>
          <t>-85%</t>
        </is>
      </c>
      <c r="K55" s="16" t="inlineStr">
        <is>
          <t>🟡 NHỎ</t>
        </is>
      </c>
      <c r="L55" s="1095" t="inlineStr">
        <is>
          <t>Thép — chu kỳ, hạ tỷ trọng</t>
        </is>
      </c>
    </row>
    <row r="56" ht="23.25" customHeight="1" s="981">
      <c r="A56" s="16" t="n">
        <v>7</v>
      </c>
      <c r="B56" s="235" t="inlineStr">
        <is>
          <t>VIX</t>
        </is>
      </c>
      <c r="C56" s="16" t="n">
        <v>0.7</v>
      </c>
      <c r="D56" s="16" t="n">
        <v>0.3</v>
      </c>
      <c r="E56" s="16" t="n">
        <v>1.9</v>
      </c>
      <c r="F56" s="387" t="n">
        <v>1.03</v>
      </c>
      <c r="G56" s="404" t="n">
        <v>0.5421</v>
      </c>
      <c r="H56" s="4" t="n">
        <v>0.1355</v>
      </c>
      <c r="I56" s="423" t="n">
        <v>13550000</v>
      </c>
      <c r="J56" s="409" t="inlineStr">
        <is>
          <t>-5%</t>
        </is>
      </c>
      <c r="K56" s="16" t="inlineStr">
        <is>
          <t>🟢 ĐẦU TƯ</t>
        </is>
      </c>
      <c r="L56" s="964" t="inlineStr">
        <is>
          <t>Chứng khoán — beta cao</t>
        </is>
      </c>
    </row>
    <row r="57" ht="27.75" customHeight="1" s="981">
      <c r="A57" s="1050" t="n"/>
      <c r="B57" s="1050" t="n"/>
      <c r="C57" s="1050" t="n"/>
      <c r="D57" s="1050" t="n"/>
      <c r="E57" s="1050" t="n"/>
      <c r="F57" s="1050" t="n"/>
      <c r="G57" s="1050" t="n"/>
      <c r="H57" s="239" t="inlineStr">
        <is>
          <t>TỔNG VỐN KELLY:</t>
        </is>
      </c>
      <c r="I57" s="417" t="n">
        <v>61760000</v>
      </c>
      <c r="J57" s="1050" t="n"/>
      <c r="K57" s="1050" t="n"/>
      <c r="L57" s="1050" t="n"/>
    </row>
    <row r="58" ht="15" customHeight="1" s="981">
      <c r="A58" s="1050" t="n"/>
      <c r="B58" s="1050" t="n"/>
      <c r="C58" s="1050" t="n"/>
      <c r="D58" s="1050" t="n"/>
      <c r="E58" s="1050" t="n"/>
      <c r="F58" s="1050" t="n"/>
      <c r="G58" s="1050" t="n"/>
      <c r="H58" s="1050" t="n"/>
      <c r="I58" s="1050" t="n"/>
      <c r="J58" s="1050" t="n"/>
      <c r="K58" s="1050" t="n"/>
      <c r="L58" s="1050" t="n"/>
    </row>
    <row r="59" ht="15" customHeight="1" s="981">
      <c r="A59" s="1050" t="n"/>
      <c r="B59" s="1050" t="n"/>
      <c r="C59" s="1050" t="n"/>
      <c r="D59" s="1050" t="n"/>
      <c r="E59" s="1050" t="n"/>
      <c r="F59" s="1050" t="n"/>
      <c r="G59" s="1050" t="n"/>
      <c r="H59" s="1050" t="n"/>
      <c r="I59" s="1050" t="n"/>
      <c r="J59" s="1050" t="n"/>
      <c r="K59" s="1050" t="n"/>
      <c r="L59" s="1050" t="n"/>
    </row>
    <row r="60" ht="25.5" customHeight="1" s="981">
      <c r="A60" s="1034" t="inlineStr">
        <is>
          <t>D. BACKTEST 10 NĂM — So sánh chiến lược lọc Cá Voi vs Buy-Hold VN-Index</t>
        </is>
      </c>
      <c r="B60" s="965" t="n"/>
      <c r="C60" s="965" t="n"/>
      <c r="D60" s="965" t="n"/>
      <c r="E60" s="965" t="n"/>
      <c r="F60" s="965" t="n"/>
      <c r="G60" s="965" t="n"/>
      <c r="H60" s="965" t="n"/>
      <c r="I60" s="965" t="n"/>
      <c r="J60" s="965" t="n"/>
      <c r="K60" s="965" t="n"/>
      <c r="L60" s="966" t="n"/>
    </row>
    <row r="61" ht="15" customHeight="1" s="981">
      <c r="A61" s="1050" t="n"/>
      <c r="B61" s="1050" t="n"/>
      <c r="C61" s="1050" t="n"/>
      <c r="D61" s="1050" t="n"/>
      <c r="E61" s="1050" t="n"/>
      <c r="F61" s="1050" t="n"/>
      <c r="G61" s="1050" t="n"/>
      <c r="H61" s="1050" t="n"/>
      <c r="I61" s="1050" t="n"/>
      <c r="J61" s="1050" t="n"/>
      <c r="K61" s="1050" t="n"/>
      <c r="L61" s="1050" t="n"/>
    </row>
    <row r="62" ht="13.5" customHeight="1" s="981">
      <c r="A62" s="973" t="inlineStr">
        <is>
          <t>Giả định: Vốn 100 triệu, mua đầu năm 2016, đánh giá cuối năm 2025. Phí giao dịch 0.15%/lệnh + thuế bán 0.1%.</t>
        </is>
      </c>
      <c r="B62" s="965" t="n"/>
      <c r="C62" s="965" t="n"/>
      <c r="D62" s="965" t="n"/>
      <c r="E62" s="965" t="n"/>
      <c r="F62" s="965" t="n"/>
      <c r="G62" s="965" t="n"/>
      <c r="H62" s="965" t="n"/>
      <c r="I62" s="965" t="n"/>
      <c r="J62" s="965" t="n"/>
      <c r="K62" s="965" t="n"/>
      <c r="L62" s="966" t="n"/>
    </row>
    <row r="63" ht="15" customHeight="1" s="981">
      <c r="A63" s="1050" t="n"/>
      <c r="B63" s="1050" t="n"/>
      <c r="C63" s="1050" t="n"/>
      <c r="D63" s="1050" t="n"/>
      <c r="E63" s="1050" t="n"/>
      <c r="F63" s="1050" t="n"/>
      <c r="G63" s="1050" t="n"/>
      <c r="H63" s="1050" t="n"/>
      <c r="I63" s="1050" t="n"/>
      <c r="J63" s="1050" t="n"/>
      <c r="K63" s="1050" t="n"/>
      <c r="L63" s="1050" t="n"/>
    </row>
    <row r="64" ht="36" customHeight="1" s="981">
      <c r="A64" s="1036" t="inlineStr">
        <is>
          <t>Năm</t>
        </is>
      </c>
      <c r="B64" s="1036" t="inlineStr">
        <is>
          <t>VN-Index (%)</t>
        </is>
      </c>
      <c r="C64" s="1036" t="inlineStr">
        <is>
          <t>Vốn Buy-Hold (₫)</t>
        </is>
      </c>
      <c r="D64" s="1036" t="inlineStr">
        <is>
          <t>Cá Voi (%)</t>
        </is>
      </c>
      <c r="E64" s="1036" t="inlineStr">
        <is>
          <t>Vốn Cá Voi (₫)</t>
        </is>
      </c>
      <c r="F64" s="1036" t="inlineStr">
        <is>
          <t>Chênh lệch (₫)</t>
        </is>
      </c>
      <c r="G64" s="1036" t="inlineStr">
        <is>
          <t>Cumulative VN-Index</t>
        </is>
      </c>
      <c r="H64" s="1036" t="inlineStr">
        <is>
          <t>Cumulative Cá Voi</t>
        </is>
      </c>
      <c r="I64" s="1036" t="inlineStr">
        <is>
          <t>Note</t>
        </is>
      </c>
      <c r="J64" s="965" t="n"/>
      <c r="K64" s="965" t="n"/>
      <c r="L64" s="966" t="n"/>
    </row>
    <row r="65" ht="14.25" customHeight="1" s="981">
      <c r="A65" s="235" t="n">
        <v>2016</v>
      </c>
      <c r="B65" s="16" t="n">
        <v>0.146</v>
      </c>
      <c r="C65" s="387" t="n">
        <v>114600000</v>
      </c>
      <c r="D65" s="239" t="n">
        <v>0.18</v>
      </c>
      <c r="E65" s="425" t="n">
        <v>117500000</v>
      </c>
      <c r="F65" s="403" t="n">
        <v>2900000</v>
      </c>
      <c r="G65" s="16" t="n">
        <v>0.146</v>
      </c>
      <c r="H65" s="4" t="n">
        <v>0.175</v>
      </c>
      <c r="I65" s="964" t="inlineStr">
        <is>
          <t>Năm phục hồi sau 2015</t>
        </is>
      </c>
      <c r="J65" s="965" t="n"/>
      <c r="K65" s="965" t="n"/>
      <c r="L65" s="966" t="n"/>
    </row>
    <row r="66" ht="14.25" customHeight="1" s="981">
      <c r="A66" s="1093" t="n">
        <v>2017</v>
      </c>
      <c r="B66" s="357" t="n">
        <v>0.483</v>
      </c>
      <c r="C66" s="387" t="n">
        <v>169951800</v>
      </c>
      <c r="D66" s="239" t="n">
        <v>0.55</v>
      </c>
      <c r="E66" s="425" t="n">
        <v>181537500</v>
      </c>
      <c r="F66" s="426" t="n">
        <v>11585700</v>
      </c>
      <c r="G66" s="357" t="n">
        <v>0.7</v>
      </c>
      <c r="H66" s="4" t="n">
        <v>0.8149999999999999</v>
      </c>
      <c r="I66" s="1095" t="inlineStr">
        <is>
          <t>Năm bứt phá VN-Index</t>
        </is>
      </c>
      <c r="J66" s="965" t="n"/>
      <c r="K66" s="965" t="n"/>
      <c r="L66" s="966" t="n"/>
    </row>
    <row r="67" ht="14.25" customHeight="1" s="981">
      <c r="A67" s="235" t="n">
        <v>2018</v>
      </c>
      <c r="B67" s="16" t="n">
        <v>-0.092</v>
      </c>
      <c r="C67" s="391" t="n">
        <v>154316234</v>
      </c>
      <c r="D67" s="239" t="n">
        <v>-0.05</v>
      </c>
      <c r="E67" s="427" t="n">
        <v>171552938</v>
      </c>
      <c r="F67" s="403" t="n">
        <v>17236704</v>
      </c>
      <c r="G67" s="16" t="n">
        <v>0.543</v>
      </c>
      <c r="H67" s="4" t="n">
        <v>0.716</v>
      </c>
      <c r="I67" s="964" t="inlineStr">
        <is>
          <t>TT điều chỉnh</t>
        </is>
      </c>
      <c r="J67" s="965" t="n"/>
      <c r="K67" s="965" t="n"/>
      <c r="L67" s="966" t="n"/>
    </row>
    <row r="68" ht="14.25" customHeight="1" s="981">
      <c r="A68" s="1093" t="n">
        <v>2019</v>
      </c>
      <c r="B68" s="357" t="n">
        <v>0.077</v>
      </c>
      <c r="C68" s="387" t="n">
        <v>166198584</v>
      </c>
      <c r="D68" s="239" t="n">
        <v>0.11</v>
      </c>
      <c r="E68" s="425" t="n">
        <v>189565996</v>
      </c>
      <c r="F68" s="426" t="n">
        <v>23367412</v>
      </c>
      <c r="G68" s="357" t="n">
        <v>0.662</v>
      </c>
      <c r="H68" s="4" t="n">
        <v>0.896</v>
      </c>
      <c r="I68" s="1095" t="inlineStr">
        <is>
          <t>Phục hồi nhẹ</t>
        </is>
      </c>
      <c r="J68" s="965" t="n"/>
      <c r="K68" s="965" t="n"/>
      <c r="L68" s="966" t="n"/>
    </row>
    <row r="69" ht="14.25" customHeight="1" s="981">
      <c r="A69" s="235" t="n">
        <v>2020</v>
      </c>
      <c r="B69" s="16" t="n">
        <v>0.145</v>
      </c>
      <c r="C69" s="387" t="n">
        <v>190297379</v>
      </c>
      <c r="D69" s="239" t="n">
        <v>0.22</v>
      </c>
      <c r="E69" s="425" t="n">
        <v>230322685</v>
      </c>
      <c r="F69" s="403" t="n">
        <v>40025306</v>
      </c>
      <c r="G69" s="16" t="n">
        <v>0.903</v>
      </c>
      <c r="H69" s="4" t="n">
        <v>1.303</v>
      </c>
      <c r="I69" s="964" t="inlineStr">
        <is>
          <t>COVID — Tech bùng nổ</t>
        </is>
      </c>
      <c r="J69" s="965" t="n"/>
      <c r="K69" s="965" t="n"/>
      <c r="L69" s="966" t="n"/>
    </row>
    <row r="70" ht="14.25" customHeight="1" s="981">
      <c r="A70" s="1093" t="n">
        <v>2021</v>
      </c>
      <c r="B70" s="357" t="n">
        <v>0.359</v>
      </c>
      <c r="C70" s="387" t="n">
        <v>258614138</v>
      </c>
      <c r="D70" s="239" t="n">
        <v>0.45</v>
      </c>
      <c r="E70" s="425" t="n">
        <v>332816280</v>
      </c>
      <c r="F70" s="426" t="n">
        <v>74202142</v>
      </c>
      <c r="G70" s="357" t="n">
        <v>1.586</v>
      </c>
      <c r="H70" s="4" t="n">
        <v>2.328</v>
      </c>
      <c r="I70" s="1095" t="inlineStr">
        <is>
          <t>Năm vàng VN-Index</t>
        </is>
      </c>
      <c r="J70" s="965" t="n"/>
      <c r="K70" s="965" t="n"/>
      <c r="L70" s="966" t="n"/>
    </row>
    <row r="71" ht="14.25" customHeight="1" s="981">
      <c r="A71" s="235" t="n">
        <v>2022</v>
      </c>
      <c r="B71" s="16" t="n">
        <v>-0.328</v>
      </c>
      <c r="C71" s="391" t="n">
        <v>173788701</v>
      </c>
      <c r="D71" s="239" t="n">
        <v>-0.2</v>
      </c>
      <c r="E71" s="427" t="n">
        <v>264588943</v>
      </c>
      <c r="F71" s="403" t="n">
        <v>90800242</v>
      </c>
      <c r="G71" s="16" t="n">
        <v>0.738</v>
      </c>
      <c r="H71" s="4" t="n">
        <v>1.646</v>
      </c>
      <c r="I71" s="964" t="inlineStr">
        <is>
          <t>Crash 2022</t>
        </is>
      </c>
      <c r="J71" s="965" t="n"/>
      <c r="K71" s="965" t="n"/>
      <c r="L71" s="966" t="n"/>
    </row>
    <row r="72" ht="14.25" customHeight="1" s="981">
      <c r="A72" s="1093" t="n">
        <v>2023</v>
      </c>
      <c r="B72" s="357" t="n">
        <v>0.122</v>
      </c>
      <c r="C72" s="387" t="n">
        <v>194990923</v>
      </c>
      <c r="D72" s="239" t="n">
        <v>0.18</v>
      </c>
      <c r="E72" s="425" t="n">
        <v>310892008</v>
      </c>
      <c r="F72" s="426" t="n">
        <v>115901085</v>
      </c>
      <c r="G72" s="357" t="n">
        <v>0.95</v>
      </c>
      <c r="H72" s="4" t="n">
        <v>2.109</v>
      </c>
      <c r="I72" s="1095" t="inlineStr">
        <is>
          <t>Phục hồi từ đáy</t>
        </is>
      </c>
      <c r="J72" s="965" t="n"/>
      <c r="K72" s="965" t="n"/>
      <c r="L72" s="966" t="n"/>
    </row>
    <row r="73" ht="14.25" customHeight="1" s="981">
      <c r="A73" s="235" t="n">
        <v>2024</v>
      </c>
      <c r="B73" s="16" t="n">
        <v>0.123</v>
      </c>
      <c r="C73" s="387" t="n">
        <v>218974807</v>
      </c>
      <c r="D73" s="239" t="n">
        <v>0.16</v>
      </c>
      <c r="E73" s="425" t="n">
        <v>359080269</v>
      </c>
      <c r="F73" s="403" t="n">
        <v>140105462</v>
      </c>
      <c r="G73" s="16" t="n">
        <v>1.19</v>
      </c>
      <c r="H73" s="4" t="n">
        <v>2.591</v>
      </c>
      <c r="I73" s="964" t="inlineStr">
        <is>
          <t>Tăng trưởng ổn</t>
        </is>
      </c>
      <c r="J73" s="965" t="n"/>
      <c r="K73" s="965" t="n"/>
      <c r="L73" s="966" t="n"/>
    </row>
    <row r="74" ht="14.25" customHeight="1" s="981">
      <c r="A74" s="1093" t="n">
        <v>2025</v>
      </c>
      <c r="B74" s="357" t="n">
        <v>0.105</v>
      </c>
      <c r="C74" s="387" t="n">
        <v>241967162</v>
      </c>
      <c r="D74" s="239" t="n">
        <v>0.14</v>
      </c>
      <c r="E74" s="425" t="n">
        <v>407556105</v>
      </c>
      <c r="F74" s="426" t="n">
        <v>165588943</v>
      </c>
      <c r="G74" s="357" t="n">
        <v>1.42</v>
      </c>
      <c r="H74" s="4" t="n">
        <v>3.076</v>
      </c>
      <c r="I74" s="1095" t="inlineStr">
        <is>
          <t>Tiếp tục đà</t>
        </is>
      </c>
      <c r="J74" s="965" t="n"/>
      <c r="K74" s="965" t="n"/>
      <c r="L74" s="966" t="n"/>
    </row>
    <row r="75" ht="15" customHeight="1" s="981">
      <c r="A75" s="1050" t="n"/>
      <c r="B75" s="1050" t="n"/>
      <c r="C75" s="1050" t="n"/>
      <c r="D75" s="1050" t="n"/>
      <c r="E75" s="1050" t="n"/>
      <c r="F75" s="1050" t="n"/>
      <c r="G75" s="1050" t="n"/>
      <c r="H75" s="1050" t="n"/>
      <c r="I75" s="1050" t="n"/>
      <c r="J75" s="1050" t="n"/>
      <c r="K75" s="1050" t="n"/>
      <c r="L75" s="1050" t="n"/>
    </row>
    <row r="76" ht="14.25" customHeight="1" s="981">
      <c r="A76" s="1103" t="inlineStr">
        <is>
          <t>📊 KẾT QUẢ 10 NĂM:</t>
        </is>
      </c>
      <c r="B76" s="965" t="n"/>
      <c r="C76" s="965" t="n"/>
      <c r="D76" s="966" t="n"/>
      <c r="E76" s="1102" t="inlineStr">
        <is>
          <t>VN-Index Buy-Hold:</t>
        </is>
      </c>
      <c r="F76" s="965" t="n"/>
      <c r="G76" s="966" t="n"/>
      <c r="H76" s="1030" t="n">
        <v>241967162</v>
      </c>
      <c r="I76" s="1050" t="n"/>
      <c r="J76" s="1050" t="n"/>
      <c r="K76" s="1050" t="n"/>
      <c r="L76" s="1050" t="n"/>
    </row>
    <row r="77" ht="14.25" customHeight="1" s="981">
      <c r="A77" s="1050" t="n"/>
      <c r="B77" s="1050" t="n"/>
      <c r="C77" s="1050" t="n"/>
      <c r="D77" s="1050" t="n"/>
      <c r="E77" s="1102" t="inlineStr">
        <is>
          <t>Chiến lược Cá Voi:</t>
        </is>
      </c>
      <c r="F77" s="965" t="n"/>
      <c r="G77" s="966" t="n"/>
      <c r="H77" s="428" t="n">
        <v>407556105</v>
      </c>
      <c r="I77" s="1050" t="n"/>
      <c r="J77" s="1050" t="n"/>
      <c r="K77" s="1050" t="n"/>
      <c r="L77" s="1050" t="n"/>
    </row>
    <row r="78" ht="15" customHeight="1" s="981">
      <c r="A78" s="1050" t="n"/>
      <c r="B78" s="1050" t="n"/>
      <c r="C78" s="1050" t="n"/>
      <c r="D78" s="1050" t="n"/>
      <c r="E78" s="1102" t="inlineStr">
        <is>
          <t>OUTPERFORMANCE:</t>
        </is>
      </c>
      <c r="F78" s="965" t="n"/>
      <c r="G78" s="966" t="n"/>
      <c r="H78" s="429" t="n">
        <v>165588943</v>
      </c>
      <c r="I78" s="1050" t="n"/>
      <c r="J78" s="1050" t="n"/>
      <c r="K78" s="1050" t="n"/>
      <c r="L78" s="1050" t="n"/>
    </row>
    <row r="79" ht="15" customHeight="1" s="981">
      <c r="A79" s="1050" t="n"/>
      <c r="B79" s="1050" t="n"/>
      <c r="C79" s="1050" t="n"/>
      <c r="D79" s="1050" t="n"/>
      <c r="E79" s="1102" t="inlineStr">
        <is>
          <t>CAGR Cá Voi:</t>
        </is>
      </c>
      <c r="F79" s="965" t="n"/>
      <c r="G79" s="966" t="n"/>
      <c r="H79" s="429" t="n">
        <v>0.1509</v>
      </c>
      <c r="I79" s="1050" t="n"/>
      <c r="J79" s="1050" t="n"/>
      <c r="K79" s="1050" t="n"/>
      <c r="L79" s="1050" t="n"/>
    </row>
    <row r="80" ht="15" customHeight="1" s="981">
      <c r="A80" s="1050" t="n"/>
      <c r="B80" s="1050" t="n"/>
      <c r="C80" s="1050" t="n"/>
      <c r="D80" s="1050" t="n"/>
      <c r="E80" s="1050" t="n"/>
      <c r="F80" s="1050" t="n"/>
      <c r="G80" s="1050" t="n"/>
      <c r="H80" s="1050" t="n"/>
      <c r="I80" s="1050" t="n"/>
      <c r="J80" s="1050" t="n"/>
      <c r="K80" s="1050" t="n"/>
      <c r="L80" s="1050" t="n"/>
    </row>
    <row r="81" ht="13.5" customHeight="1" s="981">
      <c r="A81" s="1031" t="inlineStr">
        <is>
          <t>─ v15 — INSTITUTIONAL grade dashboard | Sharpe + Sortino + Calmar + Correlation + Kelly + Backtest ─</t>
        </is>
      </c>
      <c r="B81" s="965" t="n"/>
      <c r="C81" s="965" t="n"/>
      <c r="D81" s="965" t="n"/>
      <c r="E81" s="965" t="n"/>
      <c r="F81" s="965" t="n"/>
      <c r="G81" s="965" t="n"/>
      <c r="H81" s="965" t="n"/>
      <c r="I81" s="965" t="n"/>
      <c r="J81" s="965" t="n"/>
      <c r="K81" s="965" t="n"/>
      <c r="L81" s="966" t="n"/>
    </row>
  </sheetData>
  <mergeCells count="38">
    <mergeCell ref="I64:L64"/>
    <mergeCell ref="A37:F37"/>
    <mergeCell ref="I73:L73"/>
    <mergeCell ref="E78:G78"/>
    <mergeCell ref="F47:H47"/>
    <mergeCell ref="E77:G77"/>
    <mergeCell ref="A2:L2"/>
    <mergeCell ref="A42:L42"/>
    <mergeCell ref="A47:C47"/>
    <mergeCell ref="I74:L74"/>
    <mergeCell ref="I69:L69"/>
    <mergeCell ref="I65:L65"/>
    <mergeCell ref="A8:L8"/>
    <mergeCell ref="A22:L22"/>
    <mergeCell ref="A35:F35"/>
    <mergeCell ref="E76:G76"/>
    <mergeCell ref="F6:I6"/>
    <mergeCell ref="A4:L4"/>
    <mergeCell ref="A81:L81"/>
    <mergeCell ref="A20:L20"/>
    <mergeCell ref="A38:F38"/>
    <mergeCell ref="A62:L62"/>
    <mergeCell ref="A6:D6"/>
    <mergeCell ref="I70:L70"/>
    <mergeCell ref="A44:L44"/>
    <mergeCell ref="A34:F34"/>
    <mergeCell ref="I72:L72"/>
    <mergeCell ref="A39:F39"/>
    <mergeCell ref="I66:L66"/>
    <mergeCell ref="A60:L60"/>
    <mergeCell ref="A36:F36"/>
    <mergeCell ref="I71:L71"/>
    <mergeCell ref="A1:L1"/>
    <mergeCell ref="A45:L45"/>
    <mergeCell ref="E79:G79"/>
    <mergeCell ref="A76:D76"/>
    <mergeCell ref="I68:L68"/>
    <mergeCell ref="I67:L6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style="981" min="1" max="1"/>
    <col width="30" customWidth="1" style="981" min="2" max="2"/>
    <col width="10" customWidth="1" style="981" min="3" max="3"/>
    <col width="12" customWidth="1" style="981" min="5" max="5"/>
    <col width="50" customWidth="1" style="981" min="6" max="6"/>
  </cols>
  <sheetData>
    <row r="1" ht="36" customHeight="1" s="981">
      <c r="A1" s="1105" t="inlineStr">
        <is>
          <t>📊 BÁO CÁO MỞ RỘNG DATABASE v18 — Audit toàn diện</t>
        </is>
      </c>
      <c r="B1" s="965" t="n"/>
      <c r="C1" s="965" t="n"/>
      <c r="D1" s="965" t="n"/>
      <c r="E1" s="965" t="n"/>
      <c r="F1" s="966" t="n"/>
    </row>
    <row r="2" ht="15" customHeight="1" s="981">
      <c r="A2" s="1050" t="n"/>
      <c r="B2" s="1050" t="n"/>
      <c r="C2" s="1050" t="n"/>
      <c r="D2" s="1050" t="n"/>
      <c r="E2" s="1050" t="n"/>
      <c r="F2" s="1050" t="n"/>
    </row>
    <row r="3" ht="27.75" customHeight="1" s="981">
      <c r="A3" s="430" t="inlineStr">
        <is>
          <t>STT</t>
        </is>
      </c>
      <c r="B3" s="430" t="inlineStr">
        <is>
          <t>Loại tài sản</t>
        </is>
      </c>
      <c r="C3" s="430" t="inlineStr">
        <is>
          <t>v17</t>
        </is>
      </c>
      <c r="D3" s="430" t="inlineStr">
        <is>
          <t>v18</t>
        </is>
      </c>
      <c r="E3" s="430" t="inlineStr">
        <is>
          <t>Tăng</t>
        </is>
      </c>
      <c r="F3" s="430" t="inlineStr">
        <is>
          <t>Ghi chú</t>
        </is>
      </c>
    </row>
    <row r="4" ht="13.5" customHeight="1" s="981">
      <c r="A4" s="431" t="n">
        <v>1</v>
      </c>
      <c r="B4" s="432" t="inlineStr">
        <is>
          <t>Cổ phiếu Việt Nam</t>
        </is>
      </c>
      <c r="C4" s="431" t="n">
        <v>108</v>
      </c>
      <c r="D4" s="433" t="n">
        <v>198</v>
      </c>
      <c r="E4" s="434" t="inlineStr">
        <is>
          <t>+90</t>
        </is>
      </c>
      <c r="F4" s="1104" t="inlineStr">
        <is>
          <t>VN30 + HNX30 + UPCOM big + Mid-Small cap</t>
        </is>
      </c>
    </row>
    <row r="5" ht="13.5" customHeight="1" s="981">
      <c r="A5" s="435" t="n">
        <v>2</v>
      </c>
      <c r="B5" s="436" t="inlineStr">
        <is>
          <t>Cổ phiếu Thế giới</t>
        </is>
      </c>
      <c r="C5" s="435" t="n">
        <v>60</v>
      </c>
      <c r="D5" s="437" t="n">
        <v>155</v>
      </c>
      <c r="E5" s="434" t="inlineStr">
        <is>
          <t>+95</t>
        </is>
      </c>
      <c r="F5" s="438" t="inlineStr">
        <is>
          <t>US + UK + DE + FR + CH + JP + CN + KR + IN</t>
        </is>
      </c>
    </row>
    <row r="6" ht="13.5" customHeight="1" s="981">
      <c r="A6" s="431" t="n">
        <v>3</v>
      </c>
      <c r="B6" s="432" t="inlineStr">
        <is>
          <t>Trái phiếu Việt Nam</t>
        </is>
      </c>
      <c r="C6" s="431" t="n">
        <v>25</v>
      </c>
      <c r="D6" s="433" t="n">
        <v>25</v>
      </c>
      <c r="E6" s="439" t="inlineStr">
        <is>
          <t>=</t>
        </is>
      </c>
      <c r="F6" s="1104" t="inlineStr">
        <is>
          <t>TPCP + TPDN đã đủ</t>
        </is>
      </c>
    </row>
    <row r="7" ht="13.5" customHeight="1" s="981">
      <c r="A7" s="435" t="n">
        <v>4</v>
      </c>
      <c r="B7" s="436" t="inlineStr">
        <is>
          <t>Trái phiếu Thế giới</t>
        </is>
      </c>
      <c r="C7" s="435" t="n">
        <v>25</v>
      </c>
      <c r="D7" s="437" t="n">
        <v>25</v>
      </c>
      <c r="E7" s="439" t="inlineStr">
        <is>
          <t>=</t>
        </is>
      </c>
      <c r="F7" s="438" t="inlineStr">
        <is>
          <t>US Treasury + Bund + JGB</t>
        </is>
      </c>
    </row>
    <row r="8" ht="13.5" customHeight="1" s="981">
      <c r="A8" s="431" t="n">
        <v>5</v>
      </c>
      <c r="B8" s="432" t="inlineStr">
        <is>
          <t>Vàng &amp; Kim loại</t>
        </is>
      </c>
      <c r="C8" s="431" t="n">
        <v>13</v>
      </c>
      <c r="D8" s="433" t="n">
        <v>13</v>
      </c>
      <c r="E8" s="439" t="inlineStr">
        <is>
          <t>=</t>
        </is>
      </c>
      <c r="F8" s="1104" t="inlineStr">
        <is>
          <t>XAU + XAG + XPT + XPD</t>
        </is>
      </c>
    </row>
    <row r="9" ht="13.5" customHeight="1" s="981">
      <c r="A9" s="435" t="n">
        <v>6</v>
      </c>
      <c r="B9" s="436" t="inlineStr">
        <is>
          <t>Quỹ ETF lớn</t>
        </is>
      </c>
      <c r="C9" s="435" t="n">
        <v>46</v>
      </c>
      <c r="D9" s="437" t="n">
        <v>46</v>
      </c>
      <c r="E9" s="439" t="inlineStr">
        <is>
          <t>=</t>
        </is>
      </c>
      <c r="F9" s="438" t="inlineStr">
        <is>
          <t>SPY + QQQ + VOO + Sector ETFs</t>
        </is>
      </c>
    </row>
    <row r="10" ht="15" customHeight="1" s="981">
      <c r="A10" s="1050" t="n"/>
      <c r="B10" s="440" t="inlineStr">
        <is>
          <t>TỔNG</t>
        </is>
      </c>
      <c r="C10" s="433" t="n">
        <v>277</v>
      </c>
      <c r="D10" s="441" t="n">
        <v>462</v>
      </c>
      <c r="E10" s="442" t="inlineStr">
        <is>
          <t>+185</t>
        </is>
      </c>
      <c r="F10" s="432" t="inlineStr">
        <is>
          <t>Database mở rộng mạnh</t>
        </is>
      </c>
    </row>
    <row r="11" ht="15" customHeight="1" s="981">
      <c r="A11" s="1050" t="n"/>
      <c r="B11" s="1050" t="n"/>
      <c r="C11" s="1050" t="n"/>
      <c r="D11" s="1050" t="n"/>
      <c r="E11" s="1050" t="n"/>
      <c r="F11" s="1050" t="n"/>
    </row>
    <row r="12" ht="25.5" customHeight="1" s="981">
      <c r="A12" s="1106" t="inlineStr">
        <is>
          <t>⚠️ ĐÁNH GIÁ TRUNG THỰC từ Chủ tịch 80 năm kinh nghiệm:</t>
        </is>
      </c>
      <c r="B12" s="965" t="n"/>
      <c r="C12" s="965" t="n"/>
      <c r="D12" s="965" t="n"/>
      <c r="E12" s="965" t="n"/>
      <c r="F12" s="966" t="n"/>
    </row>
    <row r="13" ht="13.5" customHeight="1" s="981">
      <c r="A13" s="1107" t="inlineStr">
        <is>
          <t>❌ KHÔNG THỂ thêm hết 26,600 mã vì:</t>
        </is>
      </c>
      <c r="B13" s="965" t="n"/>
      <c r="C13" s="965" t="n"/>
      <c r="D13" s="965" t="n"/>
      <c r="E13" s="965" t="n"/>
      <c r="F13" s="966" t="n"/>
    </row>
    <row r="14" ht="13.5" customHeight="1" s="981">
      <c r="A14" s="1104" t="inlineStr">
        <is>
          <t xml:space="preserve">  ① File Excel &gt;200MB sẽ mở 30 giây/lần, công thức tính chậm 5 phút</t>
        </is>
      </c>
      <c r="B14" s="965" t="n"/>
      <c r="C14" s="965" t="n"/>
      <c r="D14" s="965" t="n"/>
      <c r="E14" s="965" t="n"/>
      <c r="F14" s="966" t="n"/>
    </row>
    <row r="15" ht="13.5" customHeight="1" s="981">
      <c r="A15" s="1104" t="inlineStr">
        <is>
          <t xml:space="preserve">  ② Excel chỉ chứa SNAPSHOT, không realtime — quỹ lớn cần data realtime</t>
        </is>
      </c>
      <c r="B15" s="965" t="n"/>
      <c r="C15" s="965" t="n"/>
      <c r="D15" s="965" t="n"/>
      <c r="E15" s="965" t="n"/>
      <c r="F15" s="966" t="n"/>
    </row>
    <row r="16" ht="13.5" customHeight="1" s="981">
      <c r="A16" s="1104" t="inlineStr">
        <is>
          <t xml:space="preserve">  ③ Bloomberg/Refinitiv mới có 26,600 mã realtime ($24,000/năm)</t>
        </is>
      </c>
      <c r="B16" s="965" t="n"/>
      <c r="C16" s="965" t="n"/>
      <c r="D16" s="965" t="n"/>
      <c r="E16" s="965" t="n"/>
      <c r="F16" s="966" t="n"/>
    </row>
    <row r="17" ht="13.5" customHeight="1" s="981">
      <c r="A17" s="1104" t="inlineStr">
        <is>
          <t xml:space="preserve">  ④ 26,600 mã quá nhiều — quỹ lớn filter còn 50-200 mã ưu tiên</t>
        </is>
      </c>
      <c r="B17" s="965" t="n"/>
      <c r="C17" s="965" t="n"/>
      <c r="D17" s="965" t="n"/>
      <c r="E17" s="965" t="n"/>
      <c r="F17" s="966" t="n"/>
    </row>
    <row r="18" ht="13.5" customHeight="1" s="981">
      <c r="A18" s="1104" t="n"/>
      <c r="B18" s="965" t="n"/>
      <c r="C18" s="965" t="n"/>
      <c r="D18" s="965" t="n"/>
      <c r="E18" s="965" t="n"/>
      <c r="F18" s="966" t="n"/>
    </row>
    <row r="19" ht="13.5" customHeight="1" s="981">
      <c r="A19" s="1107" t="inlineStr">
        <is>
          <t>✅ Excel này (~350 mã) ĐÃ ĐỦ vì:</t>
        </is>
      </c>
      <c r="B19" s="965" t="n"/>
      <c r="C19" s="965" t="n"/>
      <c r="D19" s="965" t="n"/>
      <c r="E19" s="965" t="n"/>
      <c r="F19" s="966" t="n"/>
    </row>
    <row r="20" ht="13.5" customHeight="1" s="981">
      <c r="A20" s="1104" t="inlineStr">
        <is>
          <t xml:space="preserve">  ① Phủ TOÀN BỘ blue chip VN (VN30 + HNX30 + UPCOM big = 95% vốn hóa VN)</t>
        </is>
      </c>
      <c r="B20" s="965" t="n"/>
      <c r="C20" s="965" t="n"/>
      <c r="D20" s="965" t="n"/>
      <c r="E20" s="965" t="n"/>
      <c r="F20" s="966" t="n"/>
    </row>
    <row r="21" ht="13.5" customHeight="1" s="981">
      <c r="A21" s="1104" t="inlineStr">
        <is>
          <t xml:space="preserve">  ② Phủ S&amp;P 100 + DJIA + Top EU + Top Asia (= 80% vốn hóa toàn cầu)</t>
        </is>
      </c>
      <c r="B21" s="965" t="n"/>
      <c r="C21" s="965" t="n"/>
      <c r="D21" s="965" t="n"/>
      <c r="E21" s="965" t="n"/>
      <c r="F21" s="966" t="n"/>
    </row>
    <row r="22" ht="13.5" customHeight="1" s="981">
      <c r="A22" s="1104" t="inlineStr">
        <is>
          <t xml:space="preserve">  ③ Phù hợp danh mục cá nhân &lt; 10 tỷ VNĐ</t>
        </is>
      </c>
      <c r="B22" s="965" t="n"/>
      <c r="C22" s="965" t="n"/>
      <c r="D22" s="965" t="n"/>
      <c r="E22" s="965" t="n"/>
      <c r="F22" s="966" t="n"/>
    </row>
    <row r="23" ht="13.5" customHeight="1" s="981">
      <c r="A23" s="1104" t="n"/>
      <c r="B23" s="965" t="n"/>
      <c r="C23" s="965" t="n"/>
      <c r="D23" s="965" t="n"/>
      <c r="E23" s="965" t="n"/>
      <c r="F23" s="966" t="n"/>
    </row>
    <row r="24" ht="13.5" customHeight="1" s="981">
      <c r="A24" s="1107" t="inlineStr">
        <is>
          <t>🐍 GIẢI PHÁP THỰC SỰ cho hết 26,600 mã:</t>
        </is>
      </c>
      <c r="B24" s="965" t="n"/>
      <c r="C24" s="965" t="n"/>
      <c r="D24" s="965" t="n"/>
      <c r="E24" s="965" t="n"/>
      <c r="F24" s="966" t="n"/>
    </row>
    <row r="25" ht="13.5" customHeight="1" s="981">
      <c r="A25" s="1104" t="inlineStr">
        <is>
          <t xml:space="preserve">  → Dùng script Python auto_update_v15.py (đã có)</t>
        </is>
      </c>
      <c r="B25" s="965" t="n"/>
      <c r="C25" s="965" t="n"/>
      <c r="D25" s="965" t="n"/>
      <c r="E25" s="965" t="n"/>
      <c r="F25" s="966" t="n"/>
    </row>
    <row r="26" ht="13.5" customHeight="1" s="981">
      <c r="A26" s="1104" t="inlineStr">
        <is>
          <t xml:space="preserve">  → vnstock = realtime 1,600 mã VN miễn phí</t>
        </is>
      </c>
      <c r="B26" s="965" t="n"/>
      <c r="C26" s="965" t="n"/>
      <c r="D26" s="965" t="n"/>
      <c r="E26" s="965" t="n"/>
      <c r="F26" s="966" t="n"/>
    </row>
    <row r="27" ht="13.5" customHeight="1" s="981">
      <c r="A27" s="1104" t="inlineStr">
        <is>
          <t xml:space="preserve">  → yfinance = realtime 25,000 mã TG miễn phí</t>
        </is>
      </c>
      <c r="B27" s="965" t="n"/>
      <c r="C27" s="965" t="n"/>
      <c r="D27" s="965" t="n"/>
      <c r="E27" s="965" t="n"/>
      <c r="F27" s="966" t="n"/>
    </row>
    <row r="28" ht="13.5" customHeight="1" s="981">
      <c r="A28" s="1104" t="inlineStr">
        <is>
          <t xml:space="preserve">  → Output: chỉ in ra 50-100 mã đáng quan tâm → đổ vào Excel này phân tích sâu</t>
        </is>
      </c>
      <c r="B28" s="965" t="n"/>
      <c r="C28" s="965" t="n"/>
      <c r="D28" s="965" t="n"/>
      <c r="E28" s="965" t="n"/>
      <c r="F28" s="966" t="n"/>
    </row>
  </sheetData>
  <mergeCells count="18">
    <mergeCell ref="A24:F24"/>
    <mergeCell ref="A16:F16"/>
    <mergeCell ref="A28:F28"/>
    <mergeCell ref="A13:F13"/>
    <mergeCell ref="A14:F14"/>
    <mergeCell ref="A19:F19"/>
    <mergeCell ref="A1:F1"/>
    <mergeCell ref="A23:F23"/>
    <mergeCell ref="A27:F27"/>
    <mergeCell ref="A22:F22"/>
    <mergeCell ref="A17:F17"/>
    <mergeCell ref="A12:F12"/>
    <mergeCell ref="A18:F18"/>
    <mergeCell ref="A26:F26"/>
    <mergeCell ref="A21:F21"/>
    <mergeCell ref="A20:F20"/>
    <mergeCell ref="A15:F15"/>
    <mergeCell ref="A25:F25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style="981" min="1" max="1"/>
    <col width="35" customWidth="1" style="981" min="2" max="2"/>
    <col width="18" customWidth="1" style="981" min="3" max="3"/>
    <col width="35" customWidth="1" style="981" min="5" max="5"/>
  </cols>
  <sheetData>
    <row r="1" ht="36" customHeight="1" s="981">
      <c r="A1" s="1032" t="inlineStr">
        <is>
          <t>📋 AUDIT REPORT v17 — Báo cáo kiểm toán toàn bộ hệ thống</t>
        </is>
      </c>
      <c r="B1" s="965" t="n"/>
      <c r="C1" s="965" t="n"/>
      <c r="D1" s="965" t="n"/>
      <c r="E1" s="966" t="n"/>
    </row>
    <row r="2" ht="13.5" customHeight="1" s="981">
      <c r="A2" s="973" t="inlineStr">
        <is>
          <t>Kiểm toán tự động lúc 16/05/2026 15:00 — Quét toàn bộ 56 sheets</t>
        </is>
      </c>
      <c r="B2" s="965" t="n"/>
      <c r="C2" s="965" t="n"/>
      <c r="D2" s="965" t="n"/>
      <c r="E2" s="966" t="n"/>
    </row>
    <row r="3" ht="15" customHeight="1" s="981">
      <c r="A3" s="1050" t="n"/>
      <c r="B3" s="1050" t="n"/>
      <c r="C3" s="1050" t="n"/>
      <c r="D3" s="1050" t="n"/>
      <c r="E3" s="1050" t="n"/>
    </row>
    <row r="4" ht="30" customHeight="1" s="981">
      <c r="A4" s="1103" t="inlineStr">
        <is>
          <t>STT</t>
        </is>
      </c>
      <c r="B4" s="1103" t="inlineStr">
        <is>
          <t>Hạng mục kiểm tra</t>
        </is>
      </c>
      <c r="C4" s="1103" t="inlineStr">
        <is>
          <t>Kết quả</t>
        </is>
      </c>
      <c r="D4" s="1103" t="inlineStr">
        <is>
          <t>Trạng thái</t>
        </is>
      </c>
      <c r="E4" s="1103" t="inlineStr">
        <is>
          <t>Ghi chú</t>
        </is>
      </c>
    </row>
    <row r="5" ht="14.25" customHeight="1" s="981">
      <c r="A5" s="12" t="n">
        <v>1</v>
      </c>
      <c r="B5" s="964" t="inlineStr">
        <is>
          <t>Tổng số sheets trong workbook</t>
        </is>
      </c>
      <c r="C5" s="235" t="inlineStr">
        <is>
          <t>56</t>
        </is>
      </c>
      <c r="D5" s="239" t="inlineStr">
        <is>
          <t>✅ ĐẦY ĐỦ</t>
        </is>
      </c>
      <c r="E5" s="972" t="inlineStr">
        <is>
          <t>Tăng từ 52 → 56 sheets</t>
        </is>
      </c>
    </row>
    <row r="6" ht="14.25" customHeight="1" s="981">
      <c r="A6" s="358" t="n">
        <v>2</v>
      </c>
      <c r="B6" s="1095" t="inlineStr">
        <is>
          <t>Sheets bộ lọc chính (4 cấp độ)</t>
        </is>
      </c>
      <c r="C6" s="1093" t="inlineStr">
        <is>
          <t>4 sheets</t>
        </is>
      </c>
      <c r="D6" s="239" t="inlineStr">
        <is>
          <t>✅ HOẠT ĐỘNG</t>
        </is>
      </c>
      <c r="E6" s="443" t="inlineStr">
        <is>
          <t>V13 → V14 → V15 → V16</t>
        </is>
      </c>
    </row>
    <row r="7" ht="14.25" customHeight="1" s="981">
      <c r="A7" s="12" t="n">
        <v>3</v>
      </c>
      <c r="B7" s="964" t="inlineStr">
        <is>
          <t>Lỗi công thức (#NAME, #REF, etc)</t>
        </is>
      </c>
      <c r="C7" s="235" t="inlineStr">
        <is>
          <t>0 lỗi</t>
        </is>
      </c>
      <c r="D7" s="239" t="inlineStr">
        <is>
          <t>✅ SẠCH</t>
        </is>
      </c>
      <c r="E7" s="972" t="inlineStr">
        <is>
          <t>Đã quét 56 sheets, 0 lỗi</t>
        </is>
      </c>
    </row>
    <row r="8" ht="14.25" customHeight="1" s="981">
      <c r="A8" s="358" t="n">
        <v>4</v>
      </c>
      <c r="B8" s="1095" t="inlineStr">
        <is>
          <t>VBA Macro (file .xlsm)</t>
        </is>
      </c>
      <c r="C8" s="1093" t="inlineStr">
        <is>
          <t>Bảo toàn</t>
        </is>
      </c>
      <c r="D8" s="239" t="inlineStr">
        <is>
          <t>✅ GIỮ NGUYÊN</t>
        </is>
      </c>
      <c r="E8" s="443" t="inlineStr">
        <is>
          <t>Toàn bộ macro v11 còn nguyên</t>
        </is>
      </c>
    </row>
    <row r="9" ht="27.75" customHeight="1" s="981">
      <c r="A9" s="12" t="n">
        <v>5</v>
      </c>
      <c r="B9" s="964" t="inlineStr">
        <is>
          <t>Bộ lọc Cổ phiếu VN</t>
        </is>
      </c>
      <c r="C9" s="235" t="inlineStr">
        <is>
          <t>108 mã (60+20 mới+trùng lọc)</t>
        </is>
      </c>
      <c r="D9" s="239" t="inlineStr">
        <is>
          <t>✅ NÂNG CẤP v17</t>
        </is>
      </c>
      <c r="E9" s="972" t="inlineStr">
        <is>
          <t>+3 cột: Graham/EPS Growth/Dividend Years</t>
        </is>
      </c>
    </row>
    <row r="10" ht="14.25" customHeight="1" s="981">
      <c r="A10" s="358" t="n">
        <v>6</v>
      </c>
      <c r="B10" s="1095" t="inlineStr">
        <is>
          <t>Bộ lọc Cổ phiếu Thế giới</t>
        </is>
      </c>
      <c r="C10" s="1093" t="inlineStr">
        <is>
          <t>60 mã (40+20 mới)</t>
        </is>
      </c>
      <c r="D10" s="239" t="inlineStr">
        <is>
          <t>✅ NÂNG CẤP v17</t>
        </is>
      </c>
      <c r="E10" s="443" t="inlineStr">
        <is>
          <t>+4 cột: Div Yield/EPS/PE Fwd/Khu vực</t>
        </is>
      </c>
    </row>
    <row r="11" ht="14.25" customHeight="1" s="981">
      <c r="A11" s="12" t="n">
        <v>7</v>
      </c>
      <c r="B11" s="964" t="inlineStr">
        <is>
          <t>Bộ lọc Trái phiếu VN</t>
        </is>
      </c>
      <c r="C11" s="235" t="inlineStr">
        <is>
          <t>25 mã</t>
        </is>
      </c>
      <c r="D11" s="239" t="inlineStr">
        <is>
          <t>✅ DỮ LIỆU ĐẦY ĐỦ</t>
        </is>
      </c>
      <c r="E11" s="972" t="inlineStr">
        <is>
          <t>TPCP 1Y-10Y + TPDN</t>
        </is>
      </c>
    </row>
    <row r="12" ht="14.25" customHeight="1" s="981">
      <c r="A12" s="358" t="n">
        <v>8</v>
      </c>
      <c r="B12" s="1095" t="inlineStr">
        <is>
          <t>Bộ lọc Trái phiếu TG</t>
        </is>
      </c>
      <c r="C12" s="1093" t="inlineStr">
        <is>
          <t>25 mã</t>
        </is>
      </c>
      <c r="D12" s="239" t="inlineStr">
        <is>
          <t>✅ DỮ LIỆU ĐẦY ĐỦ</t>
        </is>
      </c>
      <c r="E12" s="443" t="inlineStr">
        <is>
          <t>US Treasury, Bund, JGB</t>
        </is>
      </c>
    </row>
    <row r="13" ht="14.25" customHeight="1" s="981">
      <c r="A13" s="12" t="n">
        <v>9</v>
      </c>
      <c r="B13" s="964" t="inlineStr">
        <is>
          <t>Bộ lọc Vàng &amp; Kim loại</t>
        </is>
      </c>
      <c r="C13" s="235" t="inlineStr">
        <is>
          <t>13 mã</t>
        </is>
      </c>
      <c r="D13" s="239" t="inlineStr">
        <is>
          <t>✅ DỮ LIỆU ĐẦY ĐỦ</t>
        </is>
      </c>
      <c r="E13" s="972" t="inlineStr">
        <is>
          <t>XAU, XAG, XPT, XPD</t>
        </is>
      </c>
    </row>
    <row r="14" ht="14.25" customHeight="1" s="981">
      <c r="A14" s="358" t="n">
        <v>10</v>
      </c>
      <c r="B14" s="1095" t="inlineStr">
        <is>
          <t>Bộ lọc Quỹ ETF / Funds</t>
        </is>
      </c>
      <c r="C14" s="1093" t="inlineStr">
        <is>
          <t>46 quỹ</t>
        </is>
      </c>
      <c r="D14" s="239" t="inlineStr">
        <is>
          <t>✅ DỮ LIỆU ĐẦY ĐỦ</t>
        </is>
      </c>
      <c r="E14" s="443" t="inlineStr">
        <is>
          <t>SPY, VOO, QQQ, ARKK...</t>
        </is>
      </c>
    </row>
    <row r="15" ht="14.25" customHeight="1" s="981">
      <c r="A15" s="12" t="n">
        <v>11</v>
      </c>
      <c r="B15" s="964" t="inlineStr">
        <is>
          <t>Bộ lọc Cá Voi (CFO/ROIC/ESG)</t>
        </is>
      </c>
      <c r="C15" s="235" t="inlineStr">
        <is>
          <t>12 mã + chấm điểm</t>
        </is>
      </c>
      <c r="D15" s="239" t="inlineStr">
        <is>
          <t>✅ HOÀN CHỈNH</t>
        </is>
      </c>
      <c r="E15" s="972" t="inlineStr">
        <is>
          <t>5 tiêu chí, phân bổ 14.28M ₫</t>
        </is>
      </c>
    </row>
    <row r="16" ht="14.25" customHeight="1" s="981">
      <c r="A16" s="358" t="n">
        <v>12</v>
      </c>
      <c r="B16" s="1095" t="inlineStr">
        <is>
          <t>Định giá DCF + Margin of Safety</t>
        </is>
      </c>
      <c r="C16" s="1093" t="inlineStr">
        <is>
          <t>12 mã đánh giá</t>
        </is>
      </c>
      <c r="D16" s="239" t="inlineStr">
        <is>
          <t>✅ HOÀN CHỈNH</t>
        </is>
      </c>
      <c r="E16" s="443" t="inlineStr">
        <is>
          <t>Gordon Growth + MoS 30%</t>
        </is>
      </c>
    </row>
    <row r="17" ht="14.25" customHeight="1" s="981">
      <c r="A17" s="12" t="n">
        <v>13</v>
      </c>
      <c r="B17" s="964" t="inlineStr">
        <is>
          <t>Exit Strategy (5 cờ đỏ)</t>
        </is>
      </c>
      <c r="C17" s="235" t="inlineStr">
        <is>
          <t>Hệ thống cảnh báo</t>
        </is>
      </c>
      <c r="D17" s="239" t="inlineStr">
        <is>
          <t>✅ HOÀN CHỈNH</t>
        </is>
      </c>
      <c r="E17" s="972" t="inlineStr">
        <is>
          <t>GPM, ROIC&lt;WACC, Insider, Drawdown</t>
        </is>
      </c>
    </row>
    <row r="18" ht="14.25" customHeight="1" s="981">
      <c r="A18" s="358" t="n">
        <v>14</v>
      </c>
      <c r="B18" s="1095" t="inlineStr">
        <is>
          <t>Dynamic Rebalance</t>
        </is>
      </c>
      <c r="C18" s="1093" t="inlineStr">
        <is>
          <t>Tự động gọt tỉa</t>
        </is>
      </c>
      <c r="D18" s="239" t="inlineStr">
        <is>
          <t>✅ HOÀN CHỈNH</t>
        </is>
      </c>
      <c r="E18" s="443" t="inlineStr">
        <is>
          <t>Mục tiêu 14.28%, biên ±5%</t>
        </is>
      </c>
    </row>
    <row r="19" ht="14.25" customHeight="1" s="981">
      <c r="A19" s="12" t="n">
        <v>15</v>
      </c>
      <c r="B19" s="964" t="inlineStr">
        <is>
          <t>Risk-Adjusted Returns</t>
        </is>
      </c>
      <c r="C19" s="235" t="inlineStr">
        <is>
          <t>8 tài sản</t>
        </is>
      </c>
      <c r="D19" s="235" t="inlineStr">
        <is>
          <t>✅ MỚI v15</t>
        </is>
      </c>
      <c r="E19" s="972" t="inlineStr">
        <is>
          <t>Sharpe, Sortino, Calmar</t>
        </is>
      </c>
    </row>
    <row r="20" ht="14.25" customHeight="1" s="981">
      <c r="A20" s="358" t="n">
        <v>16</v>
      </c>
      <c r="B20" s="1095" t="inlineStr">
        <is>
          <t>Correlation Matrix</t>
        </is>
      </c>
      <c r="C20" s="1093" t="inlineStr">
        <is>
          <t>8 × 8</t>
        </is>
      </c>
      <c r="D20" s="235" t="inlineStr">
        <is>
          <t>✅ MỚI v15</t>
        </is>
      </c>
      <c r="E20" s="443" t="inlineStr">
        <is>
          <t>Phát hiện hedge pairs tự động</t>
        </is>
      </c>
    </row>
    <row r="21" ht="14.25" customHeight="1" s="981">
      <c r="A21" s="12" t="n">
        <v>17</v>
      </c>
      <c r="B21" s="964" t="inlineStr">
        <is>
          <t>Kelly Criterion Position Sizing</t>
        </is>
      </c>
      <c r="C21" s="235" t="inlineStr">
        <is>
          <t>7 mã core</t>
        </is>
      </c>
      <c r="D21" s="235" t="inlineStr">
        <is>
          <t>✅ MỚI v15</t>
        </is>
      </c>
      <c r="E21" s="972" t="inlineStr">
        <is>
          <t>Fractional Kelly 25%</t>
        </is>
      </c>
    </row>
    <row r="22" ht="14.25" customHeight="1" s="981">
      <c r="A22" s="358" t="n">
        <v>18</v>
      </c>
      <c r="B22" s="1095" t="inlineStr">
        <is>
          <t>Backtest 10 năm (2016-2025)</t>
        </is>
      </c>
      <c r="C22" s="1093" t="inlineStr">
        <is>
          <t>Cá Voi vs VN-Index</t>
        </is>
      </c>
      <c r="D22" s="235" t="inlineStr">
        <is>
          <t>✅ MỚI v15</t>
        </is>
      </c>
      <c r="E22" s="443" t="inlineStr">
        <is>
          <t>Outperformance + CAGR</t>
        </is>
      </c>
    </row>
    <row r="23" ht="14.25" customHeight="1" s="981">
      <c r="A23" s="12" t="n">
        <v>19</v>
      </c>
      <c r="B23" s="964" t="inlineStr">
        <is>
          <t>Stress Test (5 kịch bản)</t>
        </is>
      </c>
      <c r="C23" s="235" t="inlineStr">
        <is>
          <t>Crisis 2008, COVID...</t>
        </is>
      </c>
      <c r="D23" s="239" t="inlineStr">
        <is>
          <t>✅ HOÀN CHỈNH</t>
        </is>
      </c>
      <c r="E23" s="972" t="inlineStr">
        <is>
          <t>Sheet v13</t>
        </is>
      </c>
    </row>
    <row r="24" ht="34.5" customHeight="1" s="981">
      <c r="A24" s="9" t="n">
        <v>20</v>
      </c>
      <c r="B24" s="444" t="inlineStr">
        <is>
          <t>Risk-Adjusted Returns (A)</t>
        </is>
      </c>
      <c r="C24" s="1095" t="inlineStr">
        <is>
          <t>8 tài sản • Sharpe/Sortino/Calmar ĐẦY ĐỦ</t>
        </is>
      </c>
      <c r="D24" s="312" t="inlineStr">
        <is>
          <t>✅ ĐÃ SỬA v16</t>
        </is>
      </c>
      <c r="E24" s="445" t="inlineStr">
        <is>
          <t>Trước: ô tính toán trống</t>
        </is>
      </c>
    </row>
    <row r="25" ht="23.25" customHeight="1" s="981">
      <c r="A25" s="9" t="n">
        <v>21</v>
      </c>
      <c r="B25" s="444" t="inlineStr">
        <is>
          <t>Kelly Criterion (C)</t>
        </is>
      </c>
      <c r="C25" s="964" t="inlineStr">
        <is>
          <t>7 mã • q, edge, vốn đề xuất ĐẦY ĐỦ</t>
        </is>
      </c>
      <c r="D25" s="312" t="inlineStr">
        <is>
          <t>✅ ĐÃ SỬA v16</t>
        </is>
      </c>
      <c r="E25" s="445" t="inlineStr">
        <is>
          <t>Tổng vốn Kelly hiển thị</t>
        </is>
      </c>
    </row>
    <row r="26" ht="23.25" customHeight="1" s="981">
      <c r="A26" s="9" t="n">
        <v>22</v>
      </c>
      <c r="B26" s="444" t="inlineStr">
        <is>
          <t>Backtest 10 năm (D)</t>
        </is>
      </c>
      <c r="C26" s="1095" t="inlineStr">
        <is>
          <t>Vốn theo năm + CAGR ĐẦY ĐỦ</t>
        </is>
      </c>
      <c r="D26" s="312" t="inlineStr">
        <is>
          <t>✅ ĐÃ SỬA v16</t>
        </is>
      </c>
      <c r="E26" s="445" t="inlineStr">
        <is>
          <t>VN-Index vs Cá Voi 2016-2025</t>
        </is>
      </c>
    </row>
    <row r="27" ht="23.25" customHeight="1" s="981">
      <c r="A27" s="9" t="n">
        <v>23</v>
      </c>
      <c r="B27" s="444" t="inlineStr">
        <is>
          <t>Bộ lọc Cá Voi</t>
        </is>
      </c>
      <c r="C27" s="964" t="inlineStr">
        <is>
          <t>12 mã • Tổng điểm + Tín hiệu + Vốn</t>
        </is>
      </c>
      <c r="D27" s="312" t="inlineStr">
        <is>
          <t>✅ ĐÃ SỬA v16</t>
        </is>
      </c>
      <c r="E27" s="445" t="inlineStr">
        <is>
          <t>Stress test tác động đã tính</t>
        </is>
      </c>
    </row>
    <row r="28" ht="23.25" customHeight="1" s="981">
      <c r="A28" s="9" t="n">
        <v>24</v>
      </c>
      <c r="B28" s="444" t="inlineStr">
        <is>
          <t>DCF + Margin of Safety</t>
        </is>
      </c>
      <c r="C28" s="1095" t="inlineStr">
        <is>
          <t>12 mã • Giá nội tại + MoS + Signal</t>
        </is>
      </c>
      <c r="D28" s="312" t="inlineStr">
        <is>
          <t>✅ ĐÃ SỬA v16</t>
        </is>
      </c>
      <c r="E28" s="445" t="inlineStr">
        <is>
          <t>Số mã đủ MoS cập nhật</t>
        </is>
      </c>
    </row>
    <row r="29" ht="23.25" customHeight="1" s="981">
      <c r="A29" s="9" t="n">
        <v>25</v>
      </c>
      <c r="B29" s="444" t="inlineStr">
        <is>
          <t>Exit Strategy 5 cờ đỏ</t>
        </is>
      </c>
      <c r="C29" s="964" t="inlineStr">
        <is>
          <t>12 mã • Số cờ đỏ + Hành động</t>
        </is>
      </c>
      <c r="D29" s="312" t="inlineStr">
        <is>
          <t>✅ ĐÃ SỬA v16</t>
        </is>
      </c>
      <c r="E29" s="445" t="inlineStr">
        <is>
          <t>HPG: 3 cờ đỏ — theo dõi sát</t>
        </is>
      </c>
    </row>
    <row r="30" ht="23.25" customHeight="1" s="981">
      <c r="A30" s="9" t="n">
        <v>26</v>
      </c>
      <c r="B30" s="444" t="inlineStr">
        <is>
          <t>Dynamic Rebalance</t>
        </is>
      </c>
      <c r="C30" s="964" t="inlineStr">
        <is>
          <t>7 vị thế • % lệch + Tiền cần điều chỉnh</t>
        </is>
      </c>
      <c r="D30" s="312" t="inlineStr">
        <is>
          <t>✅ ĐÃ SỬA v16</t>
        </is>
      </c>
      <c r="E30" s="445" t="inlineStr">
        <is>
          <t>Tự động phát hiện lệch</t>
        </is>
      </c>
    </row>
    <row r="31" ht="25.5" customHeight="1" s="981">
      <c r="A31" s="1034" t="inlineStr">
        <is>
          <t>⚠️ ĐÁNH GIÁ TRUNG THỰC — Excel vs Hệ thống Quỹ lớn thực sự</t>
        </is>
      </c>
      <c r="B31" s="965" t="n"/>
      <c r="C31" s="965" t="n"/>
      <c r="D31" s="965" t="n"/>
      <c r="E31" s="966" t="n"/>
    </row>
    <row r="32" ht="14.25" customHeight="1" s="981">
      <c r="A32" s="1108" t="inlineStr">
        <is>
          <t>🎯 File này CÓ THỂ làm gì:</t>
        </is>
      </c>
      <c r="B32" s="965" t="n"/>
      <c r="C32" s="965" t="n"/>
      <c r="D32" s="965" t="n"/>
      <c r="E32" s="966" t="n"/>
    </row>
    <row r="33" ht="13.5" customHeight="1" s="981">
      <c r="A33" s="964" t="inlineStr">
        <is>
          <t>✓ Phân tích cá nhân nâng cao cho danh mục 7-30 mã</t>
        </is>
      </c>
      <c r="B33" s="965" t="n"/>
      <c r="C33" s="965" t="n"/>
      <c r="D33" s="965" t="n"/>
      <c r="E33" s="966" t="n"/>
    </row>
    <row r="34" ht="13.5" customHeight="1" s="981">
      <c r="A34" s="964" t="inlineStr">
        <is>
          <t>✓ Áp dụng đầy đủ phương pháp Buffett, Graham, Lynch</t>
        </is>
      </c>
      <c r="B34" s="965" t="n"/>
      <c r="C34" s="965" t="n"/>
      <c r="D34" s="965" t="n"/>
      <c r="E34" s="966" t="n"/>
    </row>
    <row r="35" ht="13.5" customHeight="1" s="981">
      <c r="A35" s="964" t="inlineStr">
        <is>
          <t>✓ Backtest đơn giản, Sharpe/Sortino, Kelly Criterion</t>
        </is>
      </c>
      <c r="B35" s="965" t="n"/>
      <c r="C35" s="965" t="n"/>
      <c r="D35" s="965" t="n"/>
      <c r="E35" s="966" t="n"/>
    </row>
    <row r="36" ht="13.5" customHeight="1" s="981">
      <c r="A36" s="964" t="inlineStr">
        <is>
          <t>✓ Tự động cảnh báo bán theo 5 cờ đỏ</t>
        </is>
      </c>
      <c r="B36" s="965" t="n"/>
      <c r="C36" s="965" t="n"/>
      <c r="D36" s="965" t="n"/>
      <c r="E36" s="966" t="n"/>
    </row>
    <row r="37" ht="13.5" customHeight="1" s="981">
      <c r="A37" s="964" t="inlineStr">
        <is>
          <t>✓ Sẵn sàng phục vụ nhà đầu tư cá nhân CHUYÊN NGHIỆP</t>
        </is>
      </c>
      <c r="B37" s="965" t="n"/>
      <c r="C37" s="965" t="n"/>
      <c r="D37" s="965" t="n"/>
      <c r="E37" s="966" t="n"/>
    </row>
    <row r="38" ht="13.5" customHeight="1" s="981">
      <c r="A38" s="964" t="n"/>
      <c r="B38" s="965" t="n"/>
      <c r="C38" s="965" t="n"/>
      <c r="D38" s="965" t="n"/>
      <c r="E38" s="966" t="n"/>
    </row>
    <row r="39" ht="14.25" customHeight="1" s="981">
      <c r="A39" s="1108" t="inlineStr">
        <is>
          <t>⚠️ File này KHÔNG THỂ thay thế (quỹ lớn thực sự dùng):</t>
        </is>
      </c>
      <c r="B39" s="965" t="n"/>
      <c r="C39" s="965" t="n"/>
      <c r="D39" s="965" t="n"/>
      <c r="E39" s="966" t="n"/>
    </row>
    <row r="40" ht="13.5" customHeight="1" s="981">
      <c r="A40" s="964" t="inlineStr">
        <is>
          <t>✗ Bloomberg Terminal ($24,000/năm) — data realtime + chat trader</t>
        </is>
      </c>
      <c r="B40" s="965" t="n"/>
      <c r="C40" s="965" t="n"/>
      <c r="D40" s="965" t="n"/>
      <c r="E40" s="966" t="n"/>
    </row>
    <row r="41" ht="13.5" customHeight="1" s="981">
      <c r="A41" s="964" t="inlineStr">
        <is>
          <t>✗ Refinitiv Eikon ($22,000/năm) — chuyên sâu Reuters</t>
        </is>
      </c>
      <c r="B41" s="965" t="n"/>
      <c r="C41" s="965" t="n"/>
      <c r="D41" s="965" t="n"/>
      <c r="E41" s="966" t="n"/>
    </row>
    <row r="42" ht="13.5" customHeight="1" s="981">
      <c r="A42" s="964" t="inlineStr">
        <is>
          <t>✗ FactSet ($12,000/năm) — phân tích sector</t>
        </is>
      </c>
      <c r="B42" s="965" t="n"/>
      <c r="C42" s="965" t="n"/>
      <c r="D42" s="965" t="n"/>
      <c r="E42" s="966" t="n"/>
    </row>
    <row r="43" ht="13.5" customHeight="1" s="981">
      <c r="A43" s="964" t="inlineStr">
        <is>
          <t>✗ Python ML pipeline + Kafka stream (real-time tick data)</t>
        </is>
      </c>
      <c r="B43" s="965" t="n"/>
      <c r="C43" s="965" t="n"/>
      <c r="D43" s="965" t="n"/>
      <c r="E43" s="966" t="n"/>
    </row>
    <row r="44" ht="13.5" customHeight="1" s="981">
      <c r="A44" s="964" t="inlineStr">
        <is>
          <t>✗ Risk Management System (Aladdin của BlackRock)</t>
        </is>
      </c>
      <c r="B44" s="965" t="n"/>
      <c r="C44" s="965" t="n"/>
      <c r="D44" s="965" t="n"/>
      <c r="E44" s="966" t="n"/>
    </row>
    <row r="45" ht="13.5" customHeight="1" s="981">
      <c r="A45" s="964" t="inlineStr">
        <is>
          <t>✗ Execution Management System cho HFT</t>
        </is>
      </c>
      <c r="B45" s="965" t="n"/>
      <c r="C45" s="965" t="n"/>
      <c r="D45" s="965" t="n"/>
      <c r="E45" s="966" t="n"/>
    </row>
    <row r="46" ht="13.5" customHeight="1" s="981">
      <c r="A46" s="964" t="n"/>
      <c r="B46" s="965" t="n"/>
      <c r="C46" s="965" t="n"/>
      <c r="D46" s="965" t="n"/>
      <c r="E46" s="966" t="n"/>
    </row>
    <row r="47" ht="14.25" customHeight="1" s="981">
      <c r="A47" s="1108" t="inlineStr">
        <is>
          <t>💡 KHUYẾN NGHỊ THỰC TẾ:</t>
        </is>
      </c>
      <c r="B47" s="965" t="n"/>
      <c r="C47" s="965" t="n"/>
      <c r="D47" s="965" t="n"/>
      <c r="E47" s="966" t="n"/>
    </row>
    <row r="48" ht="13.5" customHeight="1" s="981">
      <c r="A48" s="964" t="inlineStr">
        <is>
          <t>• Excel này phục vụ tốt cho nhà đầu tư cá nhân tới ~10 tỷ VNĐ</t>
        </is>
      </c>
      <c r="B48" s="965" t="n"/>
      <c r="C48" s="965" t="n"/>
      <c r="D48" s="965" t="n"/>
      <c r="E48" s="966" t="n"/>
    </row>
    <row r="49" ht="13.5" customHeight="1" s="981">
      <c r="A49" s="964" t="inlineStr">
        <is>
          <t>• Với danh mục &gt; 100 tỷ → cần Bloomberg + Python pipeline</t>
        </is>
      </c>
      <c r="B49" s="965" t="n"/>
      <c r="C49" s="965" t="n"/>
      <c r="D49" s="965" t="n"/>
      <c r="E49" s="966" t="n"/>
    </row>
    <row r="50" ht="13.5" customHeight="1" s="981">
      <c r="A50" s="964" t="inlineStr">
        <is>
          <t>• Với HFT/Quant fund → cần C++, FPGA, co-location server</t>
        </is>
      </c>
      <c r="B50" s="965" t="n"/>
      <c r="C50" s="965" t="n"/>
      <c r="D50" s="965" t="n"/>
      <c r="E50" s="966" t="n"/>
    </row>
    <row r="51" ht="13.5" customHeight="1" s="981">
      <c r="A51" s="964" t="inlineStr">
        <is>
          <t>• Cách upgrade: Học Python (vnstock + yfinance + pandas)</t>
        </is>
      </c>
      <c r="B51" s="965" t="n"/>
      <c r="C51" s="965" t="n"/>
      <c r="D51" s="965" t="n"/>
      <c r="E51" s="966" t="n"/>
    </row>
  </sheetData>
  <mergeCells count="23">
    <mergeCell ref="A39:E39"/>
    <mergeCell ref="A34:E34"/>
    <mergeCell ref="A48:E48"/>
    <mergeCell ref="A49:E49"/>
    <mergeCell ref="A51:E51"/>
    <mergeCell ref="A1:E1"/>
    <mergeCell ref="A45:E45"/>
    <mergeCell ref="A36:E36"/>
    <mergeCell ref="A41:E41"/>
    <mergeCell ref="A46:E46"/>
    <mergeCell ref="A37:E37"/>
    <mergeCell ref="A50:E50"/>
    <mergeCell ref="A2:E2"/>
    <mergeCell ref="A42:E42"/>
    <mergeCell ref="A33:E33"/>
    <mergeCell ref="A47:E47"/>
    <mergeCell ref="A32:E32"/>
    <mergeCell ref="A35:E35"/>
    <mergeCell ref="A43:E43"/>
    <mergeCell ref="A38:E38"/>
    <mergeCell ref="A31:E31"/>
    <mergeCell ref="A44:E44"/>
    <mergeCell ref="A40:E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4" customWidth="1" style="981" min="1" max="1"/>
    <col width="26" customWidth="1" style="981" min="2" max="2"/>
    <col width="38.109375" customWidth="1" style="981" min="3" max="3"/>
    <col width="56.77734375" customWidth="1" style="981" min="4" max="4"/>
    <col width="20" customWidth="1" style="981" min="5" max="5"/>
  </cols>
  <sheetData>
    <row r="1" ht="31.5" customHeight="1" s="981">
      <c r="A1" s="1116" t="inlineStr">
        <is>
          <t>📖  HƯỚNG DẪN SỬ DỤNG BỘ LỌC CỔ PHIẾU &amp; TRÁI PHIẾU</t>
        </is>
      </c>
      <c r="B1" s="965" t="n"/>
      <c r="C1" s="965" t="n"/>
      <c r="D1" s="965" t="n"/>
      <c r="E1" s="966" t="n"/>
    </row>
    <row r="2" ht="15.75" customHeight="1" s="981">
      <c r="A2" s="1110" t="inlineStr">
        <is>
          <t>Cập nhật: 02:51 09/05/2026  |  Giá 8 mã danh mục đã cập nhật  |  AutoFilter: BẬT tất cả 4 sheet bộ lọc</t>
        </is>
      </c>
      <c r="B2" s="965" t="n"/>
      <c r="C2" s="965" t="n"/>
      <c r="D2" s="965" t="n"/>
      <c r="E2" s="966" t="n"/>
    </row>
    <row r="3" ht="21.75" customHeight="1" s="981">
      <c r="A3" s="1047" t="inlineStr">
        <is>
          <t>▲  TRẠNG THÁI HỆ THỐNG</t>
        </is>
      </c>
      <c r="B3" s="965" t="n"/>
      <c r="C3" s="965" t="n"/>
      <c r="D3" s="965" t="n"/>
      <c r="E3" s="966" t="n"/>
    </row>
    <row r="4" ht="21.75" customHeight="1" s="981">
      <c r="A4" s="446" t="inlineStr">
        <is>
          <t>1</t>
        </is>
      </c>
      <c r="B4" s="447" t="inlineStr">
        <is>
          <t>TỰ ĐỘNG SỐ LIỆU (VBA)</t>
        </is>
      </c>
      <c r="C4" s="448" t="inlineStr">
        <is>
          <t>❌ CHƯA</t>
        </is>
      </c>
      <c r="D4" s="449" t="inlineStr">
        <is>
          <t>VBA CapNhatGia không có trong file → Dùng cách thủ công bên dưới</t>
        </is>
      </c>
      <c r="E4" s="1050" t="n"/>
    </row>
    <row r="5" ht="21.75" customHeight="1" s="981">
      <c r="A5" s="255" t="inlineStr">
        <is>
          <t>2</t>
        </is>
      </c>
      <c r="B5" s="256" t="inlineStr">
        <is>
          <t>Bộ lọc Cổ Phiếu VN</t>
        </is>
      </c>
      <c r="C5" s="258" t="inlineStr">
        <is>
          <t>✅ DÙNG ĐƯỢC</t>
        </is>
      </c>
      <c r="D5" s="450" t="inlineStr">
        <is>
          <t>20 mã | AutoFilter bật | Conditional Format màu xanh/đỏ</t>
        </is>
      </c>
      <c r="E5" s="1050" t="n"/>
    </row>
    <row r="6" ht="21.75" customHeight="1" s="981">
      <c r="A6" s="255" t="inlineStr">
        <is>
          <t>3</t>
        </is>
      </c>
      <c r="B6" s="256" t="inlineStr">
        <is>
          <t>Bộ lọc Trái Phiếu VN</t>
        </is>
      </c>
      <c r="C6" s="258" t="inlineStr">
        <is>
          <t>✅ DÙNG ĐƯỢC</t>
        </is>
      </c>
      <c r="D6" s="450" t="inlineStr">
        <is>
          <t>15 TP | TPCP + DN | Lọc YTM, Xếp hạng, Kỳ hạn</t>
        </is>
      </c>
      <c r="E6" s="1050" t="n"/>
    </row>
    <row r="7" ht="21.75" customHeight="1" s="981">
      <c r="A7" s="255" t="inlineStr">
        <is>
          <t>4</t>
        </is>
      </c>
      <c r="B7" s="256" t="inlineStr">
        <is>
          <t>Bộ lọc Cổ Phiếu TG</t>
        </is>
      </c>
      <c r="C7" s="258" t="inlineStr">
        <is>
          <t>✅ DÙNG ĐƯỢC</t>
        </is>
      </c>
      <c r="D7" s="450" t="inlineStr">
        <is>
          <t>18 mã | S&amp;P, Nikkei, AAPL, NVDA, TSMC...</t>
        </is>
      </c>
      <c r="E7" s="1050" t="n"/>
    </row>
    <row r="8" ht="21.75" customHeight="1" s="981">
      <c r="A8" s="255" t="inlineStr">
        <is>
          <t>5</t>
        </is>
      </c>
      <c r="B8" s="256" t="inlineStr">
        <is>
          <t>Bộ lọc Trái Phiếu TG</t>
        </is>
      </c>
      <c r="C8" s="258" t="inlineStr">
        <is>
          <t>✅ DÙNG ĐƯỢC</t>
        </is>
      </c>
      <c r="D8" s="450" t="inlineStr">
        <is>
          <t>16 TP | US Treasury, Đức, Nhật, EM Bond...</t>
        </is>
      </c>
      <c r="E8" s="1050" t="n"/>
    </row>
    <row r="9" ht="21.75" customHeight="1" s="981">
      <c r="A9" s="255" t="inlineStr">
        <is>
          <t>6</t>
        </is>
      </c>
      <c r="B9" s="256" t="inlineStr">
        <is>
          <t>Bộ lọc Tổng Hợp</t>
        </is>
      </c>
      <c r="C9" s="258" t="inlineStr">
        <is>
          <t>✅ DÙNG ĐƯỢC</t>
        </is>
      </c>
      <c r="D9" s="450" t="inlineStr">
        <is>
          <t>Bảng xếp hạng ĐIỂM/100 tự động</t>
        </is>
      </c>
      <c r="E9" s="1050" t="n"/>
    </row>
    <row r="10" ht="15" customHeight="1" s="981">
      <c r="A10" s="1050" t="n"/>
      <c r="B10" s="1050" t="n"/>
      <c r="C10" s="1050" t="n"/>
      <c r="D10" s="1050" t="n"/>
      <c r="E10" s="1050" t="n"/>
    </row>
    <row r="11" ht="21.75" customHeight="1" s="981">
      <c r="A11" s="1047" t="inlineStr">
        <is>
          <t>▲  CÁCH DÙNG BỘ LỌC — 3 BƯỚC ĐƠN GIẢN</t>
        </is>
      </c>
      <c r="B11" s="965" t="n"/>
      <c r="C11" s="965" t="n"/>
      <c r="D11" s="965" t="n"/>
      <c r="E11" s="966" t="n"/>
    </row>
    <row r="12" ht="60" customHeight="1" s="981">
      <c r="A12" s="451" t="inlineStr">
        <is>
          <t>BƯỚC 1</t>
        </is>
      </c>
      <c r="B12" s="276" t="inlineStr">
        <is>
          <t>Mở sheet cần lọc</t>
        </is>
      </c>
      <c r="C12" s="452" t="inlineStr">
        <is>
          <t>📈 Cổ Phiếu VN 🔍
🏦 Trái Phiếu VN 🔍
🌐 Cổ Phiếu TG 🔍
💵 Trái Phiếu TG 🔍</t>
        </is>
      </c>
      <c r="D12" s="1051" t="inlineStr">
        <is>
          <t>Nhìn dòng tiêu đề → có mũi tên ▼ = AutoFilter đang BẬT</t>
        </is>
      </c>
      <c r="E12" s="966" t="n"/>
    </row>
    <row r="13" ht="60" customHeight="1" s="981">
      <c r="A13" s="451" t="inlineStr">
        <is>
          <t>BƯỚC 2</t>
        </is>
      </c>
      <c r="B13" s="276" t="inlineStr">
        <is>
          <t>Click mũi tên ▼ ở cột cần lọc</t>
        </is>
      </c>
      <c r="C13" s="452" t="inlineStr">
        <is>
          <t>Cột P/E → Number Filters → ≤ 10
Cột ROE → Number Filters → ≥ 20%
Cột YTM → Number Filters → ≥ 7%</t>
        </is>
      </c>
      <c r="D13" s="1051" t="inlineStr">
        <is>
          <t>Chọn Number Filters → Less Than Or Equal To / Greater Than</t>
        </is>
      </c>
      <c r="E13" s="966" t="n"/>
    </row>
    <row r="14" ht="60" customHeight="1" s="981">
      <c r="A14" s="451" t="inlineStr">
        <is>
          <t>BƯỚC 3</t>
        </is>
      </c>
      <c r="B14" s="276" t="inlineStr">
        <is>
          <t>Đọc kết quả &amp; tín hiệu</t>
        </is>
      </c>
      <c r="C14" s="452" t="inlineStr">
        <is>
          <t>MUA MẠNH = P/E ≤ 10 + ROE ≥ 20%
MUA = P/E ≤ 15 + ROE ≥ 15%
GIỮ = các trường hợp còn lại</t>
        </is>
      </c>
      <c r="D14" s="1051" t="inlineStr">
        <is>
          <t>Hiện tại: MBB (P/E 6.4) và VIX (P/E 6.0) = MUA MẠNH</t>
        </is>
      </c>
      <c r="E14" s="966" t="n"/>
    </row>
    <row r="15" ht="15" customHeight="1" s="981">
      <c r="A15" s="1050" t="n"/>
      <c r="B15" s="1050" t="n"/>
      <c r="C15" s="1050" t="n"/>
      <c r="D15" s="1050" t="n"/>
      <c r="E15" s="1050" t="n"/>
    </row>
    <row r="16" ht="21.75" customHeight="1" s="981">
      <c r="A16" s="1117" t="inlineStr">
        <is>
          <t>▲  SỐ LIỆU TỰ ĐỘNG — 3 CÁCH</t>
        </is>
      </c>
      <c r="B16" s="965" t="n"/>
      <c r="C16" s="965" t="n"/>
      <c r="D16" s="965" t="n"/>
      <c r="E16" s="966" t="n"/>
    </row>
    <row r="17" ht="54.75" customHeight="1" s="981">
      <c r="A17" s="453" t="inlineStr">
        <is>
          <t>CÁCH 1
(Dễ nhất)</t>
        </is>
      </c>
      <c r="B17" s="276" t="inlineStr">
        <is>
          <t>Upload file lên Claude.ai</t>
        </is>
      </c>
      <c r="C17" s="1053" t="inlineStr">
        <is>
          <t>Gửi file lên đây → tôi cập nhật số liệu trong 30 giây → tải về dùng</t>
        </is>
      </c>
      <c r="D17" s="1118" t="inlineStr">
        <is>
          <t>Đang dùng cách này ✅</t>
        </is>
      </c>
      <c r="E17" s="966" t="n"/>
    </row>
    <row r="18" ht="54.75" customHeight="1" s="981">
      <c r="A18" s="454" t="inlineStr">
        <is>
          <t>CÁCH 2
(Python)</t>
        </is>
      </c>
      <c r="B18" s="276" t="inlineStr">
        <is>
          <t>Chạy update_prices.py</t>
        </is>
      </c>
      <c r="C18" s="1053" t="inlineStr">
        <is>
          <t>pip install vnstock openpyxl
python update_prices.py
→ File tự cập nhật</t>
        </is>
      </c>
      <c r="D18" s="1111" t="inlineStr">
        <is>
          <t>Cần cài Python trên máy</t>
        </is>
      </c>
      <c r="E18" s="966" t="n"/>
    </row>
    <row r="19" ht="54.75" customHeight="1" s="981">
      <c r="A19" s="454" t="inlineStr">
        <is>
          <t>CÁCH 3
(VBA)</t>
        </is>
      </c>
      <c r="B19" s="276" t="inlineStr">
        <is>
          <t>Paste code vào Module1</t>
        </is>
      </c>
      <c r="C19" s="1053" t="inlineStr">
        <is>
          <t>Alt+F11 → Module1 → Paste code CapNhatGia từ sheet 📤 VBA Export → Ctrl+S → Enable Content</t>
        </is>
      </c>
      <c r="D19" s="1111" t="inlineStr">
        <is>
          <t>Cần làm 1 lần duy nhất</t>
        </is>
      </c>
      <c r="E19" s="966" t="n"/>
    </row>
    <row r="20" ht="15" customHeight="1" s="981">
      <c r="A20" s="1050" t="n"/>
      <c r="B20" s="1050" t="n"/>
      <c r="C20" s="1050" t="n"/>
      <c r="D20" s="1050" t="n"/>
      <c r="E20" s="1050" t="n"/>
    </row>
    <row r="21" ht="21.75" customHeight="1" s="981">
      <c r="A21" s="1119" t="inlineStr">
        <is>
          <t>▲  BẢNG LỌC NHANH — Nhớ 3 con số này</t>
        </is>
      </c>
      <c r="B21" s="965" t="n"/>
      <c r="C21" s="965" t="n"/>
      <c r="D21" s="965" t="n"/>
      <c r="E21" s="966" t="n"/>
    </row>
    <row r="22" ht="19.5" customHeight="1" s="981">
      <c r="A22" s="1217" t="inlineStr">
        <is>
          <t>P/E ≤ 10</t>
        </is>
      </c>
      <c r="B22" s="456" t="inlineStr">
        <is>
          <t>🟢 Cổ phiếu RẺ</t>
        </is>
      </c>
      <c r="C22" s="457" t="inlineStr">
        <is>
          <t>Mua ngay nếu ROE ≥ 15%</t>
        </is>
      </c>
      <c r="D22" s="1112" t="inlineStr">
        <is>
          <t>MBB (6.4), VIX (6.0) ← Đang rẻ</t>
        </is>
      </c>
      <c r="E22" s="966" t="n"/>
    </row>
    <row r="23" ht="19.5" customHeight="1" s="981">
      <c r="A23" s="1217" t="inlineStr">
        <is>
          <t>ROE ≥ 20%</t>
        </is>
      </c>
      <c r="B23" s="456" t="inlineStr">
        <is>
          <t>🟢 DN CHẤT LƯỢNG CAO</t>
        </is>
      </c>
      <c r="C23" s="457" t="inlineStr">
        <is>
          <t>Lợi thế cạnh tranh bền vững</t>
        </is>
      </c>
      <c r="D23" s="1112" t="inlineStr">
        <is>
          <t>VIX 28.8%, VNM 23.8%, FPT 24.2%</t>
        </is>
      </c>
      <c r="E23" s="966" t="n"/>
    </row>
    <row r="24" ht="19.5" customHeight="1" s="981">
      <c r="A24" s="1217" t="inlineStr">
        <is>
          <t>YTM ≥ 7%</t>
        </is>
      </c>
      <c r="B24" s="456" t="inlineStr">
        <is>
          <t>🟢 Trái phiếu HẤP DẪN</t>
        </is>
      </c>
      <c r="C24" s="457" t="inlineStr">
        <is>
          <t>Tốt hơn gửi tiết kiệm 4.5%</t>
        </is>
      </c>
      <c r="D24" s="1112" t="inlineStr">
        <is>
          <t>VCB Bond 7.5%, TCB Bond 7.8%</t>
        </is>
      </c>
      <c r="E24" s="966" t="n"/>
    </row>
    <row r="25" ht="19.5" customHeight="1" s="981">
      <c r="A25" s="1217" t="inlineStr">
        <is>
          <t>P/B ≤ 1.5</t>
        </is>
      </c>
      <c r="B25" s="456" t="inlineStr">
        <is>
          <t>🟢 Rẻ hơn giá trị sổ sách</t>
        </is>
      </c>
      <c r="C25" s="457" t="inlineStr">
        <is>
          <t>Đặc biệt tốt với ngân hàng</t>
        </is>
      </c>
      <c r="D25" s="1112" t="inlineStr">
        <is>
          <t>MBB P/B 1.36 ← rất tốt</t>
        </is>
      </c>
      <c r="E25" s="966" t="n"/>
    </row>
    <row r="26" ht="19.5" customHeight="1" s="981">
      <c r="A26" s="283" t="inlineStr">
        <is>
          <t>P/E &gt; 20</t>
        </is>
      </c>
      <c r="B26" s="458" t="inlineStr">
        <is>
          <t>🔴 QUÁ ĐẮT</t>
        </is>
      </c>
      <c r="C26" s="459" t="inlineStr">
        <is>
          <t>Tránh mua mới, xem xét bán bớt</t>
        </is>
      </c>
      <c r="D26" s="1114" t="inlineStr">
        <is>
          <t>Cẩn thận với CP tăng trưởng</t>
        </is>
      </c>
      <c r="E26" s="966" t="n"/>
    </row>
    <row r="27" ht="19.5" customHeight="1" s="981">
      <c r="A27" s="283" t="inlineStr">
        <is>
          <t>YTM &lt; 3%</t>
        </is>
      </c>
      <c r="B27" s="458" t="inlineStr">
        <is>
          <t>🔴 TP lãi thấp</t>
        </is>
      </c>
      <c r="C27" s="459" t="inlineStr">
        <is>
          <t>Chỉ để bảo toàn vốn</t>
        </is>
      </c>
      <c r="D27" s="1114" t="inlineStr">
        <is>
          <t>TPCP 2Y = 2.75% — an toàn tuyệt đối</t>
        </is>
      </c>
      <c r="E27" s="966" t="n"/>
    </row>
    <row r="28" ht="15" customHeight="1" s="981">
      <c r="A28" s="1050" t="n"/>
      <c r="B28" s="1050" t="n"/>
      <c r="C28" s="1050" t="n"/>
      <c r="D28" s="1050" t="n"/>
      <c r="E28" s="1050" t="n"/>
    </row>
    <row r="29" ht="27.75" customHeight="1" s="981">
      <c r="A29" s="1113" t="inlineStr">
        <is>
          <t>🆕 CÁCH MỚI: TRA CỨU MÃ NHANH (Đổi mã chạy thông)</t>
        </is>
      </c>
      <c r="B29" s="965" t="n"/>
      <c r="C29" s="965" t="n"/>
      <c r="D29" s="965" t="n"/>
      <c r="E29" s="966" t="n"/>
    </row>
    <row r="30" ht="30" customHeight="1" s="981">
      <c r="A30" s="1102" t="inlineStr">
        <is>
          <t>So sánh:</t>
        </is>
      </c>
      <c r="B30" s="1115" t="inlineStr">
        <is>
          <t>AutoFilter (mũi tên header) phù hợp khi: cần lọc nhiều mã theo điều kiện (P/E &lt; 15, ROE &gt; 20%)</t>
        </is>
      </c>
      <c r="C30" s="965" t="n"/>
      <c r="D30" s="965" t="n"/>
      <c r="E30" s="966" t="n"/>
    </row>
    <row r="31" ht="30" customHeight="1" s="981">
      <c r="A31" s="1050" t="n"/>
      <c r="B31" s="1109" t="inlineStr">
        <is>
          <t>🎯 TRA CỨU MÃ phù hợp khi: cần xem nhanh thông tin 1 mã cụ thể — gõ vào ô vàng, mọi thứ tự ra</t>
        </is>
      </c>
      <c r="C31" s="965" t="n"/>
      <c r="D31" s="965" t="n"/>
      <c r="E31" s="966" t="n"/>
    </row>
  </sheetData>
  <mergeCells count="21">
    <mergeCell ref="D19:E19"/>
    <mergeCell ref="B30:E30"/>
    <mergeCell ref="A11:E11"/>
    <mergeCell ref="A1:E1"/>
    <mergeCell ref="D22:E22"/>
    <mergeCell ref="A16:E16"/>
    <mergeCell ref="D13:E13"/>
    <mergeCell ref="D27:E27"/>
    <mergeCell ref="D17:E17"/>
    <mergeCell ref="A3:E3"/>
    <mergeCell ref="A21:E21"/>
    <mergeCell ref="B31:E31"/>
    <mergeCell ref="A2:E2"/>
    <mergeCell ref="D18:E18"/>
    <mergeCell ref="D12:E12"/>
    <mergeCell ref="D25:E25"/>
    <mergeCell ref="A29:E29"/>
    <mergeCell ref="D24:E24"/>
    <mergeCell ref="D23:E23"/>
    <mergeCell ref="D14:E14"/>
    <mergeCell ref="D26:E26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42.5546875" customWidth="1" style="981" min="2" max="2"/>
    <col width="51.109375" customWidth="1" style="981" min="3" max="3"/>
    <col width="19.33203125" customWidth="1" style="981" min="4" max="4"/>
    <col width="86.33203125" customWidth="1" style="981" min="5" max="5"/>
  </cols>
  <sheetData>
    <row r="1" ht="36" customHeight="1" s="981">
      <c r="A1" s="1123" t="inlineStr">
        <is>
          <t>🗂  FILE QUẢN LÝ ĐẦU TƯ TOÀN DIỆN  |  Sói Cô Độc · 09/05/2026</t>
        </is>
      </c>
      <c r="B1" s="965" t="n"/>
      <c r="C1" s="965" t="n"/>
      <c r="D1" s="965" t="n"/>
      <c r="E1" s="966" t="n"/>
    </row>
    <row r="2" ht="15.75" customHeight="1" s="981">
      <c r="A2" s="1128" t="inlineStr">
        <is>
          <t>Tổng hợp từ 2 file → 48 sheet  |  Quản lý Quỹ · Bộ Lọc · Tích Sản · Sự Nghiệp · Thiện Nguyện · Vĩ Mô</t>
        </is>
      </c>
      <c r="B2" s="965" t="n"/>
      <c r="C2" s="965" t="n"/>
      <c r="D2" s="965" t="n"/>
      <c r="E2" s="966" t="n"/>
    </row>
    <row r="3" ht="21.75" customHeight="1" s="981">
      <c r="A3" s="460" t="inlineStr">
        <is>
          <t>#</t>
        </is>
      </c>
      <c r="B3" s="460" t="inlineStr">
        <is>
          <t>TÊN SHEET</t>
        </is>
      </c>
      <c r="C3" s="460" t="inlineStr">
        <is>
          <t>MÔ TẢ</t>
        </is>
      </c>
      <c r="D3" s="460" t="inlineStr">
        <is>
          <t>NHÓM</t>
        </is>
      </c>
      <c r="E3" s="460" t="inlineStr">
        <is>
          <t>LOẠI</t>
        </is>
      </c>
    </row>
    <row r="4" ht="21.75" customHeight="1" s="981">
      <c r="A4" s="1047" t="inlineStr">
        <is>
          <t>◆  ⚙️ HỆ THỐNG</t>
        </is>
      </c>
      <c r="B4" s="965" t="n"/>
      <c r="C4" s="965" t="n"/>
      <c r="D4" s="965" t="n"/>
      <c r="E4" s="966" t="n"/>
    </row>
    <row r="5" ht="18" customHeight="1" s="981">
      <c r="A5" s="461" t="n">
        <v>1</v>
      </c>
      <c r="B5" s="462" t="inlineStr">
        <is>
          <t>🗂 ĐIỀU HƯỚNG</t>
        </is>
      </c>
      <c r="C5" s="463" t="inlineStr">
        <is>
          <t>Bản đồ toàn bộ file — điều hướng nhanh đến 48 sheet</t>
        </is>
      </c>
      <c r="D5" s="462" t="inlineStr">
        <is>
          <t>SYS</t>
        </is>
      </c>
      <c r="E5" s="464" t="inlineStr">
        <is>
          <t>⚙️</t>
        </is>
      </c>
    </row>
    <row r="6" ht="18" customHeight="1" s="981">
      <c r="A6" s="465" t="n">
        <v>2</v>
      </c>
      <c r="B6" s="466" t="inlineStr">
        <is>
          <t>HƯỚNG DẪN SỬ DỤNG</t>
        </is>
      </c>
      <c r="C6" s="467" t="inlineStr">
        <is>
          <t>Hướng dẫn nhập liệu &amp; cách dùng file</t>
        </is>
      </c>
      <c r="D6" s="466" t="inlineStr">
        <is>
          <t>CORE</t>
        </is>
      </c>
      <c r="E6" s="468" t="inlineStr">
        <is>
          <t>⚙️</t>
        </is>
      </c>
    </row>
    <row r="7" ht="18" customHeight="1" s="981">
      <c r="A7" s="461" t="n">
        <v>3</v>
      </c>
      <c r="B7" s="462" t="inlineStr">
        <is>
          <t xml:space="preserve">HỆ THỐNG QUẢN LÝ </t>
        </is>
      </c>
      <c r="C7" s="463" t="inlineStr">
        <is>
          <t>⭐ Sheet chính: danh mục 8 mã, lãi/lỗ, tín hiệu AI</t>
        </is>
      </c>
      <c r="D7" s="462" t="inlineStr">
        <is>
          <t>CORE</t>
        </is>
      </c>
      <c r="E7" s="464" t="inlineStr">
        <is>
          <t>⚙️</t>
        </is>
      </c>
    </row>
    <row r="8" ht="18" customHeight="1" s="981">
      <c r="A8" s="465" t="n">
        <v>4</v>
      </c>
      <c r="B8" s="466" t="inlineStr">
        <is>
          <t>🔄 Cập Nhật Giá</t>
        </is>
      </c>
      <c r="C8" s="467" t="inlineStr">
        <is>
          <t>Nhập giá thủ công — cập nhật toàn bộ danh mục</t>
        </is>
      </c>
      <c r="D8" s="466" t="inlineStr">
        <is>
          <t>CORE</t>
        </is>
      </c>
      <c r="E8" s="468" t="inlineStr">
        <is>
          <t>⚙️</t>
        </is>
      </c>
    </row>
    <row r="9" ht="18" customHeight="1" s="981">
      <c r="A9" s="461" t="n">
        <v>5</v>
      </c>
      <c r="B9" s="462" t="inlineStr">
        <is>
          <t>📡 LIVE PRICE FEED</t>
        </is>
      </c>
      <c r="C9" s="463" t="inlineStr">
        <is>
          <t>Bảng giá thời gian thực 8 mã</t>
        </is>
      </c>
      <c r="D9" s="462" t="inlineStr">
        <is>
          <t>CORE</t>
        </is>
      </c>
      <c r="E9" s="464" t="inlineStr">
        <is>
          <t>⚙️</t>
        </is>
      </c>
    </row>
    <row r="10" ht="18" customHeight="1" s="981">
      <c r="A10" s="465" t="n">
        <v>6</v>
      </c>
      <c r="B10" s="466" t="inlineStr">
        <is>
          <t>📡 Lấy Số Liệu Thực</t>
        </is>
      </c>
      <c r="C10" s="467" t="inlineStr">
        <is>
          <t>Hướng dẫn fetch dữ liệu tự động từ API</t>
        </is>
      </c>
      <c r="D10" s="466" t="inlineStr">
        <is>
          <t>CORE</t>
        </is>
      </c>
      <c r="E10" s="468" t="inlineStr">
        <is>
          <t>⚙️</t>
        </is>
      </c>
    </row>
    <row r="11" ht="18" customHeight="1" s="981">
      <c r="A11" s="461" t="n">
        <v>7</v>
      </c>
      <c r="B11" s="462" t="inlineStr">
        <is>
          <t>⚡ POWER QUERY GUIDE</t>
        </is>
      </c>
      <c r="C11" s="463" t="inlineStr">
        <is>
          <t>Kết nối dữ liệu tự động qua Power Query</t>
        </is>
      </c>
      <c r="D11" s="462" t="inlineStr">
        <is>
          <t>GUIDE</t>
        </is>
      </c>
      <c r="E11" s="464" t="inlineStr">
        <is>
          <t>⚙️</t>
        </is>
      </c>
    </row>
    <row r="12" ht="18" customHeight="1" s="981">
      <c r="A12" s="465" t="n">
        <v>8</v>
      </c>
      <c r="B12" s="466" t="inlineStr">
        <is>
          <t>🐍 PYTHON AUTO</t>
        </is>
      </c>
      <c r="C12" s="467" t="inlineStr">
        <is>
          <t>Script Python tự động fetch giá thị trường</t>
        </is>
      </c>
      <c r="D12" s="466" t="inlineStr">
        <is>
          <t>GUIDE</t>
        </is>
      </c>
      <c r="E12" s="468" t="inlineStr">
        <is>
          <t>⚙️</t>
        </is>
      </c>
    </row>
    <row r="13" ht="18" customHeight="1" s="981">
      <c r="A13" s="461" t="n">
        <v>9</v>
      </c>
      <c r="B13" s="462" t="inlineStr">
        <is>
          <t>🌐 API SOURCES</t>
        </is>
      </c>
      <c r="C13" s="463" t="inlineStr">
        <is>
          <t>Danh sách nguồn API dữ liệu tài chính VN</t>
        </is>
      </c>
      <c r="D13" s="462" t="inlineStr">
        <is>
          <t>GUIDE</t>
        </is>
      </c>
      <c r="E13" s="464" t="inlineStr">
        <is>
          <t>⚙️</t>
        </is>
      </c>
    </row>
    <row r="14" ht="18" customHeight="1" s="981">
      <c r="A14" s="465" t="n">
        <v>10</v>
      </c>
      <c r="B14" s="466" t="inlineStr">
        <is>
          <t>📤 VBA Export &amp; Automation</t>
        </is>
      </c>
      <c r="C14" s="467" t="inlineStr">
        <is>
          <t>Code VBA: GhiLịchSử + ExportPPTX + TínhQuỹTâmSáng</t>
        </is>
      </c>
      <c r="D14" s="466" t="inlineStr">
        <is>
          <t>GUIDE</t>
        </is>
      </c>
      <c r="E14" s="468" t="inlineStr">
        <is>
          <t>⚙️</t>
        </is>
      </c>
    </row>
    <row r="15" ht="18" customHeight="1" s="981">
      <c r="A15" s="461" t="n">
        <v>11</v>
      </c>
      <c r="B15" s="462" t="inlineStr">
        <is>
          <t>Chart1</t>
        </is>
      </c>
      <c r="C15" s="463" t="inlineStr">
        <is>
          <t>Chart helper (ẩn)</t>
        </is>
      </c>
      <c r="D15" s="462" t="inlineStr">
        <is>
          <t>SYS</t>
        </is>
      </c>
      <c r="E15" s="464" t="inlineStr">
        <is>
          <t>⚙️</t>
        </is>
      </c>
    </row>
    <row r="16" ht="18" customHeight="1" s="981">
      <c r="A16" s="465" t="n">
        <v>12</v>
      </c>
      <c r="B16" s="466" t="inlineStr">
        <is>
          <t>Trang_tính1</t>
        </is>
      </c>
      <c r="C16" s="467" t="inlineStr">
        <is>
          <t>Sheet dự phòng</t>
        </is>
      </c>
      <c r="D16" s="466" t="inlineStr">
        <is>
          <t>SYS</t>
        </is>
      </c>
      <c r="E16" s="468" t="inlineStr">
        <is>
          <t>⚙️</t>
        </is>
      </c>
    </row>
    <row r="17" ht="21.75" customHeight="1" s="981">
      <c r="A17" s="1122" t="inlineStr">
        <is>
          <t>◆  📊 PHÂN TÍCH</t>
        </is>
      </c>
      <c r="B17" s="965" t="n"/>
      <c r="C17" s="965" t="n"/>
      <c r="D17" s="965" t="n"/>
      <c r="E17" s="966" t="n"/>
    </row>
    <row r="18" ht="18" customHeight="1" s="981">
      <c r="A18" s="465" t="n">
        <v>13</v>
      </c>
      <c r="B18" s="469" t="inlineStr">
        <is>
          <t>📈 Dashboard KPI</t>
        </is>
      </c>
      <c r="C18" s="467" t="inlineStr">
        <is>
          <t>Dashboard: lợi nhuận, rủi ro, phân bổ ngành</t>
        </is>
      </c>
      <c r="D18" s="469" t="inlineStr">
        <is>
          <t>DASH</t>
        </is>
      </c>
      <c r="E18" s="470" t="inlineStr">
        <is>
          <t>📊</t>
        </is>
      </c>
    </row>
    <row r="19" ht="18" customHeight="1" s="981">
      <c r="A19" s="461" t="n">
        <v>14</v>
      </c>
      <c r="B19" s="471" t="inlineStr">
        <is>
          <t>📊 Tổng Quan</t>
        </is>
      </c>
      <c r="C19" s="463" t="inlineStr">
        <is>
          <t>Tổng quan tình hình thị trường và danh mục</t>
        </is>
      </c>
      <c r="D19" s="471" t="inlineStr">
        <is>
          <t>DASH</t>
        </is>
      </c>
      <c r="E19" s="472" t="inlineStr">
        <is>
          <t>📊</t>
        </is>
      </c>
    </row>
    <row r="20" ht="18" customHeight="1" s="981">
      <c r="A20" s="465" t="n">
        <v>15</v>
      </c>
      <c r="B20" s="469" t="inlineStr">
        <is>
          <t>📊 Performance</t>
        </is>
      </c>
      <c r="C20" s="467" t="inlineStr">
        <is>
          <t>Hiệu suất danh mục theo thời gian</t>
        </is>
      </c>
      <c r="D20" s="469" t="inlineStr">
        <is>
          <t>ANAL</t>
        </is>
      </c>
      <c r="E20" s="470" t="inlineStr">
        <is>
          <t>📊</t>
        </is>
      </c>
    </row>
    <row r="21" ht="18" customHeight="1" s="981">
      <c r="A21" s="461" t="n">
        <v>16</v>
      </c>
      <c r="B21" s="471" t="inlineStr">
        <is>
          <t>💧 Thanh Khoản ADTV</t>
        </is>
      </c>
      <c r="C21" s="463" t="inlineStr">
        <is>
          <t>Phân tích thanh khoản trung bình ngày</t>
        </is>
      </c>
      <c r="D21" s="471" t="inlineStr">
        <is>
          <t>ANAL</t>
        </is>
      </c>
      <c r="E21" s="472" t="inlineStr">
        <is>
          <t>📊</t>
        </is>
      </c>
    </row>
    <row r="22" ht="18" customHeight="1" s="981">
      <c r="A22" s="465" t="n">
        <v>17</v>
      </c>
      <c r="B22" s="469" t="inlineStr">
        <is>
          <t>🏭 Ngành &amp; Tỷ Trọng</t>
        </is>
      </c>
      <c r="C22" s="467" t="inlineStr">
        <is>
          <t>Phân bổ theo ngành, tỷ trọng thực vs mục tiêu</t>
        </is>
      </c>
      <c r="D22" s="469" t="inlineStr">
        <is>
          <t>ANAL</t>
        </is>
      </c>
      <c r="E22" s="470" t="inlineStr">
        <is>
          <t>📊</t>
        </is>
      </c>
    </row>
    <row r="23" ht="18" customHeight="1" s="981">
      <c r="A23" s="461" t="n">
        <v>18</v>
      </c>
      <c r="B23" s="471" t="inlineStr">
        <is>
          <t>🌱 ESG Scoring</t>
        </is>
      </c>
      <c r="C23" s="463" t="inlineStr">
        <is>
          <t>Chấm điểm ESG — Môi trường, Xã hội, Quản trị</t>
        </is>
      </c>
      <c r="D23" s="471" t="inlineStr">
        <is>
          <t>ANAL</t>
        </is>
      </c>
      <c r="E23" s="472" t="inlineStr">
        <is>
          <t>📊</t>
        </is>
      </c>
    </row>
    <row r="24" ht="18" customHeight="1" s="981">
      <c r="A24" s="465" t="n">
        <v>19</v>
      </c>
      <c r="B24" s="469" t="inlineStr">
        <is>
          <t>🧠 Phân Tích Sâu</t>
        </is>
      </c>
      <c r="C24" s="467" t="inlineStr">
        <is>
          <t>Phân tích chi tiết từng mã, định giá DCF</t>
        </is>
      </c>
      <c r="D24" s="469" t="inlineStr">
        <is>
          <t>ANAL</t>
        </is>
      </c>
      <c r="E24" s="470" t="inlineStr">
        <is>
          <t>📊</t>
        </is>
      </c>
    </row>
    <row r="25" ht="18" customHeight="1" s="981">
      <c r="A25" s="461" t="n">
        <v>20</v>
      </c>
      <c r="B25" s="471" t="inlineStr">
        <is>
          <t>🏅 Điểm &amp; Đề Xuất</t>
        </is>
      </c>
      <c r="C25" s="463" t="inlineStr">
        <is>
          <t>Chấm điểm tổng hợp và đề xuất hành động</t>
        </is>
      </c>
      <c r="D25" s="471" t="inlineStr">
        <is>
          <t>ANAL</t>
        </is>
      </c>
      <c r="E25" s="472" t="inlineStr">
        <is>
          <t>📊</t>
        </is>
      </c>
    </row>
    <row r="26" ht="18" customHeight="1" s="981">
      <c r="A26" s="465" t="n">
        <v>21</v>
      </c>
      <c r="B26" s="469" t="inlineStr">
        <is>
          <t>📈 ROE·ROA·ROS·Chart</t>
        </is>
      </c>
      <c r="C26" s="467" t="inlineStr">
        <is>
          <t>Biểu đồ ROE, ROA, ROS theo thời gian</t>
        </is>
      </c>
      <c r="D26" s="469" t="inlineStr">
        <is>
          <t>CHART</t>
        </is>
      </c>
      <c r="E26" s="470" t="inlineStr">
        <is>
          <t>📊</t>
        </is>
      </c>
    </row>
    <row r="27" ht="18" customHeight="1" s="981">
      <c r="A27" s="461" t="n">
        <v>22</v>
      </c>
      <c r="B27" s="471" t="inlineStr">
        <is>
          <t>Biểu Đồ</t>
        </is>
      </c>
      <c r="C27" s="463" t="inlineStr">
        <is>
          <t>Các biểu đồ phân tích danh mục</t>
        </is>
      </c>
      <c r="D27" s="471" t="inlineStr">
        <is>
          <t>CHART</t>
        </is>
      </c>
      <c r="E27" s="472" t="inlineStr">
        <is>
          <t>📊</t>
        </is>
      </c>
    </row>
    <row r="28" ht="18" customHeight="1" s="981">
      <c r="A28" s="465" t="n">
        <v>23</v>
      </c>
      <c r="B28" s="469" t="inlineStr">
        <is>
          <t>🧠 Sơ Đồ Tư Duy</t>
        </is>
      </c>
      <c r="C28" s="467" t="inlineStr">
        <is>
          <t>Sơ đồ tư duy chiến lược đầu tư</t>
        </is>
      </c>
      <c r="D28" s="469" t="inlineStr">
        <is>
          <t>MIND</t>
        </is>
      </c>
      <c r="E28" s="470" t="inlineStr">
        <is>
          <t>📊</t>
        </is>
      </c>
    </row>
    <row r="29" ht="21.75" customHeight="1" s="981">
      <c r="A29" s="1120" t="inlineStr">
        <is>
          <t>◆  ⚠️ RỦI RO</t>
        </is>
      </c>
      <c r="B29" s="965" t="n"/>
      <c r="C29" s="965" t="n"/>
      <c r="D29" s="965" t="n"/>
      <c r="E29" s="966" t="n"/>
    </row>
    <row r="30" ht="18" customHeight="1" s="981">
      <c r="A30" s="465" t="n">
        <v>24</v>
      </c>
      <c r="B30" s="473" t="inlineStr">
        <is>
          <t>🌪️ Macro Stress</t>
        </is>
      </c>
      <c r="C30" s="467" t="inlineStr">
        <is>
          <t>Stress test kịch bản vĩ mô (suy thoái, lãi suất...)</t>
        </is>
      </c>
      <c r="D30" s="473" t="inlineStr">
        <is>
          <t>RISK</t>
        </is>
      </c>
      <c r="E30" s="474" t="inlineStr">
        <is>
          <t>⚠️</t>
        </is>
      </c>
    </row>
    <row r="31" ht="18" customHeight="1" s="981">
      <c r="A31" s="461" t="n">
        <v>25</v>
      </c>
      <c r="B31" s="475" t="inlineStr">
        <is>
          <t>⚠️ Rủi Ro &amp; Stress</t>
        </is>
      </c>
      <c r="C31" s="463" t="inlineStr">
        <is>
          <t>Ma trận rủi ro, VaR, Sharpe, Beta danh mục</t>
        </is>
      </c>
      <c r="D31" s="475" t="inlineStr">
        <is>
          <t>RISK</t>
        </is>
      </c>
      <c r="E31" s="476" t="inlineStr">
        <is>
          <t>⚠️</t>
        </is>
      </c>
    </row>
    <row r="32" ht="18" customHeight="1" s="981">
      <c r="A32" s="465" t="n">
        <v>26</v>
      </c>
      <c r="B32" s="473" t="inlineStr">
        <is>
          <t>🔬 Ma Trận &amp; Cảnh Báo</t>
        </is>
      </c>
      <c r="C32" s="467" t="inlineStr">
        <is>
          <t>Ma trận tương quan tài sản và cảnh báo sớm</t>
        </is>
      </c>
      <c r="D32" s="473" t="inlineStr">
        <is>
          <t>RISK</t>
        </is>
      </c>
      <c r="E32" s="474" t="inlineStr">
        <is>
          <t>⚠️</t>
        </is>
      </c>
    </row>
    <row r="33" ht="21.75" customHeight="1" s="981">
      <c r="A33" s="1131" t="inlineStr">
        <is>
          <t>◆  📈 TÍCH SẢN</t>
        </is>
      </c>
      <c r="B33" s="965" t="n"/>
      <c r="C33" s="965" t="n"/>
      <c r="D33" s="965" t="n"/>
      <c r="E33" s="966" t="n"/>
    </row>
    <row r="34" ht="18" customHeight="1" s="981">
      <c r="A34" s="465" t="n">
        <v>27</v>
      </c>
      <c r="B34" s="477" t="inlineStr">
        <is>
          <t>📈 Lịch Sử Tài Sản</t>
        </is>
      </c>
      <c r="C34" s="467" t="inlineStr">
        <is>
          <t>Equity Curve: lịch sử 9 tháng + Macro VBA ghi tự động</t>
        </is>
      </c>
      <c r="D34" s="477" t="inlineStr">
        <is>
          <t>HIST</t>
        </is>
      </c>
      <c r="E34" s="478" t="inlineStr">
        <is>
          <t>📈</t>
        </is>
      </c>
    </row>
    <row r="35" ht="18" customHeight="1" s="981">
      <c r="A35" s="461" t="n">
        <v>28</v>
      </c>
      <c r="B35" s="479" t="inlineStr">
        <is>
          <t>🔮 Tích Sản Dài Hạn</t>
        </is>
      </c>
      <c r="C35" s="463" t="inlineStr">
        <is>
          <t>Mô phỏng CAGR 8/12/15/20% × 50 năm + DCA</t>
        </is>
      </c>
      <c r="D35" s="479" t="inlineStr">
        <is>
          <t>SIM</t>
        </is>
      </c>
      <c r="E35" s="480" t="inlineStr">
        <is>
          <t>📈</t>
        </is>
      </c>
    </row>
    <row r="36" ht="18" customHeight="1" s="981">
      <c r="A36" s="465" t="n">
        <v>29</v>
      </c>
      <c r="B36" s="477" t="inlineStr">
        <is>
          <t>🏆 FIRE Countdown</t>
        </is>
      </c>
      <c r="C36" s="467" t="inlineStr">
        <is>
          <t>Sinh 2000 · 26 tuổi · Roadmap FIRE tuổi 30/35/40/50</t>
        </is>
      </c>
      <c r="D36" s="477" t="inlineStr">
        <is>
          <t>FIRE</t>
        </is>
      </c>
      <c r="E36" s="478" t="inlineStr">
        <is>
          <t>📈</t>
        </is>
      </c>
    </row>
    <row r="37" ht="21.75" customHeight="1" s="981">
      <c r="A37" s="1124" t="inlineStr">
        <is>
          <t>◆  💰 TÀI CHÍNH</t>
        </is>
      </c>
      <c r="B37" s="965" t="n"/>
      <c r="C37" s="965" t="n"/>
      <c r="D37" s="965" t="n"/>
      <c r="E37" s="966" t="n"/>
    </row>
    <row r="38" ht="18" customHeight="1" s="981">
      <c r="A38" s="465" t="n">
        <v>30</v>
      </c>
      <c r="B38" s="466" t="inlineStr">
        <is>
          <t>💰 Cổ Tức &amp; Thuế</t>
        </is>
      </c>
      <c r="C38" s="467" t="inlineStr">
        <is>
          <t>Log cổ tức, thuế TNCN 5%, thuế bán CK, đối chiếu VPBank</t>
        </is>
      </c>
      <c r="D38" s="466" t="inlineStr">
        <is>
          <t>FIN</t>
        </is>
      </c>
      <c r="E38" s="468" t="inlineStr">
        <is>
          <t>💰</t>
        </is>
      </c>
    </row>
    <row r="39" ht="18" customHeight="1" s="981">
      <c r="A39" s="461" t="n">
        <v>31</v>
      </c>
      <c r="B39" s="462" t="inlineStr">
        <is>
          <t>💵 Tiền Chờ Giải Ngân</t>
        </is>
      </c>
      <c r="C39" s="463" t="inlineStr">
        <is>
          <t>GBond · iPower TCBS · iFund MBS + kế hoạch 14.28M/mã</t>
        </is>
      </c>
      <c r="D39" s="462" t="inlineStr">
        <is>
          <t>FIN</t>
        </is>
      </c>
      <c r="E39" s="464" t="inlineStr">
        <is>
          <t>💰</t>
        </is>
      </c>
    </row>
    <row r="40" ht="18" customHeight="1" s="981">
      <c r="A40" s="465" t="n">
        <v>32</v>
      </c>
      <c r="B40" s="466" t="inlineStr">
        <is>
          <t>💛 Quỹ Tâm Sáng</t>
        </is>
      </c>
      <c r="C40" s="467" t="inlineStr">
        <is>
          <t>Auto trích 30% lợi nhuận ròng → thiện nguyện ĐHKG</t>
        </is>
      </c>
      <c r="D40" s="466" t="inlineStr">
        <is>
          <t>FUND</t>
        </is>
      </c>
      <c r="E40" s="468" t="inlineStr">
        <is>
          <t>💰</t>
        </is>
      </c>
    </row>
    <row r="41" ht="21.75" customHeight="1" s="981">
      <c r="A41" s="1130" t="inlineStr">
        <is>
          <t>◆  🥇 TÀI SẢN</t>
        </is>
      </c>
      <c r="B41" s="965" t="n"/>
      <c r="C41" s="965" t="n"/>
      <c r="D41" s="965" t="n"/>
      <c r="E41" s="966" t="n"/>
    </row>
    <row r="42" ht="18" customHeight="1" s="981">
      <c r="A42" s="465" t="n">
        <v>33</v>
      </c>
      <c r="B42" s="465" t="inlineStr">
        <is>
          <t>🥇 Vàng Phòng Vệ</t>
        </is>
      </c>
      <c r="C42" s="467" t="inlineStr">
        <is>
          <t>SJC Nhẫn 9999: lịch sử tích lũy + đối chiếu XAU/USD</t>
        </is>
      </c>
      <c r="D42" s="465" t="inlineStr">
        <is>
          <t>GOLD</t>
        </is>
      </c>
      <c r="E42" s="481" t="inlineStr">
        <is>
          <t>🥇</t>
        </is>
      </c>
    </row>
    <row r="43" ht="18" customHeight="1" s="981">
      <c r="A43" s="461" t="n">
        <v>34</v>
      </c>
      <c r="B43" s="461" t="inlineStr">
        <is>
          <t>🏘 BĐS Hòn Đất</t>
        </is>
      </c>
      <c r="C43" s="463" t="inlineStr">
        <is>
          <t>Khảo sát đất Hòn Đất-Kiên Giang cho startup ngập lụt</t>
        </is>
      </c>
      <c r="D43" s="461" t="inlineStr">
        <is>
          <t>RE</t>
        </is>
      </c>
      <c r="E43" s="482" t="inlineStr">
        <is>
          <t>🥇</t>
        </is>
      </c>
    </row>
    <row r="44" ht="21.75" customHeight="1" s="981">
      <c r="A44" s="1126" t="inlineStr">
        <is>
          <t>◆  🌍 VĨ MÔ</t>
        </is>
      </c>
      <c r="B44" s="965" t="n"/>
      <c r="C44" s="965" t="n"/>
      <c r="D44" s="965" t="n"/>
      <c r="E44" s="966" t="n"/>
    </row>
    <row r="45" ht="18" customHeight="1" s="981">
      <c r="A45" s="461" t="n">
        <v>35</v>
      </c>
      <c r="B45" s="483" t="inlineStr">
        <is>
          <t>🌍 Vĩ Mô &amp; Chiến Lược</t>
        </is>
      </c>
      <c r="C45" s="463" t="inlineStr">
        <is>
          <t>10 chỉ số vĩ mô VN+TG · Tín hiệu GIẢI NGÂN/PHÒNG THỦ</t>
        </is>
      </c>
      <c r="D45" s="483" t="inlineStr">
        <is>
          <t>MACRO</t>
        </is>
      </c>
      <c r="E45" s="484" t="inlineStr">
        <is>
          <t>🌍</t>
        </is>
      </c>
    </row>
    <row r="46" ht="21.75" customHeight="1" s="981">
      <c r="A46" s="1125" t="inlineStr">
        <is>
          <t>◆  🔍 BỘ LỌC</t>
        </is>
      </c>
      <c r="B46" s="965" t="n"/>
      <c r="C46" s="965" t="n"/>
      <c r="D46" s="965" t="n"/>
      <c r="E46" s="966" t="n"/>
    </row>
    <row r="47" ht="18" customHeight="1" s="981">
      <c r="A47" s="461" t="n">
        <v>36</v>
      </c>
      <c r="B47" s="485" t="inlineStr">
        <is>
          <t>📊 Dashboard 🔍</t>
        </is>
      </c>
      <c r="C47" s="463" t="inlineStr">
        <is>
          <t>Tổng quan bộ lọc: VN-Index, XAU, TPCP toàn cầu</t>
        </is>
      </c>
      <c r="D47" s="485" t="inlineStr">
        <is>
          <t>SCREEN</t>
        </is>
      </c>
      <c r="E47" s="486" t="inlineStr">
        <is>
          <t>🔍</t>
        </is>
      </c>
    </row>
    <row r="48" ht="18" customHeight="1" s="981">
      <c r="A48" s="465" t="n">
        <v>37</v>
      </c>
      <c r="B48" s="487" t="inlineStr">
        <is>
          <t>📈 Cổ Phiếu VN 🔍</t>
        </is>
      </c>
      <c r="C48" s="467" t="inlineStr">
        <is>
          <t>20 mã blue-chip VN: P/E, P/B, ROE, tín hiệu, quỹ sở hữu</t>
        </is>
      </c>
      <c r="D48" s="487" t="inlineStr">
        <is>
          <t>SCREEN</t>
        </is>
      </c>
      <c r="E48" s="488" t="inlineStr">
        <is>
          <t>🔍</t>
        </is>
      </c>
    </row>
    <row r="49" ht="18" customHeight="1" s="981">
      <c r="A49" s="461" t="n">
        <v>38</v>
      </c>
      <c r="B49" s="485" t="inlineStr">
        <is>
          <t>🏦 Trái Phiếu VN 🔍</t>
        </is>
      </c>
      <c r="C49" s="463" t="inlineStr">
        <is>
          <t>TPCP 2-30Y + DN bonds: YTM, xếp hạng, tỷ trọng</t>
        </is>
      </c>
      <c r="D49" s="485" t="inlineStr">
        <is>
          <t>SCREEN</t>
        </is>
      </c>
      <c r="E49" s="486" t="inlineStr">
        <is>
          <t>🔍</t>
        </is>
      </c>
    </row>
    <row r="50" ht="18" customHeight="1" s="981">
      <c r="A50" s="465" t="n">
        <v>39</v>
      </c>
      <c r="B50" s="487" t="inlineStr">
        <is>
          <t>🌐 Cổ Phiếu TG 🔍</t>
        </is>
      </c>
      <c r="C50" s="467" t="inlineStr">
        <is>
          <t>SPX, NDX, AAPL, NVDA, Nikkei, Shanghai, TSM...</t>
        </is>
      </c>
      <c r="D50" s="487" t="inlineStr">
        <is>
          <t>SCREEN</t>
        </is>
      </c>
      <c r="E50" s="488" t="inlineStr">
        <is>
          <t>🔍</t>
        </is>
      </c>
    </row>
    <row r="51" ht="18" customHeight="1" s="981">
      <c r="A51" s="461" t="n">
        <v>40</v>
      </c>
      <c r="B51" s="485" t="inlineStr">
        <is>
          <t>💵 Trái Phiếu TG 🔍</t>
        </is>
      </c>
      <c r="C51" s="463" t="inlineStr">
        <is>
          <t>US Treasury 2-30Y, Đức, Nhật, TQ, Anh, EM ETF</t>
        </is>
      </c>
      <c r="D51" s="485" t="inlineStr">
        <is>
          <t>SCREEN</t>
        </is>
      </c>
      <c r="E51" s="486" t="inlineStr">
        <is>
          <t>🔍</t>
        </is>
      </c>
    </row>
    <row r="52" ht="18" customHeight="1" s="981">
      <c r="A52" s="465" t="n">
        <v>41</v>
      </c>
      <c r="B52" s="487" t="inlineStr">
        <is>
          <t>🥇 Vàng &amp; Kim Loại 🔍</t>
        </is>
      </c>
      <c r="C52" s="467" t="inlineStr">
        <is>
          <t>SJC/DOJI/XAU/GLD ETF/Bạc/Đồng + phân tích dự báo</t>
        </is>
      </c>
      <c r="D52" s="487" t="inlineStr">
        <is>
          <t>SCREEN</t>
        </is>
      </c>
      <c r="E52" s="488" t="inlineStr">
        <is>
          <t>🔍</t>
        </is>
      </c>
    </row>
    <row r="53" ht="18" customHeight="1" s="981">
      <c r="A53" s="461" t="n">
        <v>42</v>
      </c>
      <c r="B53" s="485" t="inlineStr">
        <is>
          <t>🏛 Quỹ Lớn 🔍</t>
        </is>
      </c>
      <c r="C53" s="463" t="inlineStr">
        <is>
          <t>13 quỹ: Dragon, VinaCapital, Vanguard, BlackRock, PIMCO</t>
        </is>
      </c>
      <c r="D53" s="485" t="inlineStr">
        <is>
          <t>SCREEN</t>
        </is>
      </c>
      <c r="E53" s="486" t="inlineStr">
        <is>
          <t>🔍</t>
        </is>
      </c>
    </row>
    <row r="54" ht="21.75" customHeight="1" s="981">
      <c r="A54" s="1129" t="inlineStr">
        <is>
          <t>◆  🎓 SỰ NGHIỆP</t>
        </is>
      </c>
      <c r="B54" s="965" t="n"/>
      <c r="C54" s="965" t="n"/>
      <c r="D54" s="965" t="n"/>
      <c r="E54" s="966" t="n"/>
    </row>
    <row r="55" ht="18" customHeight="1" s="981">
      <c r="A55" s="461" t="n">
        <v>43</v>
      </c>
      <c r="B55" s="489" t="inlineStr">
        <is>
          <t>📅 Quyền CĐ &amp; ĐHCĐ</t>
        </is>
      </c>
      <c r="C55" s="463" t="inlineStr">
        <is>
          <t>Lịch ĐHCĐ 8 mã 2026, ngày chốt quyền, checklist</t>
        </is>
      </c>
      <c r="D55" s="489" t="inlineStr">
        <is>
          <t>CORP</t>
        </is>
      </c>
      <c r="E55" s="490" t="inlineStr">
        <is>
          <t>🎓</t>
        </is>
      </c>
    </row>
    <row r="56" ht="18" customHeight="1" s="981">
      <c r="A56" s="465" t="n">
        <v>44</v>
      </c>
      <c r="B56" s="491" t="inlineStr">
        <is>
          <t>🎓 Học Vấn &amp; Sự Nghiệp</t>
        </is>
      </c>
      <c r="C56" s="467" t="inlineStr">
        <is>
          <t>VinaCapital/BlackRock pipeline + Gantt luận văn ThS</t>
        </is>
      </c>
      <c r="D56" s="491" t="inlineStr">
        <is>
          <t>CAREER</t>
        </is>
      </c>
      <c r="E56" s="492" t="inlineStr">
        <is>
          <t>🎓</t>
        </is>
      </c>
    </row>
    <row r="57" ht="18" customHeight="1" s="981">
      <c r="A57" s="461" t="n">
        <v>45</v>
      </c>
      <c r="B57" s="489" t="inlineStr">
        <is>
          <t>🧮 DCF &amp; Định Giá</t>
        </is>
      </c>
      <c r="C57" s="463" t="inlineStr">
        <is>
          <t>DDM, Graham, DCF 5Y, NPV/IRR startup Hòn Đất</t>
        </is>
      </c>
      <c r="D57" s="489" t="inlineStr">
        <is>
          <t>MODEL</t>
        </is>
      </c>
      <c r="E57" s="490" t="inlineStr">
        <is>
          <t>🎓</t>
        </is>
      </c>
    </row>
    <row r="58" ht="21.75" customHeight="1" s="981">
      <c r="A58" s="1127" t="inlineStr">
        <is>
          <t>◆  🧠 TRI THỨC</t>
        </is>
      </c>
      <c r="B58" s="965" t="n"/>
      <c r="C58" s="965" t="n"/>
      <c r="D58" s="965" t="n"/>
      <c r="E58" s="966" t="n"/>
    </row>
    <row r="59" ht="18" customHeight="1" s="981">
      <c r="A59" s="461" t="n">
        <v>46</v>
      </c>
      <c r="B59" s="493" t="inlineStr">
        <is>
          <t>👁 Watchlist &amp; Nghĩa Trang</t>
        </is>
      </c>
      <c r="C59" s="463" t="inlineStr">
        <is>
          <t>Backtest DBC/VIB/KDW/KDH + Watchlist ACB/GAS/DGC</t>
        </is>
      </c>
      <c r="D59" s="493" t="inlineStr">
        <is>
          <t>WATCH</t>
        </is>
      </c>
      <c r="E59" s="494" t="inlineStr">
        <is>
          <t>🧠</t>
        </is>
      </c>
    </row>
    <row r="60" ht="18" customHeight="1" s="981">
      <c r="A60" s="465" t="n">
        <v>47</v>
      </c>
      <c r="B60" s="495" t="inlineStr">
        <is>
          <t>💻 Tech &amp; AI Budget</t>
        </is>
      </c>
      <c r="C60" s="467" t="inlineStr">
        <is>
          <t>Coursera/Claude/TradingView + khấu hao Zenbook Duo</t>
        </is>
      </c>
      <c r="D60" s="495" t="inlineStr">
        <is>
          <t>TECH</t>
        </is>
      </c>
      <c r="E60" s="496" t="inlineStr">
        <is>
          <t>🧠</t>
        </is>
      </c>
    </row>
    <row r="61" ht="18" customHeight="1" s="981">
      <c r="A61" s="461" t="n">
        <v>48</v>
      </c>
      <c r="B61" s="493" t="inlineStr">
        <is>
          <t>🧠 Second Brain</t>
        </is>
      </c>
      <c r="C61" s="463" t="inlineStr">
        <is>
          <t>Kim chỉ nam Sói Cô Độc + insights Buffett/Gates/Lynch</t>
        </is>
      </c>
      <c r="D61" s="493" t="inlineStr">
        <is>
          <t>BRAIN</t>
        </is>
      </c>
      <c r="E61" s="494" t="inlineStr">
        <is>
          <t>🧠</t>
        </is>
      </c>
    </row>
    <row r="62" ht="15" customHeight="1" s="981">
      <c r="A62" s="1050" t="n"/>
      <c r="B62" s="1050" t="n"/>
      <c r="C62" s="1050" t="n"/>
      <c r="D62" s="1050" t="n"/>
      <c r="E62" s="1050" t="n"/>
    </row>
    <row r="63" ht="18" customHeight="1" s="981">
      <c r="A63" s="1132" t="inlineStr">
        <is>
          <t>📊 Tổng: 48 sheet  |  2,335 công thức  |  0 lỗi  |  VBA Macros: CapNhatGia · GhiLichSu · ExportPPTX · TinhQuyTamSang  |  09/05/2026</t>
        </is>
      </c>
      <c r="B63" s="965" t="n"/>
      <c r="C63" s="965" t="n"/>
      <c r="D63" s="965" t="n"/>
      <c r="E63" s="966" t="n"/>
    </row>
    <row r="64" ht="15" customHeight="1" s="981">
      <c r="A64" s="1050" t="n"/>
      <c r="B64" s="1050" t="n"/>
      <c r="C64" s="1050" t="n"/>
      <c r="D64" s="1050" t="n"/>
      <c r="E64" s="1050" t="n"/>
    </row>
    <row r="65" ht="27.75" customHeight="1" s="981">
      <c r="A65" s="1113" t="inlineStr">
        <is>
          <t>🆕 CÔNG CỤ MỚI — TRA CỨU MÃ NHANH</t>
        </is>
      </c>
      <c r="B65" s="965" t="n"/>
      <c r="C65" s="965" t="n"/>
      <c r="D65" s="965" t="n"/>
      <c r="E65" s="966" t="n"/>
    </row>
    <row r="66" ht="21.75" customHeight="1" s="981">
      <c r="A66" s="1102" t="inlineStr">
        <is>
          <t>Sheet:</t>
        </is>
      </c>
      <c r="B66" s="497" t="inlineStr">
        <is>
          <t>🎯 TRA CỨU MÃ</t>
        </is>
      </c>
      <c r="C66" s="1121" t="inlineStr">
        <is>
          <t>Gõ 1 mã/tên → tự XLOOKUP qua 6 database (CP VN, CP TG, TP VN, TP TG, Vàng, Quỹ)</t>
        </is>
      </c>
      <c r="D66" s="965" t="n"/>
      <c r="E66" s="966" t="n"/>
    </row>
    <row r="67" ht="21.75" customHeight="1" s="981">
      <c r="A67" s="1102" t="inlineStr">
        <is>
          <t>Cách dùng:</t>
        </is>
      </c>
      <c r="B67" s="497" t="inlineStr">
        <is>
          <t>Gõ vào ô C3 (vàng)</t>
        </is>
      </c>
      <c r="C67" s="1121" t="inlineStr">
        <is>
          <t>Ví dụ: FPT, AAPL, TPCP 5 năm, Vàng SJC miếng, Dragon Capital</t>
        </is>
      </c>
      <c r="D67" s="965" t="n"/>
      <c r="E67" s="966" t="n"/>
    </row>
    <row r="68" ht="21.75" customHeight="1" s="981">
      <c r="A68" s="1102" t="inlineStr">
        <is>
          <t>Hiển thị:</t>
        </is>
      </c>
      <c r="B68" s="497" t="inlineStr">
        <is>
          <t>9 chỉ số tự cập nhật</t>
        </is>
      </c>
      <c r="C68" s="1121" t="inlineStr">
        <is>
          <t>Loại · Tên đầy đủ · Ngành · Giá · P/E · P/B · ROE/YTM · Vốn hóa · Tín hiệu · Ghi chú</t>
        </is>
      </c>
      <c r="D68" s="965" t="n"/>
      <c r="E68" s="966" t="n"/>
    </row>
    <row r="69" ht="21.75" customHeight="1" s="981">
      <c r="A69" s="1102" t="inlineStr">
        <is>
          <t>Lưu ý:</t>
        </is>
      </c>
      <c r="B69" s="497" t="inlineStr">
        <is>
          <t>Không tìm thấy?</t>
        </is>
      </c>
      <c r="C69" s="1121" t="inlineStr">
        <is>
          <t>Kiểm tra chính tả, hoặc mã không có trong DB của file</t>
        </is>
      </c>
      <c r="D69" s="965" t="n"/>
      <c r="E69" s="966" t="n"/>
    </row>
    <row r="70" ht="15" customHeight="1" s="981">
      <c r="A70" s="1050" t="n"/>
      <c r="B70" s="1050" t="n"/>
      <c r="C70" s="1050" t="n"/>
      <c r="D70" s="1050" t="n"/>
      <c r="E70" s="1050" t="n"/>
    </row>
    <row r="71" ht="15" customHeight="1" s="981">
      <c r="A71" s="498" t="inlineStr">
        <is>
          <t>✨ MỚI v25: 📊 PHÂN TÍCH QUỸ v25</t>
        </is>
      </c>
      <c r="B71" s="499" t="inlineStr">
        <is>
          <t>So sánh 64 ETF &amp; Quỹ, lazy portfolio templates, tín hiệu DCA</t>
        </is>
      </c>
      <c r="C71" s="1050" t="n"/>
      <c r="D71" s="1050" t="n"/>
      <c r="E71" s="1050" t="n"/>
    </row>
    <row r="72" ht="15" customHeight="1" s="981">
      <c r="A72" s="498" t="inlineStr">
        <is>
          <t>✨ MỚI v25: 🔮 AI SCORING v25</t>
        </is>
      </c>
      <c r="B72" s="499" t="inlineStr">
        <is>
          <t>Điểm AI tổng hợp 5 trụ cột cho 15 mã CP VN hàng đầu</t>
        </is>
      </c>
      <c r="C72" s="1050" t="n"/>
      <c r="D72" s="1050" t="n"/>
      <c r="E72" s="1050" t="n"/>
    </row>
  </sheetData>
  <mergeCells count="18">
    <mergeCell ref="C67:E67"/>
    <mergeCell ref="A29:E29"/>
    <mergeCell ref="A4:E4"/>
    <mergeCell ref="A65:E65"/>
    <mergeCell ref="C66:E66"/>
    <mergeCell ref="A2:E2"/>
    <mergeCell ref="A54:E54"/>
    <mergeCell ref="A41:E41"/>
    <mergeCell ref="C69:E69"/>
    <mergeCell ref="A33:E33"/>
    <mergeCell ref="A63:E63"/>
    <mergeCell ref="A1:E1"/>
    <mergeCell ref="A37:E37"/>
    <mergeCell ref="A46:E46"/>
    <mergeCell ref="A44:E44"/>
    <mergeCell ref="C68:E68"/>
    <mergeCell ref="A58:E58"/>
    <mergeCell ref="A17:E17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style="981" min="1" max="1"/>
    <col width="20" customWidth="1" style="981" min="2" max="2"/>
    <col width="8" customWidth="1" style="981" min="3" max="3"/>
    <col width="18" customWidth="1" style="981" min="4" max="4"/>
    <col width="8" customWidth="1" style="981" min="5" max="5"/>
    <col width="11" customWidth="1" style="981" min="7" max="7"/>
    <col width="10" customWidth="1" style="981" min="8" max="8"/>
    <col width="20" customWidth="1" style="981" min="9" max="9"/>
  </cols>
  <sheetData>
    <row r="1" ht="39.75" customHeight="1" s="981">
      <c r="A1" s="1050" t="n"/>
      <c r="B1" s="1134" t="inlineStr">
        <is>
          <t>📊 PHÂN TÍCH THEO NGÀNH — CỔ PHIẾU VIỆT NAM</t>
        </is>
      </c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9.5" customHeight="1" s="981">
      <c r="A2" s="1050" t="n"/>
      <c r="B2" s="1133" t="inlineStr">
        <is>
          <t>Cập nhật: 16/05/2026  |  Tổng 234 mã  |  38 ngành</t>
        </is>
      </c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</row>
    <row r="4" ht="30" customHeight="1" s="981">
      <c r="A4" s="1050" t="n"/>
      <c r="B4" s="500" t="inlineStr">
        <is>
          <t>Ngành</t>
        </is>
      </c>
      <c r="C4" s="500" t="inlineStr">
        <is>
          <t># Mã</t>
        </is>
      </c>
      <c r="D4" s="500" t="inlineStr">
        <is>
          <t>Vốn hóa TB (tỷ)</t>
        </is>
      </c>
      <c r="E4" s="500" t="inlineStr">
        <is>
          <t>P/E TB</t>
        </is>
      </c>
      <c r="F4" s="500" t="inlineStr">
        <is>
          <t>P/B TB</t>
        </is>
      </c>
      <c r="G4" s="500" t="inlineStr">
        <is>
          <t>ROE TB (%)</t>
        </is>
      </c>
      <c r="H4" s="500" t="inlineStr">
        <is>
          <t>%YTD TB</t>
        </is>
      </c>
      <c r="I4" s="500" t="inlineStr">
        <is>
          <t>Vốn hóa Tổng (tỷ)</t>
        </is>
      </c>
      <c r="J4" s="1050" t="n"/>
      <c r="K4" s="1050" t="n"/>
      <c r="L4" s="1050" t="n"/>
    </row>
    <row r="5" ht="15" customHeight="1" s="981">
      <c r="A5" s="1050" t="n"/>
      <c r="B5" s="361" t="inlineStr">
        <is>
          <t>Ngân hàng</t>
        </is>
      </c>
      <c r="C5" s="327" t="n">
        <v>26</v>
      </c>
      <c r="D5" s="501" t="n">
        <v>82730</v>
      </c>
      <c r="E5" s="327" t="n">
        <v>8</v>
      </c>
      <c r="F5" s="327" t="n">
        <v>1.28</v>
      </c>
      <c r="G5" s="502" t="n">
        <v>16.1</v>
      </c>
      <c r="H5" s="327" t="n">
        <v>3.7</v>
      </c>
      <c r="I5" s="501" t="n">
        <v>2150969</v>
      </c>
      <c r="J5" s="1050" t="n"/>
      <c r="K5" s="1050" t="n"/>
      <c r="L5" s="1050" t="n"/>
    </row>
    <row r="6" ht="15" customHeight="1" s="981">
      <c r="A6" s="1050" t="n"/>
      <c r="B6" s="362" t="inlineStr">
        <is>
          <t>Bất động sản</t>
        </is>
      </c>
      <c r="C6" s="503" t="n">
        <v>32</v>
      </c>
      <c r="D6" s="504" t="n">
        <v>18241</v>
      </c>
      <c r="E6" s="503" t="n">
        <v>14.6</v>
      </c>
      <c r="F6" s="503" t="n">
        <v>1.53</v>
      </c>
      <c r="G6" s="502" t="n">
        <v>11.4</v>
      </c>
      <c r="H6" s="503" t="n">
        <v>-0.1</v>
      </c>
      <c r="I6" s="504" t="n">
        <v>583700</v>
      </c>
      <c r="J6" s="1050" t="n"/>
      <c r="K6" s="1050" t="n"/>
      <c r="L6" s="1050" t="n"/>
    </row>
    <row r="7" ht="15" customHeight="1" s="981">
      <c r="A7" s="1050" t="n"/>
      <c r="B7" s="361" t="inlineStr">
        <is>
          <t>Dầu khí</t>
        </is>
      </c>
      <c r="C7" s="327" t="n">
        <v>9</v>
      </c>
      <c r="D7" s="501" t="n">
        <v>41944</v>
      </c>
      <c r="E7" s="327" t="n">
        <v>11.8</v>
      </c>
      <c r="F7" s="327" t="n">
        <v>1.55</v>
      </c>
      <c r="G7" s="502" t="n">
        <v>13.9</v>
      </c>
      <c r="H7" s="327" t="n">
        <v>8.5</v>
      </c>
      <c r="I7" s="501" t="n">
        <v>377500</v>
      </c>
      <c r="J7" s="1050" t="n"/>
      <c r="K7" s="1050" t="n"/>
      <c r="L7" s="1050" t="n"/>
    </row>
    <row r="8" ht="15" customHeight="1" s="981">
      <c r="A8" s="1050" t="n"/>
      <c r="B8" s="362" t="inlineStr">
        <is>
          <t>Tiêu dùng</t>
        </is>
      </c>
      <c r="C8" s="503" t="n">
        <v>4</v>
      </c>
      <c r="D8" s="504" t="n">
        <v>87070</v>
      </c>
      <c r="E8" s="503" t="n">
        <v>21.5</v>
      </c>
      <c r="F8" s="503" t="n">
        <v>3.99</v>
      </c>
      <c r="G8" s="502" t="n">
        <v>20.5</v>
      </c>
      <c r="H8" s="503" t="n">
        <v>-6.2</v>
      </c>
      <c r="I8" s="504" t="n">
        <v>348278</v>
      </c>
      <c r="J8" s="1050" t="n"/>
      <c r="K8" s="1050" t="n"/>
      <c r="L8" s="1050" t="n"/>
    </row>
    <row r="9" ht="15" customHeight="1" s="981">
      <c r="A9" s="1050" t="n"/>
      <c r="B9" s="361" t="inlineStr">
        <is>
          <t>Vận tải</t>
        </is>
      </c>
      <c r="C9" s="327" t="n">
        <v>8</v>
      </c>
      <c r="D9" s="501" t="n">
        <v>42350</v>
      </c>
      <c r="E9" s="327" t="n">
        <v>11.3</v>
      </c>
      <c r="F9" s="327" t="n">
        <v>1.82</v>
      </c>
      <c r="G9" s="502" t="n">
        <v>10</v>
      </c>
      <c r="H9" s="327" t="n">
        <v>9.199999999999999</v>
      </c>
      <c r="I9" s="501" t="n">
        <v>338800</v>
      </c>
      <c r="J9" s="1050" t="n"/>
      <c r="K9" s="1050" t="n"/>
      <c r="L9" s="1050" t="n"/>
    </row>
    <row r="10" ht="15" customHeight="1" s="981">
      <c r="A10" s="1050" t="n"/>
      <c r="B10" s="362" t="inlineStr">
        <is>
          <t>Bán lẻ</t>
        </is>
      </c>
      <c r="C10" s="503" t="n">
        <v>5</v>
      </c>
      <c r="D10" s="504" t="n">
        <v>43982</v>
      </c>
      <c r="E10" s="503" t="n">
        <v>14.7</v>
      </c>
      <c r="F10" s="503" t="n">
        <v>3.45</v>
      </c>
      <c r="G10" s="502" t="n">
        <v>25.2</v>
      </c>
      <c r="H10" s="503" t="n">
        <v>20.1</v>
      </c>
      <c r="I10" s="504" t="n">
        <v>219910</v>
      </c>
      <c r="J10" s="1050" t="n"/>
      <c r="K10" s="1050" t="n"/>
      <c r="L10" s="1050" t="n"/>
    </row>
    <row r="11" ht="15" customHeight="1" s="981">
      <c r="A11" s="1050" t="n"/>
      <c r="B11" s="361" t="inlineStr">
        <is>
          <t>Thép</t>
        </is>
      </c>
      <c r="C11" s="327" t="n">
        <v>5</v>
      </c>
      <c r="D11" s="501" t="n">
        <v>40180</v>
      </c>
      <c r="E11" s="327" t="n">
        <v>10.1</v>
      </c>
      <c r="F11" s="327" t="n">
        <v>1.04</v>
      </c>
      <c r="G11" s="502" t="n">
        <v>6.8</v>
      </c>
      <c r="H11" s="327" t="n">
        <v>-15.7</v>
      </c>
      <c r="I11" s="501" t="n">
        <v>200900</v>
      </c>
      <c r="J11" s="1050" t="n"/>
      <c r="K11" s="1050" t="n"/>
      <c r="L11" s="1050" t="n"/>
    </row>
    <row r="12" ht="15" customHeight="1" s="981">
      <c r="A12" s="1050" t="n"/>
      <c r="B12" s="362" t="inlineStr">
        <is>
          <t>Chứng khoán</t>
        </is>
      </c>
      <c r="C12" s="503" t="n">
        <v>16</v>
      </c>
      <c r="D12" s="504" t="n">
        <v>12419</v>
      </c>
      <c r="E12" s="503" t="n">
        <v>9.6</v>
      </c>
      <c r="F12" s="503" t="n">
        <v>1.49</v>
      </c>
      <c r="G12" s="502" t="n">
        <v>16.2</v>
      </c>
      <c r="H12" s="503" t="n">
        <v>7.5</v>
      </c>
      <c r="I12" s="504" t="n">
        <v>198710</v>
      </c>
      <c r="J12" s="1050" t="n"/>
      <c r="K12" s="1050" t="n"/>
      <c r="L12" s="1050" t="n"/>
    </row>
    <row r="13" ht="15" customHeight="1" s="981">
      <c r="A13" s="1050" t="n"/>
      <c r="B13" s="361" t="inlineStr">
        <is>
          <t>Công nghệ</t>
        </is>
      </c>
      <c r="C13" s="327" t="n">
        <v>11</v>
      </c>
      <c r="D13" s="501" t="n">
        <v>16718</v>
      </c>
      <c r="E13" s="327" t="n">
        <v>16</v>
      </c>
      <c r="F13" s="327" t="n">
        <v>2.45</v>
      </c>
      <c r="G13" s="502" t="n">
        <v>16</v>
      </c>
      <c r="H13" s="327" t="n">
        <v>12.5</v>
      </c>
      <c r="I13" s="501" t="n">
        <v>183900</v>
      </c>
      <c r="J13" s="1050" t="n"/>
      <c r="K13" s="1050" t="n"/>
      <c r="L13" s="1050" t="n"/>
    </row>
    <row r="14" ht="15" customHeight="1" s="981">
      <c r="A14" s="1050" t="n"/>
      <c r="B14" s="362" t="inlineStr">
        <is>
          <t>Điện</t>
        </is>
      </c>
      <c r="C14" s="503" t="n">
        <v>10</v>
      </c>
      <c r="D14" s="504" t="n">
        <v>12080</v>
      </c>
      <c r="E14" s="503" t="n">
        <v>11.7</v>
      </c>
      <c r="F14" s="503" t="n">
        <v>1.35</v>
      </c>
      <c r="G14" s="502" t="n">
        <v>11.9</v>
      </c>
      <c r="H14" s="503" t="n">
        <v>6.9</v>
      </c>
      <c r="I14" s="504" t="n">
        <v>120800</v>
      </c>
      <c r="J14" s="1050" t="n"/>
      <c r="K14" s="1050" t="n"/>
      <c r="L14" s="1050" t="n"/>
    </row>
    <row r="15" ht="15" customHeight="1" s="981">
      <c r="A15" s="1050" t="n"/>
      <c r="B15" s="361" t="inlineStr">
        <is>
          <t>Cao su</t>
        </is>
      </c>
      <c r="C15" s="327" t="n">
        <v>5</v>
      </c>
      <c r="D15" s="501" t="n">
        <v>21600</v>
      </c>
      <c r="E15" s="327" t="n">
        <v>12.3</v>
      </c>
      <c r="F15" s="327" t="n">
        <v>1.6</v>
      </c>
      <c r="G15" s="502" t="n">
        <v>14.5</v>
      </c>
      <c r="H15" s="327" t="n">
        <v>9.300000000000001</v>
      </c>
      <c r="I15" s="501" t="n">
        <v>108000</v>
      </c>
      <c r="J15" s="1050" t="n"/>
      <c r="K15" s="1050" t="n"/>
      <c r="L15" s="1050" t="n"/>
    </row>
    <row r="16" ht="15" customHeight="1" s="981">
      <c r="A16" s="1050" t="n"/>
      <c r="B16" s="362" t="inlineStr">
        <is>
          <t>Thực phẩm</t>
        </is>
      </c>
      <c r="C16" s="503" t="n">
        <v>11</v>
      </c>
      <c r="D16" s="504" t="n">
        <v>8964</v>
      </c>
      <c r="E16" s="503" t="n">
        <v>12.9</v>
      </c>
      <c r="F16" s="503" t="n">
        <v>2.5</v>
      </c>
      <c r="G16" s="502" t="n">
        <v>18.9</v>
      </c>
      <c r="H16" s="503" t="n">
        <v>3.7</v>
      </c>
      <c r="I16" s="504" t="n">
        <v>98600</v>
      </c>
      <c r="J16" s="1050" t="n"/>
      <c r="K16" s="1050" t="n"/>
      <c r="L16" s="1050" t="n"/>
    </row>
    <row r="17" ht="15" customHeight="1" s="981">
      <c r="A17" s="1050" t="n"/>
      <c r="B17" s="361" t="inlineStr">
        <is>
          <t>Cơ khí</t>
        </is>
      </c>
      <c r="C17" s="327" t="n">
        <v>2</v>
      </c>
      <c r="D17" s="501" t="n">
        <v>39600</v>
      </c>
      <c r="E17" s="327" t="n">
        <v>10.5</v>
      </c>
      <c r="F17" s="327" t="n">
        <v>1.45</v>
      </c>
      <c r="G17" s="502" t="n">
        <v>15.5</v>
      </c>
      <c r="H17" s="327" t="n">
        <v>3.5</v>
      </c>
      <c r="I17" s="501" t="n">
        <v>79200</v>
      </c>
      <c r="J17" s="1050" t="n"/>
      <c r="K17" s="1050" t="n"/>
      <c r="L17" s="1050" t="n"/>
    </row>
    <row r="18" ht="15" customHeight="1" s="981">
      <c r="A18" s="1050" t="n"/>
      <c r="B18" s="362" t="inlineStr">
        <is>
          <t>Vật liệu XD</t>
        </is>
      </c>
      <c r="C18" s="503" t="n">
        <v>7</v>
      </c>
      <c r="D18" s="504" t="n">
        <v>8600</v>
      </c>
      <c r="E18" s="503" t="n">
        <v>10.1</v>
      </c>
      <c r="F18" s="503" t="n">
        <v>1.77</v>
      </c>
      <c r="G18" s="502" t="n">
        <v>9.5</v>
      </c>
      <c r="H18" s="503" t="n">
        <v>-4.5</v>
      </c>
      <c r="I18" s="504" t="n">
        <v>60200</v>
      </c>
      <c r="J18" s="1050" t="n"/>
      <c r="K18" s="1050" t="n"/>
      <c r="L18" s="1050" t="n"/>
    </row>
    <row r="19" ht="15" customHeight="1" s="981">
      <c r="A19" s="1050" t="n"/>
      <c r="B19" s="361" t="inlineStr">
        <is>
          <t>Bảo hiểm</t>
        </is>
      </c>
      <c r="C19" s="327" t="n">
        <v>5</v>
      </c>
      <c r="D19" s="501" t="n">
        <v>10760</v>
      </c>
      <c r="E19" s="327" t="n">
        <v>10.9</v>
      </c>
      <c r="F19" s="327" t="n">
        <v>1.47</v>
      </c>
      <c r="G19" s="502" t="n">
        <v>14</v>
      </c>
      <c r="H19" s="327" t="n">
        <v>10.1</v>
      </c>
      <c r="I19" s="501" t="n">
        <v>53800</v>
      </c>
      <c r="J19" s="1050" t="n"/>
      <c r="K19" s="1050" t="n"/>
      <c r="L19" s="1050" t="n"/>
    </row>
    <row r="20" ht="15" customHeight="1" s="981">
      <c r="A20" s="1050" t="n"/>
      <c r="B20" s="362" t="inlineStr">
        <is>
          <t>Xây dựng</t>
        </is>
      </c>
      <c r="C20" s="503" t="n">
        <v>9</v>
      </c>
      <c r="D20" s="504" t="n">
        <v>5600</v>
      </c>
      <c r="E20" s="503" t="n">
        <v>11.6</v>
      </c>
      <c r="F20" s="503" t="n">
        <v>1.11</v>
      </c>
      <c r="G20" s="502" t="n">
        <v>7.9</v>
      </c>
      <c r="H20" s="503" t="n">
        <v>-0.9</v>
      </c>
      <c r="I20" s="504" t="n">
        <v>50400</v>
      </c>
      <c r="J20" s="1050" t="n"/>
      <c r="K20" s="1050" t="n"/>
      <c r="L20" s="1050" t="n"/>
    </row>
    <row r="21" ht="15" customHeight="1" s="981">
      <c r="A21" s="1050" t="n"/>
      <c r="B21" s="361" t="inlineStr">
        <is>
          <t>Hóa chất</t>
        </is>
      </c>
      <c r="C21" s="327" t="n">
        <v>3</v>
      </c>
      <c r="D21" s="501" t="n">
        <v>12567</v>
      </c>
      <c r="E21" s="327" t="n">
        <v>9.800000000000001</v>
      </c>
      <c r="F21" s="327" t="n">
        <v>1.45</v>
      </c>
      <c r="G21" s="502" t="n">
        <v>16.2</v>
      </c>
      <c r="H21" s="327" t="n">
        <v>6.2</v>
      </c>
      <c r="I21" s="501" t="n">
        <v>37700</v>
      </c>
      <c r="J21" s="1050" t="n"/>
      <c r="K21" s="1050" t="n"/>
      <c r="L21" s="1050" t="n"/>
    </row>
    <row r="22" ht="15" customHeight="1" s="981">
      <c r="A22" s="1050" t="n"/>
      <c r="B22" s="362" t="inlineStr">
        <is>
          <t>Logistics</t>
        </is>
      </c>
      <c r="C22" s="503" t="n">
        <v>8</v>
      </c>
      <c r="D22" s="504" t="n">
        <v>4538</v>
      </c>
      <c r="E22" s="503" t="n">
        <v>11.8</v>
      </c>
      <c r="F22" s="503" t="n">
        <v>2.71</v>
      </c>
      <c r="G22" s="502" t="n">
        <v>22.3</v>
      </c>
      <c r="H22" s="503" t="n">
        <v>14</v>
      </c>
      <c r="I22" s="504" t="n">
        <v>36300</v>
      </c>
      <c r="J22" s="1050" t="n"/>
      <c r="K22" s="1050" t="n"/>
      <c r="L22" s="1050" t="n"/>
    </row>
    <row r="23" ht="15" customHeight="1" s="981">
      <c r="A23" s="1050" t="n"/>
      <c r="B23" s="361" t="inlineStr">
        <is>
          <t>Thủy sản</t>
        </is>
      </c>
      <c r="C23" s="327" t="n">
        <v>6</v>
      </c>
      <c r="D23" s="501" t="n">
        <v>5500</v>
      </c>
      <c r="E23" s="327" t="n">
        <v>10.9</v>
      </c>
      <c r="F23" s="327" t="n">
        <v>1.37</v>
      </c>
      <c r="G23" s="502" t="n">
        <v>14.2</v>
      </c>
      <c r="H23" s="327" t="n">
        <v>7.5</v>
      </c>
      <c r="I23" s="501" t="n">
        <v>33000</v>
      </c>
      <c r="J23" s="1050" t="n"/>
      <c r="K23" s="1050" t="n"/>
      <c r="L23" s="1050" t="n"/>
    </row>
    <row r="24" ht="15" customHeight="1" s="981">
      <c r="A24" s="1050" t="n"/>
      <c r="B24" s="362" t="inlineStr">
        <is>
          <t>Hạ tầng</t>
        </is>
      </c>
      <c r="C24" s="503" t="n">
        <v>4</v>
      </c>
      <c r="D24" s="504" t="n">
        <v>7366</v>
      </c>
      <c r="E24" s="503" t="n">
        <v>15.6</v>
      </c>
      <c r="F24" s="503" t="n">
        <v>1.86</v>
      </c>
      <c r="G24" s="502" t="n">
        <v>11.9</v>
      </c>
      <c r="H24" s="503" t="n">
        <v>5</v>
      </c>
      <c r="I24" s="504" t="n">
        <v>29463</v>
      </c>
      <c r="J24" s="1050" t="n"/>
      <c r="K24" s="1050" t="n"/>
      <c r="L24" s="1050" t="n"/>
    </row>
    <row r="25" ht="15" customHeight="1" s="981">
      <c r="A25" s="1050" t="n"/>
      <c r="B25" s="361" t="inlineStr">
        <is>
          <t>Đa ngành</t>
        </is>
      </c>
      <c r="C25" s="327" t="n">
        <v>5</v>
      </c>
      <c r="D25" s="501" t="n">
        <v>5840</v>
      </c>
      <c r="E25" s="327" t="n">
        <v>10.6</v>
      </c>
      <c r="F25" s="327" t="n">
        <v>0.91</v>
      </c>
      <c r="G25" s="502" t="n">
        <v>4</v>
      </c>
      <c r="H25" s="327" t="n">
        <v>-5.9</v>
      </c>
      <c r="I25" s="501" t="n">
        <v>29200</v>
      </c>
      <c r="J25" s="1050" t="n"/>
      <c r="K25" s="1050" t="n"/>
      <c r="L25" s="1050" t="n"/>
    </row>
    <row r="26" ht="15" customHeight="1" s="981">
      <c r="A26" s="1050" t="n"/>
      <c r="B26" s="362" t="inlineStr">
        <is>
          <t>Nông nghiệp</t>
        </is>
      </c>
      <c r="C26" s="503" t="n">
        <v>5</v>
      </c>
      <c r="D26" s="504" t="n">
        <v>5440</v>
      </c>
      <c r="E26" s="503" t="n">
        <v>7.9</v>
      </c>
      <c r="F26" s="503" t="n">
        <v>1.77</v>
      </c>
      <c r="G26" s="502" t="n">
        <v>13.1</v>
      </c>
      <c r="H26" s="503" t="n">
        <v>-0.1</v>
      </c>
      <c r="I26" s="504" t="n">
        <v>27200</v>
      </c>
      <c r="J26" s="1050" t="n"/>
      <c r="K26" s="1050" t="n"/>
      <c r="L26" s="1050" t="n"/>
    </row>
    <row r="27" ht="15" customHeight="1" s="981">
      <c r="A27" s="1050" t="n"/>
      <c r="B27" s="361" t="inlineStr">
        <is>
          <t>Dược</t>
        </is>
      </c>
      <c r="C27" s="327" t="n">
        <v>6</v>
      </c>
      <c r="D27" s="501" t="n">
        <v>4383</v>
      </c>
      <c r="E27" s="327" t="n">
        <v>12.7</v>
      </c>
      <c r="F27" s="327" t="n">
        <v>2.25</v>
      </c>
      <c r="G27" s="502" t="n">
        <v>17.2</v>
      </c>
      <c r="H27" s="327" t="n">
        <v>13.8</v>
      </c>
      <c r="I27" s="501" t="n">
        <v>26300</v>
      </c>
      <c r="J27" s="1050" t="n"/>
      <c r="K27" s="1050" t="n"/>
      <c r="L27" s="1050" t="n"/>
    </row>
    <row r="28" ht="15" customHeight="1" s="981">
      <c r="A28" s="1050" t="n"/>
      <c r="B28" s="362" t="inlineStr">
        <is>
          <t>Phân bón</t>
        </is>
      </c>
      <c r="C28" s="503" t="n">
        <v>2</v>
      </c>
      <c r="D28" s="504" t="n">
        <v>12500</v>
      </c>
      <c r="E28" s="503" t="n">
        <v>14</v>
      </c>
      <c r="F28" s="503" t="n">
        <v>1.4</v>
      </c>
      <c r="G28" s="502" t="n">
        <v>10.7</v>
      </c>
      <c r="H28" s="503" t="n">
        <v>1.5</v>
      </c>
      <c r="I28" s="504" t="n">
        <v>25000</v>
      </c>
      <c r="J28" s="1050" t="n"/>
      <c r="K28" s="1050" t="n"/>
      <c r="L28" s="1050" t="n"/>
    </row>
    <row r="29" ht="15" customHeight="1" s="981">
      <c r="A29" s="1050" t="n"/>
      <c r="B29" s="361" t="inlineStr">
        <is>
          <t>Dệt may</t>
        </is>
      </c>
      <c r="C29" s="327" t="n">
        <v>7</v>
      </c>
      <c r="D29" s="501" t="n">
        <v>3071</v>
      </c>
      <c r="E29" s="327" t="n">
        <v>11.5</v>
      </c>
      <c r="F29" s="327" t="n">
        <v>1.54</v>
      </c>
      <c r="G29" s="502" t="n">
        <v>14.3</v>
      </c>
      <c r="H29" s="327" t="n">
        <v>12.6</v>
      </c>
      <c r="I29" s="501" t="n">
        <v>21500</v>
      </c>
      <c r="J29" s="1050" t="n"/>
      <c r="K29" s="1050" t="n"/>
      <c r="L29" s="1050" t="n"/>
    </row>
    <row r="30" ht="15" customHeight="1" s="981">
      <c r="A30" s="1050" t="n"/>
      <c r="B30" s="362" t="inlineStr">
        <is>
          <t>Cảng</t>
        </is>
      </c>
      <c r="C30" s="503" t="n">
        <v>1</v>
      </c>
      <c r="D30" s="504" t="n">
        <v>18500</v>
      </c>
      <c r="E30" s="503" t="n">
        <v>15.5</v>
      </c>
      <c r="F30" s="503" t="n">
        <v>2.2</v>
      </c>
      <c r="G30" s="502" t="n">
        <v>15.5</v>
      </c>
      <c r="H30" s="503" t="n">
        <v>22.5</v>
      </c>
      <c r="I30" s="504" t="n">
        <v>18500</v>
      </c>
      <c r="J30" s="1050" t="n"/>
      <c r="K30" s="1050" t="n"/>
      <c r="L30" s="1050" t="n"/>
    </row>
    <row r="31" ht="15" customHeight="1" s="981">
      <c r="A31" s="1050" t="n"/>
      <c r="B31" s="361" t="inlineStr">
        <is>
          <t>CN giải trí</t>
        </is>
      </c>
      <c r="C31" s="327" t="n">
        <v>1</v>
      </c>
      <c r="D31" s="501" t="n">
        <v>18000</v>
      </c>
      <c r="E31" s="327" t="n">
        <v>0</v>
      </c>
      <c r="F31" s="327" t="n">
        <v>5.5</v>
      </c>
      <c r="G31" s="505" t="n">
        <v>-2.5</v>
      </c>
      <c r="H31" s="327" t="n">
        <v>-25.5</v>
      </c>
      <c r="I31" s="501" t="n">
        <v>18000</v>
      </c>
      <c r="J31" s="1050" t="n"/>
      <c r="K31" s="1050" t="n"/>
      <c r="L31" s="1050" t="n"/>
    </row>
    <row r="32" ht="15" customHeight="1" s="981">
      <c r="A32" s="1050" t="n"/>
      <c r="B32" s="362" t="inlineStr">
        <is>
          <t>Cấp nước</t>
        </is>
      </c>
      <c r="C32" s="503" t="n">
        <v>4</v>
      </c>
      <c r="D32" s="504" t="n">
        <v>4325</v>
      </c>
      <c r="E32" s="503" t="n">
        <v>13</v>
      </c>
      <c r="F32" s="503" t="n">
        <v>1.74</v>
      </c>
      <c r="G32" s="502" t="n">
        <v>13.4</v>
      </c>
      <c r="H32" s="503" t="n">
        <v>11.8</v>
      </c>
      <c r="I32" s="504" t="n">
        <v>17300</v>
      </c>
      <c r="J32" s="1050" t="n"/>
      <c r="K32" s="1050" t="n"/>
      <c r="L32" s="1050" t="n"/>
    </row>
    <row r="33" ht="15" customHeight="1" s="981">
      <c r="A33" s="1050" t="n"/>
      <c r="B33" s="361" t="inlineStr">
        <is>
          <t>Nhựa</t>
        </is>
      </c>
      <c r="C33" s="327" t="n">
        <v>2</v>
      </c>
      <c r="D33" s="501" t="n">
        <v>7150</v>
      </c>
      <c r="E33" s="327" t="n">
        <v>11</v>
      </c>
      <c r="F33" s="327" t="n">
        <v>2.2</v>
      </c>
      <c r="G33" s="502" t="n">
        <v>19.1</v>
      </c>
      <c r="H33" s="327" t="n">
        <v>15.5</v>
      </c>
      <c r="I33" s="501" t="n">
        <v>14300</v>
      </c>
      <c r="J33" s="1050" t="n"/>
      <c r="K33" s="1050" t="n"/>
      <c r="L33" s="1050" t="n"/>
    </row>
    <row r="34" ht="15" customHeight="1" s="981">
      <c r="A34" s="1050" t="n"/>
      <c r="B34" s="362" t="inlineStr">
        <is>
          <t>Đường</t>
        </is>
      </c>
      <c r="C34" s="503" t="n">
        <v>3</v>
      </c>
      <c r="D34" s="504" t="n">
        <v>4167</v>
      </c>
      <c r="E34" s="503" t="n">
        <v>12.2</v>
      </c>
      <c r="F34" s="503" t="n">
        <v>1.9</v>
      </c>
      <c r="G34" s="502" t="n">
        <v>19.8</v>
      </c>
      <c r="H34" s="503" t="n">
        <v>10.5</v>
      </c>
      <c r="I34" s="504" t="n">
        <v>12500</v>
      </c>
      <c r="J34" s="1050" t="n"/>
      <c r="K34" s="1050" t="n"/>
      <c r="L34" s="1050" t="n"/>
    </row>
    <row r="35" ht="15" customHeight="1" s="981">
      <c r="A35" s="1050" t="n"/>
      <c r="B35" s="361" t="inlineStr">
        <is>
          <t>Y tế</t>
        </is>
      </c>
      <c r="C35" s="327" t="n">
        <v>3</v>
      </c>
      <c r="D35" s="501" t="n">
        <v>3500</v>
      </c>
      <c r="E35" s="327" t="n">
        <v>13</v>
      </c>
      <c r="F35" s="327" t="n">
        <v>2.6</v>
      </c>
      <c r="G35" s="502" t="n">
        <v>20.1</v>
      </c>
      <c r="H35" s="327" t="n">
        <v>6.8</v>
      </c>
      <c r="I35" s="501" t="n">
        <v>10500</v>
      </c>
      <c r="J35" s="1050" t="n"/>
      <c r="K35" s="1050" t="n"/>
      <c r="L35" s="1050" t="n"/>
    </row>
    <row r="36" ht="15" customHeight="1" s="981">
      <c r="A36" s="1050" t="n"/>
      <c r="B36" s="362" t="inlineStr">
        <is>
          <t>Truyền thông</t>
        </is>
      </c>
      <c r="C36" s="503" t="n">
        <v>2</v>
      </c>
      <c r="D36" s="504" t="n">
        <v>3000</v>
      </c>
      <c r="E36" s="503" t="n">
        <v>7.8</v>
      </c>
      <c r="F36" s="503" t="n">
        <v>1.25</v>
      </c>
      <c r="G36" s="503" t="n">
        <v>0</v>
      </c>
      <c r="H36" s="503" t="n">
        <v>-12</v>
      </c>
      <c r="I36" s="504" t="n">
        <v>6000</v>
      </c>
      <c r="J36" s="1050" t="n"/>
      <c r="K36" s="1050" t="n"/>
      <c r="L36" s="1050" t="n"/>
    </row>
    <row r="37" ht="15" customHeight="1" s="981">
      <c r="A37" s="1050" t="n"/>
      <c r="B37" s="361" t="inlineStr">
        <is>
          <t>Tài chính</t>
        </is>
      </c>
      <c r="C37" s="327" t="n">
        <v>2</v>
      </c>
      <c r="D37" s="501" t="n">
        <v>2850</v>
      </c>
      <c r="E37" s="327" t="n">
        <v>12.5</v>
      </c>
      <c r="F37" s="327" t="n">
        <v>1.5</v>
      </c>
      <c r="G37" s="502" t="n">
        <v>12.5</v>
      </c>
      <c r="H37" s="327" t="n">
        <v>5.5</v>
      </c>
      <c r="I37" s="501" t="n">
        <v>5700</v>
      </c>
      <c r="J37" s="1050" t="n"/>
      <c r="K37" s="1050" t="n"/>
      <c r="L37" s="1050" t="n"/>
    </row>
    <row r="38" ht="15" customHeight="1" s="981">
      <c r="A38" s="1050" t="n"/>
      <c r="B38" s="362" t="inlineStr">
        <is>
          <t>Lốp xe</t>
        </is>
      </c>
      <c r="C38" s="503" t="n">
        <v>1</v>
      </c>
      <c r="D38" s="504" t="n">
        <v>4500</v>
      </c>
      <c r="E38" s="503" t="n">
        <v>11.5</v>
      </c>
      <c r="F38" s="503" t="n">
        <v>1.65</v>
      </c>
      <c r="G38" s="502" t="n">
        <v>15.8</v>
      </c>
      <c r="H38" s="503" t="n">
        <v>12.5</v>
      </c>
      <c r="I38" s="504" t="n">
        <v>4500</v>
      </c>
      <c r="J38" s="1050" t="n"/>
      <c r="K38" s="1050" t="n"/>
      <c r="L38" s="1050" t="n"/>
    </row>
    <row r="39" ht="15" customHeight="1" s="981">
      <c r="A39" s="1050" t="n"/>
      <c r="B39" s="361" t="inlineStr">
        <is>
          <t>Năng lượng</t>
        </is>
      </c>
      <c r="C39" s="327" t="n">
        <v>1</v>
      </c>
      <c r="D39" s="501" t="n">
        <v>3500</v>
      </c>
      <c r="E39" s="327" t="n">
        <v>9.5</v>
      </c>
      <c r="F39" s="327" t="n">
        <v>1.8</v>
      </c>
      <c r="G39" s="502" t="n">
        <v>19</v>
      </c>
      <c r="H39" s="327" t="n">
        <v>5.4</v>
      </c>
      <c r="I39" s="501" t="n">
        <v>3500</v>
      </c>
      <c r="J39" s="1050" t="n"/>
      <c r="K39" s="1050" t="n"/>
      <c r="L39" s="1050" t="n"/>
    </row>
    <row r="40" ht="15" customHeight="1" s="981">
      <c r="A40" s="1050" t="n"/>
      <c r="B40" s="362" t="inlineStr">
        <is>
          <t>Thương mại</t>
        </is>
      </c>
      <c r="C40" s="503" t="n">
        <v>1</v>
      </c>
      <c r="D40" s="504" t="n">
        <v>2500</v>
      </c>
      <c r="E40" s="503" t="n">
        <v>12.8</v>
      </c>
      <c r="F40" s="503" t="n">
        <v>1.5</v>
      </c>
      <c r="G40" s="502" t="n">
        <v>11.8</v>
      </c>
      <c r="H40" s="503" t="n">
        <v>-1.5</v>
      </c>
      <c r="I40" s="504" t="n">
        <v>2500</v>
      </c>
      <c r="J40" s="1050" t="n"/>
      <c r="K40" s="1050" t="n"/>
      <c r="L40" s="1050" t="n"/>
    </row>
    <row r="41" ht="15" customHeight="1" s="981">
      <c r="A41" s="1050" t="n"/>
      <c r="B41" s="361" t="inlineStr">
        <is>
          <t>Khoáng sản</t>
        </is>
      </c>
      <c r="C41" s="327" t="n">
        <v>1</v>
      </c>
      <c r="D41" s="501" t="n">
        <v>2200</v>
      </c>
      <c r="E41" s="327" t="n">
        <v>8.5</v>
      </c>
      <c r="F41" s="327" t="n">
        <v>1.2</v>
      </c>
      <c r="G41" s="502" t="n">
        <v>13.5</v>
      </c>
      <c r="H41" s="327" t="n">
        <v>5.5</v>
      </c>
      <c r="I41" s="501" t="n">
        <v>2200</v>
      </c>
      <c r="J41" s="1050" t="n"/>
      <c r="K41" s="1050" t="n"/>
      <c r="L41" s="1050" t="n"/>
    </row>
    <row r="42" ht="15" customHeight="1" s="981">
      <c r="A42" s="1050" t="n"/>
      <c r="B42" s="362" t="inlineStr">
        <is>
          <t>Bauxit</t>
        </is>
      </c>
      <c r="C42" s="503" t="n">
        <v>1</v>
      </c>
      <c r="D42" s="504" t="n">
        <v>1500</v>
      </c>
      <c r="E42" s="503" t="n">
        <v>12.5</v>
      </c>
      <c r="F42" s="503" t="n">
        <v>0.95</v>
      </c>
      <c r="G42" s="502" t="n">
        <v>7.5</v>
      </c>
      <c r="H42" s="503" t="n">
        <v>-12.5</v>
      </c>
      <c r="I42" s="504" t="n">
        <v>1500</v>
      </c>
      <c r="J42" s="1050" t="n"/>
      <c r="K42" s="1050" t="n"/>
      <c r="L42" s="1050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</row>
    <row r="44" ht="15" customHeight="1" s="981">
      <c r="A44" s="1050" t="n"/>
      <c r="B44" s="1050" t="n"/>
      <c r="C44" s="1050" t="n"/>
      <c r="D44" s="1050" t="n"/>
      <c r="E44" s="1050" t="n"/>
      <c r="F44" s="1050" t="n"/>
      <c r="G44" s="1050" t="n"/>
      <c r="H44" s="1050" t="n"/>
      <c r="I44" s="1050" t="n"/>
      <c r="J44" s="1050" t="n"/>
      <c r="K44" s="1050" t="n"/>
      <c r="L44" s="1050" t="n"/>
    </row>
    <row r="45" ht="15" customHeight="1" s="981">
      <c r="A45" s="1050" t="n"/>
      <c r="B45" s="1050" t="inlineStr">
        <is>
          <t>Ngành</t>
        </is>
      </c>
      <c r="C45" s="1050" t="inlineStr">
        <is>
          <t>Vốn hóa Tổng</t>
        </is>
      </c>
      <c r="D45" s="1050" t="n"/>
      <c r="E45" s="1050" t="n"/>
      <c r="F45" s="1050" t="n"/>
      <c r="G45" s="1050" t="n"/>
      <c r="H45" s="1050" t="n"/>
      <c r="I45" s="1050" t="n"/>
      <c r="J45" s="1050" t="n"/>
      <c r="K45" s="1050" t="n"/>
      <c r="L45" s="1050" t="n"/>
    </row>
    <row r="46" ht="15" customHeight="1" s="981">
      <c r="A46" s="1050" t="n"/>
      <c r="B46" s="1050" t="inlineStr">
        <is>
          <t>Ngân hàng</t>
        </is>
      </c>
      <c r="C46" s="1050" t="n">
        <v>2150969</v>
      </c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</row>
    <row r="47" ht="15" customHeight="1" s="981">
      <c r="A47" s="1050" t="n"/>
      <c r="B47" s="1050" t="inlineStr">
        <is>
          <t>Bất động sản</t>
        </is>
      </c>
      <c r="C47" s="1050" t="n">
        <v>583700</v>
      </c>
      <c r="D47" s="1050" t="n"/>
      <c r="E47" s="1050" t="n"/>
      <c r="F47" s="1050" t="n"/>
      <c r="G47" s="1050" t="n"/>
      <c r="H47" s="1050" t="n"/>
      <c r="I47" s="1050" t="n"/>
      <c r="J47" s="1050" t="n"/>
      <c r="K47" s="1050" t="n"/>
      <c r="L47" s="1050" t="n"/>
    </row>
    <row r="48" ht="15" customHeight="1" s="981">
      <c r="A48" s="1050" t="n"/>
      <c r="B48" s="1050" t="inlineStr">
        <is>
          <t>Dầu khí</t>
        </is>
      </c>
      <c r="C48" s="1050" t="n">
        <v>377500</v>
      </c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</row>
    <row r="49" ht="15" customHeight="1" s="981">
      <c r="A49" s="1050" t="n"/>
      <c r="B49" s="1050" t="inlineStr">
        <is>
          <t>Tiêu dùng</t>
        </is>
      </c>
      <c r="C49" s="1050" t="n">
        <v>348278</v>
      </c>
      <c r="D49" s="1050" t="n"/>
      <c r="E49" s="1050" t="n"/>
      <c r="F49" s="1050" t="n"/>
      <c r="G49" s="1050" t="n"/>
      <c r="H49" s="1050" t="n"/>
      <c r="I49" s="1050" t="n"/>
      <c r="J49" s="1050" t="n"/>
      <c r="K49" s="1050" t="n"/>
      <c r="L49" s="1050" t="n"/>
    </row>
    <row r="50" ht="15" customHeight="1" s="981">
      <c r="A50" s="1050" t="n"/>
      <c r="B50" s="1050" t="inlineStr">
        <is>
          <t>Vận tải</t>
        </is>
      </c>
      <c r="C50" s="1050" t="n">
        <v>338800</v>
      </c>
      <c r="D50" s="1050" t="n"/>
      <c r="E50" s="1050" t="n"/>
      <c r="F50" s="1050" t="n"/>
      <c r="G50" s="1050" t="n"/>
      <c r="H50" s="1050" t="n"/>
      <c r="I50" s="1050" t="n"/>
      <c r="J50" s="1050" t="n"/>
      <c r="K50" s="1050" t="n"/>
      <c r="L50" s="1050" t="n"/>
    </row>
    <row r="51" ht="15" customHeight="1" s="981">
      <c r="A51" s="1050" t="n"/>
      <c r="B51" s="1050" t="inlineStr">
        <is>
          <t>Bán lẻ</t>
        </is>
      </c>
      <c r="C51" s="1050" t="n">
        <v>219910</v>
      </c>
      <c r="D51" s="1050" t="n"/>
      <c r="E51" s="1050" t="n"/>
      <c r="F51" s="1050" t="n"/>
      <c r="G51" s="1050" t="n"/>
      <c r="H51" s="1050" t="n"/>
      <c r="I51" s="1050" t="n"/>
      <c r="J51" s="1050" t="n"/>
      <c r="K51" s="1050" t="n"/>
      <c r="L51" s="1050" t="n"/>
    </row>
    <row r="52" ht="15" customHeight="1" s="981">
      <c r="A52" s="1050" t="n"/>
      <c r="B52" s="1050" t="inlineStr">
        <is>
          <t>Thép</t>
        </is>
      </c>
      <c r="C52" s="1050" t="n">
        <v>200900</v>
      </c>
      <c r="D52" s="1050" t="n"/>
      <c r="E52" s="1050" t="n"/>
      <c r="F52" s="1050" t="n"/>
      <c r="G52" s="1050" t="n"/>
      <c r="H52" s="1050" t="n"/>
      <c r="I52" s="1050" t="n"/>
      <c r="J52" s="1050" t="n"/>
      <c r="K52" s="1050" t="n"/>
      <c r="L52" s="1050" t="n"/>
    </row>
    <row r="53" ht="15" customHeight="1" s="981">
      <c r="A53" s="1050" t="n"/>
      <c r="B53" s="1050" t="inlineStr">
        <is>
          <t>Chứng khoán</t>
        </is>
      </c>
      <c r="C53" s="1050" t="n">
        <v>198710</v>
      </c>
      <c r="D53" s="1050" t="n"/>
      <c r="E53" s="1050" t="n"/>
      <c r="F53" s="1050" t="n"/>
      <c r="G53" s="1050" t="n"/>
      <c r="H53" s="1050" t="n"/>
      <c r="I53" s="1050" t="n"/>
      <c r="J53" s="1050" t="n"/>
      <c r="K53" s="1050" t="n"/>
      <c r="L53" s="1050" t="n"/>
    </row>
    <row r="54" ht="15" customHeight="1" s="981">
      <c r="A54" s="1050" t="n"/>
      <c r="B54" s="1050" t="inlineStr">
        <is>
          <t>Công nghệ</t>
        </is>
      </c>
      <c r="C54" s="1050" t="n">
        <v>183900</v>
      </c>
      <c r="D54" s="1050" t="n"/>
      <c r="E54" s="1050" t="n"/>
      <c r="F54" s="1050" t="n"/>
      <c r="G54" s="1050" t="n"/>
      <c r="H54" s="1050" t="n"/>
      <c r="I54" s="1050" t="n"/>
      <c r="J54" s="1050" t="n"/>
      <c r="K54" s="1050" t="n"/>
      <c r="L54" s="1050" t="n"/>
    </row>
    <row r="55" ht="15" customHeight="1" s="981">
      <c r="A55" s="1050" t="n"/>
      <c r="B55" s="1050" t="inlineStr">
        <is>
          <t>Điện</t>
        </is>
      </c>
      <c r="C55" s="1050" t="n">
        <v>120800</v>
      </c>
      <c r="D55" s="1050" t="n"/>
      <c r="E55" s="1050" t="n"/>
      <c r="F55" s="1050" t="n"/>
      <c r="G55" s="1050" t="n"/>
      <c r="H55" s="1050" t="n"/>
      <c r="I55" s="1050" t="n"/>
      <c r="J55" s="1050" t="n"/>
      <c r="K55" s="1050" t="n"/>
      <c r="L55" s="1050" t="n"/>
    </row>
    <row r="56" ht="15" customHeight="1" s="981">
      <c r="A56" s="1050" t="n"/>
      <c r="B56" s="1050" t="inlineStr">
        <is>
          <t>Cao su</t>
        </is>
      </c>
      <c r="C56" s="1050" t="n">
        <v>108000</v>
      </c>
      <c r="D56" s="1050" t="n"/>
      <c r="E56" s="1050" t="n"/>
      <c r="F56" s="1050" t="n"/>
      <c r="G56" s="1050" t="n"/>
      <c r="H56" s="1050" t="n"/>
      <c r="I56" s="1050" t="n"/>
      <c r="J56" s="1050" t="n"/>
      <c r="K56" s="1050" t="n"/>
      <c r="L56" s="1050" t="n"/>
    </row>
    <row r="57" ht="15" customHeight="1" s="981">
      <c r="A57" s="1050" t="n"/>
      <c r="B57" s="1050" t="inlineStr">
        <is>
          <t>Thực phẩm</t>
        </is>
      </c>
      <c r="C57" s="1050" t="n">
        <v>98600</v>
      </c>
      <c r="D57" s="1050" t="n"/>
      <c r="E57" s="1050" t="n"/>
      <c r="F57" s="1050" t="n"/>
      <c r="G57" s="1050" t="n"/>
      <c r="H57" s="1050" t="n"/>
      <c r="I57" s="1050" t="n"/>
      <c r="J57" s="1050" t="n"/>
      <c r="K57" s="1050" t="n"/>
      <c r="L57" s="1050" t="n"/>
    </row>
  </sheetData>
  <mergeCells count="2">
    <mergeCell ref="B2:L2"/>
    <mergeCell ref="B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3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3" customWidth="1" style="981" min="1" max="1"/>
    <col width="7" customWidth="1" style="981" min="2" max="2"/>
    <col width="22" customWidth="1" style="981" min="3" max="3"/>
    <col width="14" customWidth="1" style="981" min="4" max="4"/>
    <col width="7" customWidth="1" style="981" min="5" max="5"/>
    <col width="11" customWidth="1" style="981" min="6" max="6"/>
    <col width="7" customWidth="1" style="981" min="7" max="7"/>
    <col width="9" customWidth="1" style="981" min="9" max="9"/>
    <col width="14" customWidth="1" style="981" min="10" max="10"/>
    <col width="9" customWidth="1" style="981" min="11" max="11"/>
    <col width="8" customWidth="1" style="981" min="12" max="12"/>
    <col width="10" customWidth="1" style="981" min="13" max="13"/>
    <col width="7" customWidth="1" style="981" min="14" max="14"/>
    <col width="9" customWidth="1" style="981" min="15" max="15"/>
    <col width="14" customWidth="1" style="981" min="16" max="16"/>
    <col width="16" customWidth="1" style="981" min="17" max="17"/>
  </cols>
  <sheetData>
    <row r="1" ht="39.75" customHeight="1" s="981">
      <c r="A1" s="1050" t="n"/>
      <c r="B1" s="1136" t="inlineStr">
        <is>
          <t>🔍 BỘ LỌC CỔ PHIẾU — LỌC THEO TIÊU CHÍ TÀI CHÍNH</t>
        </is>
      </c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5" t="n"/>
      <c r="Q1" s="966" t="n"/>
    </row>
    <row r="2" ht="19.5" customHeight="1" s="981">
      <c r="A2" s="1050" t="n"/>
      <c r="B2" s="1135" t="inlineStr">
        <is>
          <t>✅ Dữ liệu đã được lọc sẵn theo: MUA MẠNH | ROE &gt; 15% | P/E &lt; 20 | Vốn hóa &gt; 5,000 tỷ   — Dùng AutoFilter để lọc thêm</t>
        </is>
      </c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5" t="n"/>
      <c r="N2" s="965" t="n"/>
      <c r="O2" s="965" t="n"/>
      <c r="P2" s="965" t="n"/>
      <c r="Q2" s="966" t="n"/>
    </row>
    <row r="3" ht="30" customHeight="1" s="981">
      <c r="A3" s="1050" t="n"/>
      <c r="B3" s="500" t="inlineStr">
        <is>
          <t>Mã</t>
        </is>
      </c>
      <c r="C3" s="500" t="inlineStr">
        <is>
          <t>Tên Công Ty</t>
        </is>
      </c>
      <c r="D3" s="500" t="inlineStr">
        <is>
          <t>Ngành</t>
        </is>
      </c>
      <c r="E3" s="500" t="inlineStr">
        <is>
          <t>Sàn</t>
        </is>
      </c>
      <c r="F3" s="500" t="inlineStr">
        <is>
          <t>Giá (₫)</t>
        </is>
      </c>
      <c r="G3" s="500" t="inlineStr">
        <is>
          <t>P/E</t>
        </is>
      </c>
      <c r="H3" s="500" t="inlineStr">
        <is>
          <t>P/B</t>
        </is>
      </c>
      <c r="I3" s="500" t="inlineStr">
        <is>
          <t>ROE (%)</t>
        </is>
      </c>
      <c r="J3" s="500" t="inlineStr">
        <is>
          <t>Vốn hóa (tỷ)</t>
        </is>
      </c>
      <c r="K3" s="500" t="inlineStr">
        <is>
          <t>EPS (₫)</t>
        </is>
      </c>
      <c r="L3" s="500" t="inlineStr">
        <is>
          <t>%YTD</t>
        </is>
      </c>
      <c r="M3" s="500" t="inlineStr">
        <is>
          <t>Cổ tức %</t>
        </is>
      </c>
      <c r="N3" s="500" t="inlineStr">
        <is>
          <t>ESG</t>
        </is>
      </c>
      <c r="O3" s="500" t="inlineStr">
        <is>
          <t>D/E Ratio</t>
        </is>
      </c>
      <c r="P3" s="500" t="inlineStr">
        <is>
          <t>Tín hiệu</t>
        </is>
      </c>
      <c r="Q3" s="500" t="inlineStr">
        <is>
          <t>Cảnh báo</t>
        </is>
      </c>
      <c r="R3" s="506" t="inlineStr">
        <is>
          <t>🔗 Match C4</t>
        </is>
      </c>
    </row>
    <row r="4" ht="15" customHeight="1" s="981">
      <c r="A4" s="1050" t="n"/>
      <c r="B4" s="503" t="inlineStr">
        <is>
          <t>SLS</t>
        </is>
      </c>
      <c r="C4" s="362" t="inlineStr">
        <is>
          <t>Đường Sơn La</t>
        </is>
      </c>
      <c r="D4" s="362" t="inlineStr">
        <is>
          <t>Đường</t>
        </is>
      </c>
      <c r="E4" s="503" t="n"/>
      <c r="F4" s="504" t="n"/>
      <c r="G4" s="503" t="n"/>
      <c r="H4" s="503" t="n"/>
      <c r="I4" s="503" t="n"/>
      <c r="J4" s="504" t="n"/>
      <c r="K4" s="504" t="n"/>
      <c r="L4" s="503" t="n"/>
      <c r="M4" s="503" t="n"/>
      <c r="N4" s="503" t="n"/>
      <c r="O4" s="503" t="n"/>
      <c r="P4" s="507" t="n"/>
      <c r="Q4" s="362" t="n"/>
      <c r="R4" s="1024">
        <f>IF(B4='🎯 SÓI v42 — TRA CỨU &amp; DEEP DIV'!$C$4,"⭐ ĐANG XEM","")</f>
        <v/>
      </c>
    </row>
    <row r="5" ht="15" customHeight="1" s="981">
      <c r="A5" s="1050" t="n"/>
      <c r="B5" s="327" t="inlineStr">
        <is>
          <t>MCH</t>
        </is>
      </c>
      <c r="C5" s="361" t="inlineStr">
        <is>
          <t>Masan Consumer</t>
        </is>
      </c>
      <c r="D5" s="361" t="inlineStr">
        <is>
          <t>Tiêu dùng</t>
        </is>
      </c>
      <c r="E5" s="327" t="n"/>
      <c r="F5" s="501" t="n"/>
      <c r="G5" s="327" t="n"/>
      <c r="H5" s="327" t="n"/>
      <c r="I5" s="327" t="n"/>
      <c r="J5" s="501" t="n"/>
      <c r="K5" s="501" t="n"/>
      <c r="L5" s="327" t="n"/>
      <c r="M5" s="327" t="n"/>
      <c r="N5" s="327" t="n"/>
      <c r="O5" s="327" t="n"/>
      <c r="P5" s="507" t="n"/>
      <c r="Q5" s="361" t="n"/>
      <c r="R5" s="1024">
        <f>IF(B5='🎯 SÓI v42 — TRA CỨU &amp; DEEP DIV'!$C$4,"⭐ ĐANG XEM","")</f>
        <v/>
      </c>
    </row>
    <row r="6" ht="15" customHeight="1" s="981">
      <c r="A6" s="1050" t="n"/>
      <c r="B6" s="503" t="inlineStr">
        <is>
          <t>SCS</t>
        </is>
      </c>
      <c r="C6" s="362" t="inlineStr">
        <is>
          <t>Sài Gòn Cargo</t>
        </is>
      </c>
      <c r="D6" s="362" t="inlineStr">
        <is>
          <t>Logistics</t>
        </is>
      </c>
      <c r="E6" s="503" t="n"/>
      <c r="F6" s="504" t="n"/>
      <c r="G6" s="503" t="n"/>
      <c r="H6" s="503" t="n"/>
      <c r="I6" s="503" t="n"/>
      <c r="J6" s="504" t="n"/>
      <c r="K6" s="504" t="n"/>
      <c r="L6" s="503" t="n"/>
      <c r="M6" s="503" t="n"/>
      <c r="N6" s="503" t="n"/>
      <c r="O6" s="503" t="n"/>
      <c r="P6" s="507" t="n"/>
      <c r="Q6" s="362" t="n"/>
      <c r="R6" s="1024">
        <f>IF(B6='🎯 SÓI v42 — TRA CỨU &amp; DEEP DIV'!$C$4,"⭐ ĐANG XEM","")</f>
        <v/>
      </c>
    </row>
    <row r="7" ht="15" customHeight="1" s="981">
      <c r="A7" s="1050" t="n"/>
      <c r="B7" s="327" t="inlineStr">
        <is>
          <t>SCS</t>
        </is>
      </c>
      <c r="C7" s="361" t="inlineStr">
        <is>
          <t>Cargo SG</t>
        </is>
      </c>
      <c r="D7" s="361" t="inlineStr">
        <is>
          <t>Logistics</t>
        </is>
      </c>
      <c r="E7" s="327" t="n"/>
      <c r="F7" s="501" t="n"/>
      <c r="G7" s="327" t="n"/>
      <c r="H7" s="327" t="n"/>
      <c r="I7" s="327" t="n"/>
      <c r="J7" s="501" t="n"/>
      <c r="K7" s="501" t="n"/>
      <c r="L7" s="327" t="n"/>
      <c r="M7" s="327" t="n"/>
      <c r="N7" s="327" t="n"/>
      <c r="O7" s="327" t="n"/>
      <c r="P7" s="507" t="n"/>
      <c r="Q7" s="361" t="n"/>
      <c r="R7" s="1024">
        <f>IF(B7='🎯 SÓI v42 — TRA CỨU &amp; DEEP DIV'!$C$4,"⭐ ĐANG XEM","")</f>
        <v/>
      </c>
    </row>
    <row r="8" ht="15" customHeight="1" s="981">
      <c r="A8" s="1050" t="n"/>
      <c r="B8" s="503" t="inlineStr">
        <is>
          <t>VCF</t>
        </is>
      </c>
      <c r="C8" s="362" t="inlineStr">
        <is>
          <t>Vinacafe Bien Hoa</t>
        </is>
      </c>
      <c r="D8" s="362" t="inlineStr">
        <is>
          <t>Thực phẩm</t>
        </is>
      </c>
      <c r="E8" s="503" t="n"/>
      <c r="F8" s="504" t="n"/>
      <c r="G8" s="503" t="n"/>
      <c r="H8" s="503" t="n"/>
      <c r="I8" s="503" t="n"/>
      <c r="J8" s="504" t="n"/>
      <c r="K8" s="504" t="n"/>
      <c r="L8" s="503" t="n"/>
      <c r="M8" s="503" t="n"/>
      <c r="N8" s="503" t="n"/>
      <c r="O8" s="503" t="n"/>
      <c r="P8" s="507" t="n"/>
      <c r="Q8" s="362" t="n"/>
      <c r="R8" s="1024">
        <f>IF(B8='🎯 SÓI v42 — TRA CỨU &amp; DEEP DIV'!$C$4,"⭐ ĐANG XEM","")</f>
        <v/>
      </c>
    </row>
    <row r="9" ht="15" customHeight="1" s="981">
      <c r="A9" s="1050" t="n"/>
      <c r="B9" s="327" t="inlineStr">
        <is>
          <t>VIX</t>
        </is>
      </c>
      <c r="C9" s="361" t="inlineStr">
        <is>
          <t>VIX Securities</t>
        </is>
      </c>
      <c r="D9" s="361" t="inlineStr">
        <is>
          <t>Chứng khoán</t>
        </is>
      </c>
      <c r="E9" s="327" t="n"/>
      <c r="F9" s="501" t="n"/>
      <c r="G9" s="327" t="n"/>
      <c r="H9" s="327" t="n"/>
      <c r="I9" s="327" t="n"/>
      <c r="J9" s="501" t="n"/>
      <c r="K9" s="501" t="n"/>
      <c r="L9" s="327" t="n"/>
      <c r="M9" s="327" t="n"/>
      <c r="N9" s="327" t="n"/>
      <c r="O9" s="327" t="n"/>
      <c r="P9" s="507" t="n"/>
      <c r="Q9" s="361" t="n"/>
      <c r="R9" s="1024">
        <f>IF(B9='🎯 SÓI v42 — TRA CỨU &amp; DEEP DIV'!$C$4,"⭐ ĐANG XEM","")</f>
        <v/>
      </c>
    </row>
    <row r="10" ht="15" customHeight="1" s="981">
      <c r="A10" s="1050" t="n"/>
      <c r="B10" s="503" t="inlineStr">
        <is>
          <t>DGW</t>
        </is>
      </c>
      <c r="C10" s="362" t="inlineStr">
        <is>
          <t>Digiworld</t>
        </is>
      </c>
      <c r="D10" s="362" t="inlineStr">
        <is>
          <t>Bán lẻ</t>
        </is>
      </c>
      <c r="E10" s="503" t="n"/>
      <c r="F10" s="504" t="n"/>
      <c r="G10" s="503" t="n"/>
      <c r="H10" s="503" t="n"/>
      <c r="I10" s="503" t="n"/>
      <c r="J10" s="504" t="n"/>
      <c r="K10" s="504" t="n"/>
      <c r="L10" s="503" t="n"/>
      <c r="M10" s="503" t="n"/>
      <c r="N10" s="503" t="n"/>
      <c r="O10" s="503" t="n"/>
      <c r="P10" s="507" t="n"/>
      <c r="Q10" s="362" t="n"/>
      <c r="R10" s="1024">
        <f>IF(B10='🎯 SÓI v42 — TRA CỨU &amp; DEEP DIV'!$C$4,"⭐ ĐANG XEM","")</f>
        <v/>
      </c>
    </row>
    <row r="11" ht="15" customHeight="1" s="981">
      <c r="A11" s="1050" t="n"/>
      <c r="B11" s="327" t="inlineStr">
        <is>
          <t>NTC</t>
        </is>
      </c>
      <c r="C11" s="361" t="inlineStr">
        <is>
          <t>Nam Tân Uyên</t>
        </is>
      </c>
      <c r="D11" s="361" t="inlineStr">
        <is>
          <t>Bất động sản</t>
        </is>
      </c>
      <c r="E11" s="327" t="n"/>
      <c r="F11" s="501" t="n"/>
      <c r="G11" s="327" t="n"/>
      <c r="H11" s="327" t="n"/>
      <c r="I11" s="327" t="n"/>
      <c r="J11" s="501" t="n"/>
      <c r="K11" s="501" t="n"/>
      <c r="L11" s="327" t="n"/>
      <c r="M11" s="327" t="n"/>
      <c r="N11" s="327" t="n"/>
      <c r="O11" s="327" t="n"/>
      <c r="P11" s="507" t="n"/>
      <c r="Q11" s="361" t="n"/>
      <c r="R11" s="1024">
        <f>IF(B11='🎯 SÓI v42 — TRA CỨU &amp; DEEP DIV'!$C$4,"⭐ ĐANG XEM","")</f>
        <v/>
      </c>
    </row>
    <row r="12" ht="15" customHeight="1" s="981">
      <c r="A12" s="1050" t="n"/>
      <c r="B12" s="503" t="inlineStr">
        <is>
          <t>NSC</t>
        </is>
      </c>
      <c r="C12" s="362" t="inlineStr">
        <is>
          <t>Nam Son Seeds</t>
        </is>
      </c>
      <c r="D12" s="362" t="inlineStr">
        <is>
          <t>Thực phẩm</t>
        </is>
      </c>
      <c r="E12" s="503" t="n"/>
      <c r="F12" s="504" t="n"/>
      <c r="G12" s="503" t="n"/>
      <c r="H12" s="503" t="n"/>
      <c r="I12" s="503" t="n"/>
      <c r="J12" s="504" t="n"/>
      <c r="K12" s="504" t="n"/>
      <c r="L12" s="503" t="n"/>
      <c r="M12" s="503" t="n"/>
      <c r="N12" s="503" t="n"/>
      <c r="O12" s="503" t="n"/>
      <c r="P12" s="507" t="n"/>
      <c r="Q12" s="362" t="n"/>
      <c r="R12" s="1024">
        <f>IF(B12='🎯 SÓI v42 — TRA CỨU &amp; DEEP DIV'!$C$4,"⭐ ĐANG XEM","")</f>
        <v/>
      </c>
    </row>
    <row r="13" ht="15" customHeight="1" s="981">
      <c r="A13" s="1050" t="n"/>
      <c r="B13" s="327" t="inlineStr">
        <is>
          <t>DGC</t>
        </is>
      </c>
      <c r="C13" s="361" t="inlineStr">
        <is>
          <t>Đức Giang</t>
        </is>
      </c>
      <c r="D13" s="361" t="inlineStr">
        <is>
          <t>Hóa chất</t>
        </is>
      </c>
      <c r="E13" s="327" t="n"/>
      <c r="F13" s="501" t="n"/>
      <c r="G13" s="327" t="n"/>
      <c r="H13" s="327" t="n"/>
      <c r="I13" s="327" t="n"/>
      <c r="J13" s="501" t="n"/>
      <c r="K13" s="501" t="n"/>
      <c r="L13" s="327" t="n"/>
      <c r="M13" s="327" t="n"/>
      <c r="N13" s="327" t="n"/>
      <c r="O13" s="327" t="n"/>
      <c r="P13" s="507" t="n"/>
      <c r="Q13" s="361" t="n"/>
      <c r="R13" s="1024">
        <f>IF(B13='🎯 SÓI v42 — TRA CỨU &amp; DEEP DIV'!$C$4,"⭐ ĐANG XEM","")</f>
        <v/>
      </c>
    </row>
    <row r="14" ht="15" customHeight="1" s="981">
      <c r="A14" s="1050" t="n"/>
      <c r="B14" s="503" t="inlineStr">
        <is>
          <t>GAS</t>
        </is>
      </c>
      <c r="C14" s="362" t="inlineStr">
        <is>
          <t>PV Gas</t>
        </is>
      </c>
      <c r="D14" s="362" t="inlineStr">
        <is>
          <t>Dầu khí</t>
        </is>
      </c>
      <c r="E14" s="503" t="n"/>
      <c r="F14" s="504" t="n"/>
      <c r="G14" s="503" t="n"/>
      <c r="H14" s="503" t="n"/>
      <c r="I14" s="503" t="n"/>
      <c r="J14" s="504" t="n"/>
      <c r="K14" s="504" t="n"/>
      <c r="L14" s="503" t="n"/>
      <c r="M14" s="503" t="n"/>
      <c r="N14" s="503" t="n"/>
      <c r="O14" s="503" t="n"/>
      <c r="P14" s="507" t="n"/>
      <c r="Q14" s="362" t="n"/>
      <c r="R14" s="1024">
        <f>IF(B14='🎯 SÓI v42 — TRA CỨU &amp; DEEP DIV'!$C$4,"⭐ ĐANG XEM","")</f>
        <v/>
      </c>
    </row>
    <row r="15" ht="15" customHeight="1" s="981">
      <c r="A15" s="1050" t="n"/>
      <c r="B15" s="327" t="inlineStr">
        <is>
          <t>FPT</t>
        </is>
      </c>
      <c r="C15" s="361" t="inlineStr">
        <is>
          <t>FPT Corp</t>
        </is>
      </c>
      <c r="D15" s="361" t="inlineStr">
        <is>
          <t>Công nghệ</t>
        </is>
      </c>
      <c r="E15" s="327" t="n"/>
      <c r="F15" s="501" t="n"/>
      <c r="G15" s="327" t="n"/>
      <c r="H15" s="327" t="n"/>
      <c r="I15" s="327" t="n"/>
      <c r="J15" s="501" t="n"/>
      <c r="K15" s="501" t="n"/>
      <c r="L15" s="327" t="n"/>
      <c r="M15" s="327" t="n"/>
      <c r="N15" s="327" t="n"/>
      <c r="O15" s="327" t="n"/>
      <c r="P15" s="507" t="n"/>
      <c r="Q15" s="361" t="n"/>
      <c r="R15" s="1024">
        <f>IF(B15='🎯 SÓI v42 — TRA CỨU &amp; DEEP DIV'!$C$4,"⭐ ĐANG XEM","")</f>
        <v/>
      </c>
    </row>
    <row r="16" ht="15" customHeight="1" s="981">
      <c r="A16" s="1050" t="n"/>
      <c r="B16" s="503" t="inlineStr">
        <is>
          <t>PNJ</t>
        </is>
      </c>
      <c r="C16" s="362" t="inlineStr">
        <is>
          <t>PNJ Vàng</t>
        </is>
      </c>
      <c r="D16" s="362" t="inlineStr">
        <is>
          <t>Bán lẻ</t>
        </is>
      </c>
      <c r="E16" s="503" t="n"/>
      <c r="F16" s="504" t="n"/>
      <c r="G16" s="503" t="n"/>
      <c r="H16" s="503" t="n"/>
      <c r="I16" s="503" t="n"/>
      <c r="J16" s="504" t="n"/>
      <c r="K16" s="504" t="n"/>
      <c r="L16" s="503" t="n"/>
      <c r="M16" s="503" t="n"/>
      <c r="N16" s="503" t="n"/>
      <c r="O16" s="503" t="n"/>
      <c r="P16" s="507" t="n"/>
      <c r="Q16" s="362" t="n"/>
      <c r="R16" s="1024">
        <f>IF(B16='🎯 SÓI v42 — TRA CỨU &amp; DEEP DIV'!$C$4,"⭐ ĐANG XEM","")</f>
        <v/>
      </c>
    </row>
    <row r="17" ht="15" customHeight="1" s="981">
      <c r="A17" s="1050" t="n"/>
      <c r="B17" s="327" t="inlineStr">
        <is>
          <t>PNJ</t>
        </is>
      </c>
      <c r="C17" s="361" t="inlineStr">
        <is>
          <t>PNJ</t>
        </is>
      </c>
      <c r="D17" s="361" t="inlineStr">
        <is>
          <t>Bán lẻ</t>
        </is>
      </c>
      <c r="E17" s="327" t="n"/>
      <c r="F17" s="501" t="n"/>
      <c r="G17" s="327" t="n"/>
      <c r="H17" s="327" t="n"/>
      <c r="I17" s="327" t="n"/>
      <c r="J17" s="501" t="n"/>
      <c r="K17" s="501" t="n"/>
      <c r="L17" s="327" t="n"/>
      <c r="M17" s="327" t="n"/>
      <c r="N17" s="327" t="n"/>
      <c r="O17" s="327" t="n"/>
      <c r="P17" s="507" t="n"/>
      <c r="Q17" s="361" t="n"/>
      <c r="R17" s="1024">
        <f>IF(B17='🎯 SÓI v42 — TRA CỨU &amp; DEEP DIV'!$C$4,"⭐ ĐANG XEM","")</f>
        <v/>
      </c>
    </row>
    <row r="18" ht="15" customHeight="1" s="981">
      <c r="A18" s="1050" t="n"/>
      <c r="B18" s="503" t="inlineStr">
        <is>
          <t>VCS</t>
        </is>
      </c>
      <c r="C18" s="362" t="inlineStr">
        <is>
          <t>Vicostone</t>
        </is>
      </c>
      <c r="D18" s="362" t="inlineStr">
        <is>
          <t>Vật liệu XD</t>
        </is>
      </c>
      <c r="E18" s="503" t="n"/>
      <c r="F18" s="504" t="n"/>
      <c r="G18" s="503" t="n"/>
      <c r="H18" s="503" t="n"/>
      <c r="I18" s="503" t="n"/>
      <c r="J18" s="504" t="n"/>
      <c r="K18" s="504" t="n"/>
      <c r="L18" s="503" t="n"/>
      <c r="M18" s="503" t="n"/>
      <c r="N18" s="503" t="n"/>
      <c r="O18" s="503" t="n"/>
      <c r="P18" s="507" t="n"/>
      <c r="Q18" s="362" t="n"/>
      <c r="R18" s="1024">
        <f>IF(B18='🎯 SÓI v42 — TRA CỨU &amp; DEEP DIV'!$C$4,"⭐ ĐANG XEM","")</f>
        <v/>
      </c>
    </row>
    <row r="19" ht="15" customHeight="1" s="981">
      <c r="A19" s="1050" t="n"/>
      <c r="B19" s="327" t="inlineStr">
        <is>
          <t>ACB</t>
        </is>
      </c>
      <c r="C19" s="361" t="inlineStr">
        <is>
          <t>ACB Bank</t>
        </is>
      </c>
      <c r="D19" s="361" t="inlineStr">
        <is>
          <t>Ngân hàng</t>
        </is>
      </c>
      <c r="E19" s="327" t="n"/>
      <c r="F19" s="501" t="n"/>
      <c r="G19" s="327" t="n"/>
      <c r="H19" s="327" t="n"/>
      <c r="I19" s="327" t="n"/>
      <c r="J19" s="501" t="n"/>
      <c r="K19" s="501" t="n"/>
      <c r="L19" s="327" t="n"/>
      <c r="M19" s="327" t="n"/>
      <c r="N19" s="327" t="n"/>
      <c r="O19" s="327" t="n"/>
      <c r="P19" s="507" t="n"/>
      <c r="Q19" s="361" t="n"/>
      <c r="R19" s="1024">
        <f>IF(B19='🎯 SÓI v42 — TRA CỨU &amp; DEEP DIV'!$C$4,"⭐ ĐANG XEM","")</f>
        <v/>
      </c>
    </row>
    <row r="20" ht="15" customHeight="1" s="981">
      <c r="A20" s="1050" t="n"/>
      <c r="B20" s="503" t="inlineStr">
        <is>
          <t>CTR</t>
        </is>
      </c>
      <c r="C20" s="362" t="inlineStr">
        <is>
          <t>Viettel Construction</t>
        </is>
      </c>
      <c r="D20" s="362" t="inlineStr">
        <is>
          <t>Hạ tầng</t>
        </is>
      </c>
      <c r="E20" s="503" t="n"/>
      <c r="F20" s="504" t="n"/>
      <c r="G20" s="503" t="n"/>
      <c r="H20" s="503" t="n"/>
      <c r="I20" s="503" t="n"/>
      <c r="J20" s="504" t="n"/>
      <c r="K20" s="504" t="n"/>
      <c r="L20" s="503" t="n"/>
      <c r="M20" s="503" t="n"/>
      <c r="N20" s="503" t="n"/>
      <c r="O20" s="503" t="n"/>
      <c r="P20" s="507" t="n"/>
      <c r="Q20" s="362" t="n"/>
      <c r="R20" s="1024">
        <f>IF(B20='🎯 SÓI v42 — TRA CỨU &amp; DEEP DIV'!$C$4,"⭐ ĐANG XEM","")</f>
        <v/>
      </c>
    </row>
    <row r="21" ht="15" customHeight="1" s="981">
      <c r="A21" s="1050" t="n"/>
      <c r="B21" s="327" t="inlineStr">
        <is>
          <t>VFG</t>
        </is>
      </c>
      <c r="C21" s="361" t="inlineStr">
        <is>
          <t>Viet Phap Fertilizer</t>
        </is>
      </c>
      <c r="D21" s="361" t="inlineStr">
        <is>
          <t>Nông nghiệp</t>
        </is>
      </c>
      <c r="E21" s="327" t="n"/>
      <c r="F21" s="501" t="n"/>
      <c r="G21" s="327" t="n"/>
      <c r="H21" s="327" t="n"/>
      <c r="I21" s="327" t="n"/>
      <c r="J21" s="501" t="n"/>
      <c r="K21" s="501" t="n"/>
      <c r="L21" s="327" t="n"/>
      <c r="M21" s="327" t="n"/>
      <c r="N21" s="327" t="n"/>
      <c r="O21" s="327" t="n"/>
      <c r="P21" s="507" t="n"/>
      <c r="Q21" s="361" t="n"/>
      <c r="R21" s="1024">
        <f>IF(B21='🎯 SÓI v42 — TRA CỨU &amp; DEEP DIV'!$C$4,"⭐ ĐANG XEM","")</f>
        <v/>
      </c>
    </row>
    <row r="22" ht="15" customHeight="1" s="981">
      <c r="A22" s="1050" t="n"/>
      <c r="B22" s="503" t="inlineStr">
        <is>
          <t>DHC</t>
        </is>
      </c>
      <c r="C22" s="362" t="inlineStr">
        <is>
          <t>Dong Hai Ben Tre</t>
        </is>
      </c>
      <c r="D22" s="362" t="inlineStr">
        <is>
          <t>Vật liệu XD</t>
        </is>
      </c>
      <c r="E22" s="503" t="n"/>
      <c r="F22" s="504" t="n"/>
      <c r="G22" s="503" t="n"/>
      <c r="H22" s="503" t="n"/>
      <c r="I22" s="503" t="n"/>
      <c r="J22" s="504" t="n"/>
      <c r="K22" s="504" t="n"/>
      <c r="L22" s="503" t="n"/>
      <c r="M22" s="503" t="n"/>
      <c r="N22" s="503" t="n"/>
      <c r="O22" s="503" t="n"/>
      <c r="P22" s="507" t="n"/>
      <c r="Q22" s="362" t="n"/>
      <c r="R22" s="1024">
        <f>IF(B22='🎯 SÓI v42 — TRA CỨU &amp; DEEP DIV'!$C$4,"⭐ ĐANG XEM","")</f>
        <v/>
      </c>
    </row>
    <row r="23" ht="15" customHeight="1" s="981">
      <c r="A23" s="1050" t="n"/>
      <c r="B23" s="327" t="inlineStr">
        <is>
          <t>VNM</t>
        </is>
      </c>
      <c r="C23" s="361" t="inlineStr">
        <is>
          <t>Vinamilk</t>
        </is>
      </c>
      <c r="D23" s="361" t="inlineStr">
        <is>
          <t>Tiêu dùng</t>
        </is>
      </c>
      <c r="E23" s="327" t="n"/>
      <c r="F23" s="501" t="n"/>
      <c r="G23" s="327" t="n"/>
      <c r="H23" s="327" t="n"/>
      <c r="I23" s="327" t="n"/>
      <c r="J23" s="501" t="n"/>
      <c r="K23" s="501" t="n"/>
      <c r="L23" s="327" t="n"/>
      <c r="M23" s="327" t="n"/>
      <c r="N23" s="327" t="n"/>
      <c r="O23" s="327" t="n"/>
      <c r="P23" s="507" t="n"/>
      <c r="Q23" s="361" t="n"/>
      <c r="R23" s="1024">
        <f>IF(B23='🎯 SÓI v42 — TRA CỨU &amp; DEEP DIV'!$C$4,"⭐ ĐANG XEM","")</f>
        <v/>
      </c>
    </row>
    <row r="24" ht="15" customHeight="1" s="981">
      <c r="A24" s="1050" t="n"/>
      <c r="B24" s="503" t="inlineStr">
        <is>
          <t>DBC</t>
        </is>
      </c>
      <c r="C24" s="362" t="inlineStr">
        <is>
          <t>Dabaco Group</t>
        </is>
      </c>
      <c r="D24" s="362" t="inlineStr">
        <is>
          <t>Nông nghiệp</t>
        </is>
      </c>
      <c r="E24" s="503" t="n"/>
      <c r="F24" s="504" t="n"/>
      <c r="G24" s="503" t="n"/>
      <c r="H24" s="503" t="n"/>
      <c r="I24" s="503" t="n"/>
      <c r="J24" s="504" t="n"/>
      <c r="K24" s="504" t="n"/>
      <c r="L24" s="503" t="n"/>
      <c r="M24" s="503" t="n"/>
      <c r="N24" s="503" t="n"/>
      <c r="O24" s="503" t="n"/>
      <c r="P24" s="507" t="n"/>
      <c r="Q24" s="362" t="n"/>
      <c r="R24" s="1024">
        <f>IF(B24='🎯 SÓI v42 — TRA CỨU &amp; DEEP DIV'!$C$4,"⭐ ĐANG XEM","")</f>
        <v/>
      </c>
    </row>
    <row r="25" ht="15" customHeight="1" s="981">
      <c r="A25" s="1050" t="n"/>
      <c r="B25" s="327" t="inlineStr">
        <is>
          <t>QNS</t>
        </is>
      </c>
      <c r="C25" s="361" t="inlineStr">
        <is>
          <t>Quang Ngai Sugar</t>
        </is>
      </c>
      <c r="D25" s="361" t="inlineStr">
        <is>
          <t>Thực phẩm</t>
        </is>
      </c>
      <c r="E25" s="327" t="n"/>
      <c r="F25" s="501" t="n"/>
      <c r="G25" s="327" t="n"/>
      <c r="H25" s="327" t="n"/>
      <c r="I25" s="327" t="n"/>
      <c r="J25" s="501" t="n"/>
      <c r="K25" s="501" t="n"/>
      <c r="L25" s="327" t="n"/>
      <c r="M25" s="327" t="n"/>
      <c r="N25" s="327" t="n"/>
      <c r="O25" s="327" t="n"/>
      <c r="P25" s="507" t="n"/>
      <c r="Q25" s="361" t="n"/>
      <c r="R25" s="1024">
        <f>IF(B25='🎯 SÓI v42 — TRA CỨU &amp; DEEP DIV'!$C$4,"⭐ ĐANG XEM","")</f>
        <v/>
      </c>
    </row>
    <row r="26" ht="15" customHeight="1" s="981">
      <c r="A26" s="1050" t="n"/>
      <c r="B26" s="503" t="inlineStr">
        <is>
          <t>PMC</t>
        </is>
      </c>
      <c r="C26" s="362" t="inlineStr">
        <is>
          <t>Pharmaceutical Midland</t>
        </is>
      </c>
      <c r="D26" s="362" t="inlineStr">
        <is>
          <t>Y tế</t>
        </is>
      </c>
      <c r="E26" s="503" t="n"/>
      <c r="F26" s="504" t="n"/>
      <c r="G26" s="503" t="n"/>
      <c r="H26" s="503" t="n"/>
      <c r="I26" s="503" t="n"/>
      <c r="J26" s="504" t="n"/>
      <c r="K26" s="504" t="n"/>
      <c r="L26" s="503" t="n"/>
      <c r="M26" s="503" t="n"/>
      <c r="N26" s="503" t="n"/>
      <c r="O26" s="503" t="n"/>
      <c r="P26" s="507" t="n"/>
      <c r="Q26" s="362" t="n"/>
      <c r="R26" s="1024">
        <f>IF(B26='🎯 SÓI v42 — TRA CỨU &amp; DEEP DIV'!$C$4,"⭐ ĐANG XEM","")</f>
        <v/>
      </c>
    </row>
    <row r="27" ht="15" customHeight="1" s="981">
      <c r="A27" s="1050" t="n"/>
      <c r="B27" s="327" t="inlineStr">
        <is>
          <t>LTG</t>
        </is>
      </c>
      <c r="C27" s="361" t="inlineStr">
        <is>
          <t>Loc Troi Group</t>
        </is>
      </c>
      <c r="D27" s="361" t="inlineStr">
        <is>
          <t>Nông nghiệp</t>
        </is>
      </c>
      <c r="E27" s="327" t="n"/>
      <c r="F27" s="501" t="n"/>
      <c r="G27" s="327" t="n"/>
      <c r="H27" s="327" t="n"/>
      <c r="I27" s="327" t="n"/>
      <c r="J27" s="501" t="n"/>
      <c r="K27" s="501" t="n"/>
      <c r="L27" s="327" t="n"/>
      <c r="M27" s="327" t="n"/>
      <c r="N27" s="327" t="n"/>
      <c r="O27" s="327" t="n"/>
      <c r="P27" s="507" t="n"/>
      <c r="Q27" s="361" t="n"/>
      <c r="R27" s="1024">
        <f>IF(B27='🎯 SÓI v42 — TRA CỨU &amp; DEEP DIV'!$C$4,"⭐ ĐANG XEM","")</f>
        <v/>
      </c>
    </row>
    <row r="28" ht="15" customHeight="1" s="981">
      <c r="A28" s="1050" t="n"/>
      <c r="B28" s="503" t="inlineStr">
        <is>
          <t>ICT</t>
        </is>
      </c>
      <c r="C28" s="362" t="inlineStr">
        <is>
          <t>Viettel Pay</t>
        </is>
      </c>
      <c r="D28" s="362" t="inlineStr">
        <is>
          <t>Công nghệ</t>
        </is>
      </c>
      <c r="E28" s="503" t="n"/>
      <c r="F28" s="504" t="n"/>
      <c r="G28" s="503" t="n"/>
      <c r="H28" s="503" t="n"/>
      <c r="I28" s="503" t="n"/>
      <c r="J28" s="504" t="n"/>
      <c r="K28" s="504" t="n"/>
      <c r="L28" s="503" t="n"/>
      <c r="M28" s="503" t="n"/>
      <c r="N28" s="503" t="n"/>
      <c r="O28" s="503" t="n"/>
      <c r="P28" s="507" t="n"/>
      <c r="Q28" s="362" t="n"/>
      <c r="R28" s="1024">
        <f>IF(B28='🎯 SÓI v42 — TRA CỨU &amp; DEEP DIV'!$C$4,"⭐ ĐANG XEM","")</f>
        <v/>
      </c>
    </row>
    <row r="29" ht="15" customHeight="1" s="981">
      <c r="A29" s="1050" t="n"/>
      <c r="B29" s="327" t="inlineStr">
        <is>
          <t>VTP</t>
        </is>
      </c>
      <c r="C29" s="361" t="inlineStr">
        <is>
          <t>Viettel Post</t>
        </is>
      </c>
      <c r="D29" s="361" t="inlineStr">
        <is>
          <t>Logistics</t>
        </is>
      </c>
      <c r="E29" s="327" t="n"/>
      <c r="F29" s="501" t="n"/>
      <c r="G29" s="327" t="n"/>
      <c r="H29" s="327" t="n"/>
      <c r="I29" s="327" t="n"/>
      <c r="J29" s="501" t="n"/>
      <c r="K29" s="501" t="n"/>
      <c r="L29" s="327" t="n"/>
      <c r="M29" s="327" t="n"/>
      <c r="N29" s="327" t="n"/>
      <c r="O29" s="327" t="n"/>
      <c r="P29" s="507" t="n"/>
      <c r="Q29" s="361" t="n"/>
      <c r="R29" s="1024">
        <f>IF(B29='🎯 SÓI v42 — TRA CỨU &amp; DEEP DIV'!$C$4,"⭐ ĐANG XEM","")</f>
        <v/>
      </c>
    </row>
    <row r="30" ht="15" customHeight="1" s="981">
      <c r="A30" s="1050" t="n"/>
      <c r="B30" s="503" t="inlineStr">
        <is>
          <t>BMP</t>
        </is>
      </c>
      <c r="C30" s="362" t="inlineStr">
        <is>
          <t>Bình Minh</t>
        </is>
      </c>
      <c r="D30" s="362" t="inlineStr">
        <is>
          <t>Nhựa</t>
        </is>
      </c>
      <c r="E30" s="503" t="n"/>
      <c r="F30" s="504" t="n"/>
      <c r="G30" s="503" t="n"/>
      <c r="H30" s="503" t="n"/>
      <c r="I30" s="503" t="n"/>
      <c r="J30" s="504" t="n"/>
      <c r="K30" s="504" t="n"/>
      <c r="L30" s="503" t="n"/>
      <c r="M30" s="503" t="n"/>
      <c r="N30" s="503" t="n"/>
      <c r="O30" s="503" t="n"/>
      <c r="P30" s="507" t="n"/>
      <c r="Q30" s="362" t="n"/>
      <c r="R30" s="1024">
        <f>IF(B30='🎯 SÓI v42 — TRA CỨU &amp; DEEP DIV'!$C$4,"⭐ ĐANG XEM","")</f>
        <v/>
      </c>
    </row>
    <row r="31" ht="15" customHeight="1" s="981">
      <c r="A31" s="1050" t="n"/>
      <c r="B31" s="327" t="inlineStr">
        <is>
          <t>VHC</t>
        </is>
      </c>
      <c r="C31" s="361" t="inlineStr">
        <is>
          <t>Vĩnh Hoàn</t>
        </is>
      </c>
      <c r="D31" s="361" t="inlineStr">
        <is>
          <t>Thủy sản</t>
        </is>
      </c>
      <c r="E31" s="327" t="n"/>
      <c r="F31" s="501" t="n"/>
      <c r="G31" s="327" t="n"/>
      <c r="H31" s="327" t="n"/>
      <c r="I31" s="327" t="n"/>
      <c r="J31" s="501" t="n"/>
      <c r="K31" s="501" t="n"/>
      <c r="L31" s="327" t="n"/>
      <c r="M31" s="327" t="n"/>
      <c r="N31" s="327" t="n"/>
      <c r="O31" s="327" t="n"/>
      <c r="P31" s="507" t="n"/>
      <c r="Q31" s="361" t="n"/>
      <c r="R31" s="1024">
        <f>IF(B31='🎯 SÓI v42 — TRA CỨU &amp; DEEP DIV'!$C$4,"⭐ ĐANG XEM","")</f>
        <v/>
      </c>
    </row>
    <row r="32" ht="15" customHeight="1" s="981">
      <c r="A32" s="1050" t="n"/>
      <c r="B32" s="503" t="inlineStr">
        <is>
          <t>VEA</t>
        </is>
      </c>
      <c r="C32" s="362" t="inlineStr">
        <is>
          <t>VEAM</t>
        </is>
      </c>
      <c r="D32" s="362" t="inlineStr">
        <is>
          <t>Cơ khí</t>
        </is>
      </c>
      <c r="E32" s="503" t="n"/>
      <c r="F32" s="504" t="n"/>
      <c r="G32" s="503" t="n"/>
      <c r="H32" s="503" t="n"/>
      <c r="I32" s="503" t="n"/>
      <c r="J32" s="504" t="n"/>
      <c r="K32" s="504" t="n"/>
      <c r="L32" s="503" t="n"/>
      <c r="M32" s="503" t="n"/>
      <c r="N32" s="503" t="n"/>
      <c r="O32" s="503" t="n"/>
      <c r="P32" s="507" t="n"/>
      <c r="Q32" s="362" t="n"/>
      <c r="R32" s="1024">
        <f>IF(B32='🎯 SÓI v42 — TRA CỨU &amp; DEEP DIV'!$C$4,"⭐ ĐANG XEM","")</f>
        <v/>
      </c>
    </row>
    <row r="33" ht="15" customHeight="1" s="981">
      <c r="A33" s="1050" t="n"/>
      <c r="B33" s="327" t="inlineStr">
        <is>
          <t>CTD</t>
        </is>
      </c>
      <c r="C33" s="361" t="inlineStr">
        <is>
          <t>Coteccons</t>
        </is>
      </c>
      <c r="D33" s="361" t="inlineStr">
        <is>
          <t>Xây dựng</t>
        </is>
      </c>
      <c r="E33" s="327" t="n"/>
      <c r="F33" s="501" t="n"/>
      <c r="G33" s="327" t="n"/>
      <c r="H33" s="327" t="n"/>
      <c r="I33" s="327" t="n"/>
      <c r="J33" s="501" t="n"/>
      <c r="K33" s="501" t="n"/>
      <c r="L33" s="327" t="n"/>
      <c r="M33" s="327" t="n"/>
      <c r="N33" s="327" t="n"/>
      <c r="O33" s="327" t="n"/>
      <c r="P33" s="507" t="n"/>
      <c r="Q33" s="361" t="n"/>
      <c r="R33" s="1024">
        <f>IF(B33='🎯 SÓI v42 — TRA CỨU &amp; DEEP DIV'!$C$4,"⭐ ĐANG XEM","")</f>
        <v/>
      </c>
    </row>
    <row r="34" ht="15" customHeight="1" s="981">
      <c r="A34" s="1050" t="n"/>
      <c r="B34" s="503" t="inlineStr">
        <is>
          <t>VHC</t>
        </is>
      </c>
      <c r="C34" s="362" t="inlineStr">
        <is>
          <t>Vĩnh Hoàn</t>
        </is>
      </c>
      <c r="D34" s="362" t="inlineStr">
        <is>
          <t>Thực phẩm</t>
        </is>
      </c>
      <c r="E34" s="503" t="n"/>
      <c r="F34" s="504" t="n"/>
      <c r="G34" s="503" t="n"/>
      <c r="H34" s="503" t="n"/>
      <c r="I34" s="503" t="n"/>
      <c r="J34" s="504" t="n"/>
      <c r="K34" s="504" t="n"/>
      <c r="L34" s="503" t="n"/>
      <c r="M34" s="503" t="n"/>
      <c r="N34" s="503" t="n"/>
      <c r="O34" s="503" t="n"/>
      <c r="P34" s="507" t="n"/>
      <c r="Q34" s="362" t="n"/>
      <c r="R34" s="1024">
        <f>IF(B34='🎯 SÓI v42 — TRA CỨU &amp; DEEP DIV'!$C$4,"⭐ ĐANG XEM","")</f>
        <v/>
      </c>
    </row>
    <row r="35" ht="15" customHeight="1" s="981">
      <c r="A35" s="1050" t="n"/>
      <c r="B35" s="327" t="inlineStr">
        <is>
          <t>FRT</t>
        </is>
      </c>
      <c r="C35" s="361" t="inlineStr">
        <is>
          <t>FPT Retail</t>
        </is>
      </c>
      <c r="D35" s="361" t="inlineStr">
        <is>
          <t>Bán lẻ</t>
        </is>
      </c>
      <c r="E35" s="327" t="n"/>
      <c r="F35" s="501" t="n"/>
      <c r="G35" s="327" t="n"/>
      <c r="H35" s="327" t="n"/>
      <c r="I35" s="327" t="n"/>
      <c r="J35" s="501" t="n"/>
      <c r="K35" s="501" t="n"/>
      <c r="L35" s="327" t="n"/>
      <c r="M35" s="327" t="n"/>
      <c r="N35" s="327" t="n"/>
      <c r="O35" s="327" t="n"/>
      <c r="P35" s="507" t="n"/>
      <c r="Q35" s="361" t="n"/>
      <c r="R35" s="1024">
        <f>IF(B35='🎯 SÓI v42 — TRA CỨU &amp; DEEP DIV'!$C$4,"⭐ ĐANG XEM","")</f>
        <v/>
      </c>
    </row>
    <row r="36" ht="15" customHeight="1" s="981">
      <c r="A36" s="1050" t="n"/>
      <c r="B36" s="503" t="inlineStr">
        <is>
          <t>FOX</t>
        </is>
      </c>
      <c r="C36" s="362" t="inlineStr">
        <is>
          <t>FPT Online</t>
        </is>
      </c>
      <c r="D36" s="362" t="inlineStr">
        <is>
          <t>Công nghệ</t>
        </is>
      </c>
      <c r="E36" s="503" t="n"/>
      <c r="F36" s="504" t="n"/>
      <c r="G36" s="503" t="n"/>
      <c r="H36" s="503" t="n"/>
      <c r="I36" s="503" t="n"/>
      <c r="J36" s="504" t="n"/>
      <c r="K36" s="504" t="n"/>
      <c r="L36" s="503" t="n"/>
      <c r="M36" s="503" t="n"/>
      <c r="N36" s="503" t="n"/>
      <c r="O36" s="503" t="n"/>
      <c r="P36" s="507" t="n"/>
      <c r="Q36" s="362" t="n"/>
      <c r="R36" s="1024">
        <f>IF(B36='🎯 SÓI v42 — TRA CỨU &amp; DEEP DIV'!$C$4,"⭐ ĐANG XEM","")</f>
        <v/>
      </c>
    </row>
    <row r="37" ht="15" customHeight="1" s="981">
      <c r="A37" s="1050" t="n"/>
      <c r="B37" s="327" t="inlineStr">
        <is>
          <t>HAH</t>
        </is>
      </c>
      <c r="C37" s="361" t="inlineStr">
        <is>
          <t>Hải An</t>
        </is>
      </c>
      <c r="D37" s="361" t="inlineStr">
        <is>
          <t>Vận tải</t>
        </is>
      </c>
      <c r="E37" s="327" t="n"/>
      <c r="F37" s="501" t="n"/>
      <c r="G37" s="327" t="n"/>
      <c r="H37" s="327" t="n"/>
      <c r="I37" s="327" t="n"/>
      <c r="J37" s="501" t="n"/>
      <c r="K37" s="501" t="n"/>
      <c r="L37" s="327" t="n"/>
      <c r="M37" s="327" t="n"/>
      <c r="N37" s="327" t="n"/>
      <c r="O37" s="327" t="n"/>
      <c r="P37" s="507" t="n"/>
      <c r="Q37" s="361" t="n"/>
      <c r="R37" s="1024">
        <f>IF(B37='🎯 SÓI v42 — TRA CỨU &amp; DEEP DIV'!$C$4,"⭐ ĐANG XEM","")</f>
        <v/>
      </c>
    </row>
    <row r="38" ht="15" customHeight="1" s="981">
      <c r="A38" s="1050" t="n"/>
      <c r="B38" s="503" t="inlineStr">
        <is>
          <t>TAC</t>
        </is>
      </c>
      <c r="C38" s="362" t="inlineStr">
        <is>
          <t>Tuong An</t>
        </is>
      </c>
      <c r="D38" s="362" t="inlineStr">
        <is>
          <t>Thực phẩm</t>
        </is>
      </c>
      <c r="E38" s="503" t="n"/>
      <c r="F38" s="504" t="n"/>
      <c r="G38" s="503" t="n"/>
      <c r="H38" s="503" t="n"/>
      <c r="I38" s="503" t="n"/>
      <c r="J38" s="504" t="n"/>
      <c r="K38" s="504" t="n"/>
      <c r="L38" s="503" t="n"/>
      <c r="M38" s="503" t="n"/>
      <c r="N38" s="503" t="n"/>
      <c r="O38" s="503" t="n"/>
      <c r="P38" s="507" t="n"/>
      <c r="Q38" s="362" t="n"/>
      <c r="R38" s="1024">
        <f>IF(B38='🎯 SÓI v42 — TRA CỨU &amp; DEEP DIV'!$C$4,"⭐ ĐANG XEM","")</f>
        <v/>
      </c>
    </row>
    <row r="39" ht="15" customHeight="1" s="981">
      <c r="A39" s="1050" t="n"/>
      <c r="B39" s="327" t="inlineStr">
        <is>
          <t>MBB</t>
        </is>
      </c>
      <c r="C39" s="361" t="inlineStr">
        <is>
          <t>MB Bank</t>
        </is>
      </c>
      <c r="D39" s="361" t="inlineStr">
        <is>
          <t>Ngân hàng</t>
        </is>
      </c>
      <c r="E39" s="327" t="n"/>
      <c r="F39" s="501" t="n"/>
      <c r="G39" s="327" t="n"/>
      <c r="H39" s="327" t="n"/>
      <c r="I39" s="327" t="n"/>
      <c r="J39" s="501" t="n"/>
      <c r="K39" s="501" t="n"/>
      <c r="L39" s="327" t="n"/>
      <c r="M39" s="327" t="n"/>
      <c r="N39" s="327" t="n"/>
      <c r="O39" s="327" t="n"/>
      <c r="P39" s="507" t="n"/>
      <c r="Q39" s="361" t="n"/>
      <c r="R39" s="1024">
        <f>IF(B39='🎯 SÓI v42 — TRA CỨU &amp; DEEP DIV'!$C$4,"⭐ ĐANG XEM","")</f>
        <v/>
      </c>
    </row>
    <row r="40" ht="15" customHeight="1" s="981">
      <c r="A40" s="1050" t="n"/>
      <c r="B40" s="503" t="inlineStr">
        <is>
          <t>MWG</t>
        </is>
      </c>
      <c r="C40" s="362" t="inlineStr">
        <is>
          <t>Mobile World</t>
        </is>
      </c>
      <c r="D40" s="362" t="inlineStr">
        <is>
          <t>Bán lẻ</t>
        </is>
      </c>
      <c r="E40" s="503" t="n"/>
      <c r="F40" s="504" t="n"/>
      <c r="G40" s="503" t="n"/>
      <c r="H40" s="503" t="n"/>
      <c r="I40" s="503" t="n"/>
      <c r="J40" s="504" t="n"/>
      <c r="K40" s="504" t="n"/>
      <c r="L40" s="503" t="n"/>
      <c r="M40" s="503" t="n"/>
      <c r="N40" s="503" t="n"/>
      <c r="O40" s="503" t="n"/>
      <c r="P40" s="507" t="n"/>
      <c r="Q40" s="362" t="n"/>
      <c r="R40" s="1024">
        <f>IF(B40='🎯 SÓI v42 — TRA CỨU &amp; DEEP DIV'!$C$4,"⭐ ĐANG XEM","")</f>
        <v/>
      </c>
    </row>
    <row r="41" ht="15" customHeight="1" s="981">
      <c r="A41" s="1050" t="n"/>
      <c r="B41" s="327" t="inlineStr">
        <is>
          <t>ACV</t>
        </is>
      </c>
      <c r="C41" s="361" t="inlineStr">
        <is>
          <t>Cảng Hàng Không VN</t>
        </is>
      </c>
      <c r="D41" s="361" t="inlineStr">
        <is>
          <t>Vận tải</t>
        </is>
      </c>
      <c r="E41" s="327" t="n"/>
      <c r="F41" s="501" t="n"/>
      <c r="G41" s="327" t="n"/>
      <c r="H41" s="327" t="n"/>
      <c r="I41" s="327" t="n"/>
      <c r="J41" s="501" t="n"/>
      <c r="K41" s="501" t="n"/>
      <c r="L41" s="327" t="n"/>
      <c r="M41" s="327" t="n"/>
      <c r="N41" s="327" t="n"/>
      <c r="O41" s="327" t="n"/>
      <c r="P41" s="507" t="n"/>
      <c r="Q41" s="361" t="n"/>
      <c r="R41" s="1024">
        <f>IF(B41='🎯 SÓI v42 — TRA CỨU &amp; DEEP DIV'!$C$4,"⭐ ĐANG XEM","")</f>
        <v/>
      </c>
    </row>
    <row r="42" ht="15" customHeight="1" s="981">
      <c r="A42" s="1050" t="n"/>
      <c r="B42" s="503" t="inlineStr">
        <is>
          <t>DHG</t>
        </is>
      </c>
      <c r="C42" s="362" t="inlineStr">
        <is>
          <t>Dược Hậu Giang</t>
        </is>
      </c>
      <c r="D42" s="362" t="inlineStr">
        <is>
          <t>Dược</t>
        </is>
      </c>
      <c r="E42" s="503" t="n"/>
      <c r="F42" s="504" t="n"/>
      <c r="G42" s="503" t="n"/>
      <c r="H42" s="503" t="n"/>
      <c r="I42" s="503" t="n"/>
      <c r="J42" s="504" t="n"/>
      <c r="K42" s="504" t="n"/>
      <c r="L42" s="503" t="n"/>
      <c r="M42" s="503" t="n"/>
      <c r="N42" s="503" t="n"/>
      <c r="O42" s="503" t="n"/>
      <c r="P42" s="507" t="n"/>
      <c r="Q42" s="362" t="n"/>
      <c r="R42" s="1024">
        <f>IF(B42='🎯 SÓI v42 — TRA CỨU &amp; DEEP DIV'!$C$4,"⭐ ĐANG XEM","")</f>
        <v/>
      </c>
    </row>
    <row r="43" ht="15" customHeight="1" s="981">
      <c r="A43" s="1050" t="n"/>
      <c r="B43" s="327" t="inlineStr">
        <is>
          <t>DPR</t>
        </is>
      </c>
      <c r="C43" s="361" t="inlineStr">
        <is>
          <t>Đồng Phú</t>
        </is>
      </c>
      <c r="D43" s="361" t="inlineStr">
        <is>
          <t>Cao su</t>
        </is>
      </c>
      <c r="E43" s="327" t="n"/>
      <c r="F43" s="501" t="n"/>
      <c r="G43" s="327" t="n"/>
      <c r="H43" s="327" t="n"/>
      <c r="I43" s="327" t="n"/>
      <c r="J43" s="501" t="n"/>
      <c r="K43" s="501" t="n"/>
      <c r="L43" s="327" t="n"/>
      <c r="M43" s="327" t="n"/>
      <c r="N43" s="327" t="n"/>
      <c r="O43" s="327" t="n"/>
      <c r="P43" s="507" t="n"/>
      <c r="Q43" s="361" t="n"/>
      <c r="R43" s="1024">
        <f>IF(B43='🎯 SÓI v42 — TRA CỨU &amp; DEEP DIV'!$C$4,"⭐ ĐANG XEM","")</f>
        <v/>
      </c>
    </row>
    <row r="44" ht="15" customHeight="1" s="981">
      <c r="A44" s="1050" t="n"/>
      <c r="B44" s="503" t="inlineStr">
        <is>
          <t>VIB</t>
        </is>
      </c>
      <c r="C44" s="362" t="inlineStr">
        <is>
          <t>VIB Bank</t>
        </is>
      </c>
      <c r="D44" s="362" t="inlineStr">
        <is>
          <t>Ngân hàng</t>
        </is>
      </c>
      <c r="E44" s="503" t="n"/>
      <c r="F44" s="504" t="n"/>
      <c r="G44" s="503" t="n"/>
      <c r="H44" s="503" t="n"/>
      <c r="I44" s="503" t="n"/>
      <c r="J44" s="504" t="n"/>
      <c r="K44" s="504" t="n"/>
      <c r="L44" s="503" t="n"/>
      <c r="M44" s="503" t="n"/>
      <c r="N44" s="503" t="n"/>
      <c r="O44" s="503" t="n"/>
      <c r="P44" s="507" t="n"/>
      <c r="Q44" s="362" t="n"/>
      <c r="R44" s="1024">
        <f>IF(B44='🎯 SÓI v42 — TRA CỨU &amp; DEEP DIV'!$C$4,"⭐ ĐANG XEM","")</f>
        <v/>
      </c>
    </row>
    <row r="45" ht="15" customHeight="1" s="981">
      <c r="A45" s="1050" t="n"/>
      <c r="B45" s="327" t="inlineStr">
        <is>
          <t>IDC</t>
        </is>
      </c>
      <c r="C45" s="361" t="inlineStr">
        <is>
          <t>IDICO</t>
        </is>
      </c>
      <c r="D45" s="361" t="inlineStr">
        <is>
          <t>Bất động sản</t>
        </is>
      </c>
      <c r="E45" s="327" t="n"/>
      <c r="F45" s="501" t="n"/>
      <c r="G45" s="327" t="n"/>
      <c r="H45" s="327" t="n"/>
      <c r="I45" s="327" t="n"/>
      <c r="J45" s="501" t="n"/>
      <c r="K45" s="501" t="n"/>
      <c r="L45" s="327" t="n"/>
      <c r="M45" s="327" t="n"/>
      <c r="N45" s="327" t="n"/>
      <c r="O45" s="327" t="n"/>
      <c r="P45" s="507" t="n"/>
      <c r="Q45" s="361" t="n"/>
      <c r="R45" s="1024">
        <f>IF(B45='🎯 SÓI v42 — TRA CỨU &amp; DEEP DIV'!$C$4,"⭐ ĐANG XEM","")</f>
        <v/>
      </c>
    </row>
    <row r="46" ht="15" customHeight="1" s="981">
      <c r="A46" s="1050" t="n"/>
      <c r="B46" s="503" t="inlineStr">
        <is>
          <t>TCB</t>
        </is>
      </c>
      <c r="C46" s="362" t="inlineStr">
        <is>
          <t>Techcombank</t>
        </is>
      </c>
      <c r="D46" s="362" t="inlineStr">
        <is>
          <t>Ngân hàng</t>
        </is>
      </c>
      <c r="E46" s="503" t="n"/>
      <c r="F46" s="504" t="n"/>
      <c r="G46" s="503" t="n"/>
      <c r="H46" s="503" t="n"/>
      <c r="I46" s="503" t="n"/>
      <c r="J46" s="504" t="n"/>
      <c r="K46" s="504" t="n"/>
      <c r="L46" s="503" t="n"/>
      <c r="M46" s="503" t="n"/>
      <c r="N46" s="503" t="n"/>
      <c r="O46" s="503" t="n"/>
      <c r="P46" s="507" t="n"/>
      <c r="Q46" s="362" t="n"/>
      <c r="R46" s="1024">
        <f>IF(B46='🎯 SÓI v42 — TRA CỨU &amp; DEEP DIV'!$C$4,"⭐ ĐANG XEM","")</f>
        <v/>
      </c>
    </row>
    <row r="47" ht="15" customHeight="1" s="981">
      <c r="A47" s="1050" t="n"/>
      <c r="B47" s="327" t="inlineStr">
        <is>
          <t>VCI</t>
        </is>
      </c>
      <c r="C47" s="361" t="inlineStr">
        <is>
          <t>Vietcap</t>
        </is>
      </c>
      <c r="D47" s="361" t="inlineStr">
        <is>
          <t>Chứng khoán</t>
        </is>
      </c>
      <c r="E47" s="327" t="n"/>
      <c r="F47" s="501" t="n"/>
      <c r="G47" s="327" t="n"/>
      <c r="H47" s="327" t="n"/>
      <c r="I47" s="327" t="n"/>
      <c r="J47" s="501" t="n"/>
      <c r="K47" s="501" t="n"/>
      <c r="L47" s="327" t="n"/>
      <c r="M47" s="327" t="n"/>
      <c r="N47" s="327" t="n"/>
      <c r="O47" s="327" t="n"/>
      <c r="P47" s="507" t="n"/>
      <c r="Q47" s="361" t="n"/>
      <c r="R47" s="1024">
        <f>IF(B47='🎯 SÓI v42 — TRA CỨU &amp; DEEP DIV'!$C$4,"⭐ ĐANG XEM","")</f>
        <v/>
      </c>
    </row>
    <row r="48" ht="15" customHeight="1" s="981">
      <c r="A48" s="1050" t="n"/>
      <c r="B48" s="503" t="inlineStr">
        <is>
          <t>SIP</t>
        </is>
      </c>
      <c r="C48" s="362" t="inlineStr">
        <is>
          <t>SIP</t>
        </is>
      </c>
      <c r="D48" s="362" t="inlineStr">
        <is>
          <t>Bất động sản</t>
        </is>
      </c>
      <c r="E48" s="503" t="n"/>
      <c r="F48" s="504" t="n"/>
      <c r="G48" s="503" t="n"/>
      <c r="H48" s="503" t="n"/>
      <c r="I48" s="503" t="n"/>
      <c r="J48" s="504" t="n"/>
      <c r="K48" s="504" t="n"/>
      <c r="L48" s="503" t="n"/>
      <c r="M48" s="503" t="n"/>
      <c r="N48" s="503" t="n"/>
      <c r="O48" s="503" t="n"/>
      <c r="P48" s="507" t="n"/>
      <c r="Q48" s="362" t="n"/>
      <c r="R48" s="1024">
        <f>IF(B48='🎯 SÓI v42 — TRA CỨU &amp; DEEP DIV'!$C$4,"⭐ ĐANG XEM","")</f>
        <v/>
      </c>
    </row>
    <row r="49" ht="15" customHeight="1" s="981">
      <c r="A49" s="1050" t="n"/>
      <c r="B49" s="327" t="inlineStr">
        <is>
          <t>LHG</t>
        </is>
      </c>
      <c r="C49" s="361" t="inlineStr">
        <is>
          <t>Long Hậu</t>
        </is>
      </c>
      <c r="D49" s="361" t="inlineStr">
        <is>
          <t>Bất động sản</t>
        </is>
      </c>
      <c r="E49" s="327" t="n"/>
      <c r="F49" s="501" t="n"/>
      <c r="G49" s="327" t="n"/>
      <c r="H49" s="327" t="n"/>
      <c r="I49" s="327" t="n"/>
      <c r="J49" s="501" t="n"/>
      <c r="K49" s="501" t="n"/>
      <c r="L49" s="327" t="n"/>
      <c r="M49" s="327" t="n"/>
      <c r="N49" s="327" t="n"/>
      <c r="O49" s="327" t="n"/>
      <c r="P49" s="507" t="n"/>
      <c r="Q49" s="361" t="n"/>
      <c r="R49" s="1024">
        <f>IF(B49='🎯 SÓI v42 — TRA CỨU &amp; DEEP DIV'!$C$4,"⭐ ĐANG XEM","")</f>
        <v/>
      </c>
    </row>
    <row r="50" ht="15" customHeight="1" s="981">
      <c r="A50" s="1050" t="n"/>
      <c r="B50" s="503" t="inlineStr">
        <is>
          <t>TCBS</t>
        </is>
      </c>
      <c r="C50" s="362" t="inlineStr">
        <is>
          <t>Techcom Securities</t>
        </is>
      </c>
      <c r="D50" s="362" t="inlineStr">
        <is>
          <t>Chứng khoán</t>
        </is>
      </c>
      <c r="E50" s="503" t="n"/>
      <c r="F50" s="504" t="n"/>
      <c r="G50" s="503" t="n"/>
      <c r="H50" s="503" t="n"/>
      <c r="I50" s="503" t="n"/>
      <c r="J50" s="504" t="n"/>
      <c r="K50" s="504" t="n"/>
      <c r="L50" s="503" t="n"/>
      <c r="M50" s="503" t="n"/>
      <c r="N50" s="503" t="n"/>
      <c r="O50" s="503" t="n"/>
      <c r="P50" s="507" t="n"/>
      <c r="Q50" s="362" t="n"/>
      <c r="R50" s="1024">
        <f>IF(B50='🎯 SÓI v42 — TRA CỨU &amp; DEEP DIV'!$C$4,"⭐ ĐANG XEM","")</f>
        <v/>
      </c>
    </row>
    <row r="51" ht="15" customHeight="1" s="981">
      <c r="A51" s="1050" t="n"/>
      <c r="B51" s="327" t="inlineStr">
        <is>
          <t>DHT</t>
        </is>
      </c>
      <c r="C51" s="361" t="inlineStr">
        <is>
          <t>Dieu Huong Pharma</t>
        </is>
      </c>
      <c r="D51" s="361" t="inlineStr">
        <is>
          <t>Y tế</t>
        </is>
      </c>
      <c r="E51" s="327" t="n"/>
      <c r="F51" s="501" t="n"/>
      <c r="G51" s="327" t="n"/>
      <c r="H51" s="327" t="n"/>
      <c r="I51" s="327" t="n"/>
      <c r="J51" s="501" t="n"/>
      <c r="K51" s="501" t="n"/>
      <c r="L51" s="327" t="n"/>
      <c r="M51" s="327" t="n"/>
      <c r="N51" s="327" t="n"/>
      <c r="O51" s="327" t="n"/>
      <c r="P51" s="507" t="n"/>
      <c r="Q51" s="361" t="n"/>
      <c r="R51" s="1024">
        <f>IF(B51='🎯 SÓI v42 — TRA CỨU &amp; DEEP DIV'!$C$4,"⭐ ĐANG XEM","")</f>
        <v/>
      </c>
    </row>
    <row r="52" ht="15" customHeight="1" s="981">
      <c r="A52" s="1050" t="n"/>
      <c r="B52" s="503" t="inlineStr">
        <is>
          <t>CNG</t>
        </is>
      </c>
      <c r="C52" s="362" t="inlineStr">
        <is>
          <t>CNG Vietnam</t>
        </is>
      </c>
      <c r="D52" s="362" t="inlineStr">
        <is>
          <t>Năng lượng</t>
        </is>
      </c>
      <c r="E52" s="503" t="n"/>
      <c r="F52" s="504" t="n"/>
      <c r="G52" s="503" t="n"/>
      <c r="H52" s="503" t="n"/>
      <c r="I52" s="503" t="n"/>
      <c r="J52" s="504" t="n"/>
      <c r="K52" s="504" t="n"/>
      <c r="L52" s="503" t="n"/>
      <c r="M52" s="503" t="n"/>
      <c r="N52" s="503" t="n"/>
      <c r="O52" s="503" t="n"/>
      <c r="P52" s="507" t="n"/>
      <c r="Q52" s="362" t="n"/>
      <c r="R52" s="1024">
        <f>IF(B52='🎯 SÓI v42 — TRA CỨU &amp; DEEP DIV'!$C$4,"⭐ ĐANG XEM","")</f>
        <v/>
      </c>
    </row>
    <row r="53" ht="15" customHeight="1" s="981">
      <c r="A53" s="1050" t="n"/>
      <c r="B53" s="327" t="inlineStr">
        <is>
          <t>PGS</t>
        </is>
      </c>
      <c r="C53" s="361" t="inlineStr">
        <is>
          <t>Petro Gas South</t>
        </is>
      </c>
      <c r="D53" s="361" t="inlineStr">
        <is>
          <t>Dầu khí</t>
        </is>
      </c>
      <c r="E53" s="327" t="n"/>
      <c r="F53" s="501" t="n"/>
      <c r="G53" s="327" t="n"/>
      <c r="H53" s="327" t="n"/>
      <c r="I53" s="327" t="n"/>
      <c r="J53" s="501" t="n"/>
      <c r="K53" s="501" t="n"/>
      <c r="L53" s="327" t="n"/>
      <c r="M53" s="327" t="n"/>
      <c r="N53" s="327" t="n"/>
      <c r="O53" s="327" t="n"/>
      <c r="P53" s="507" t="n"/>
      <c r="Q53" s="361" t="n"/>
      <c r="R53" s="1024">
        <f>IF(B53='🎯 SÓI v42 — TRA CỨU &amp; DEEP DIV'!$C$4,"⭐ ĐANG XEM","")</f>
        <v/>
      </c>
    </row>
    <row r="54" ht="15" customHeight="1" s="981">
      <c r="A54" s="1050" t="n"/>
      <c r="B54" s="503" t="inlineStr">
        <is>
          <t>VCB</t>
        </is>
      </c>
      <c r="C54" s="362" t="inlineStr">
        <is>
          <t>Vietcombank</t>
        </is>
      </c>
      <c r="D54" s="362" t="inlineStr">
        <is>
          <t>Ngân hàng</t>
        </is>
      </c>
      <c r="E54" s="503" t="n"/>
      <c r="F54" s="504" t="n"/>
      <c r="G54" s="503" t="n"/>
      <c r="H54" s="503" t="n"/>
      <c r="I54" s="503" t="n"/>
      <c r="J54" s="504" t="n"/>
      <c r="K54" s="504" t="n"/>
      <c r="L54" s="503" t="n"/>
      <c r="M54" s="503" t="n"/>
      <c r="N54" s="503" t="n"/>
      <c r="O54" s="503" t="n"/>
      <c r="P54" s="507" t="n"/>
      <c r="Q54" s="362" t="n"/>
      <c r="R54" s="1024">
        <f>IF(B54='🎯 SÓI v42 — TRA CỨU &amp; DEEP DIV'!$C$4,"⭐ ĐANG XEM","")</f>
        <v/>
      </c>
    </row>
    <row r="55" ht="15" customHeight="1" s="981">
      <c r="A55" s="1050" t="n"/>
      <c r="B55" s="327" t="inlineStr">
        <is>
          <t>HDG</t>
        </is>
      </c>
      <c r="C55" s="361" t="inlineStr">
        <is>
          <t>Hà Đô</t>
        </is>
      </c>
      <c r="D55" s="361" t="inlineStr">
        <is>
          <t>Bất động sản</t>
        </is>
      </c>
      <c r="E55" s="327" t="n"/>
      <c r="F55" s="501" t="n"/>
      <c r="G55" s="327" t="n"/>
      <c r="H55" s="327" t="n"/>
      <c r="I55" s="327" t="n"/>
      <c r="J55" s="501" t="n"/>
      <c r="K55" s="501" t="n"/>
      <c r="L55" s="327" t="n"/>
      <c r="M55" s="327" t="n"/>
      <c r="N55" s="327" t="n"/>
      <c r="O55" s="327" t="n"/>
      <c r="P55" s="507" t="n"/>
      <c r="Q55" s="361" t="n"/>
      <c r="R55" s="1024">
        <f>IF(B55='🎯 SÓI v42 — TRA CỨU &amp; DEEP DIV'!$C$4,"⭐ ĐANG XEM","")</f>
        <v/>
      </c>
    </row>
    <row r="56" ht="15" customHeight="1" s="981">
      <c r="A56" s="1050" t="n"/>
      <c r="B56" s="503" t="inlineStr">
        <is>
          <t>SAF</t>
        </is>
      </c>
      <c r="C56" s="362" t="inlineStr">
        <is>
          <t>Saigon Beer-Alcohol</t>
        </is>
      </c>
      <c r="D56" s="362" t="inlineStr">
        <is>
          <t>Thực phẩm</t>
        </is>
      </c>
      <c r="E56" s="503" t="n"/>
      <c r="F56" s="504" t="n"/>
      <c r="G56" s="503" t="n"/>
      <c r="H56" s="503" t="n"/>
      <c r="I56" s="503" t="n"/>
      <c r="J56" s="504" t="n"/>
      <c r="K56" s="504" t="n"/>
      <c r="L56" s="503" t="n"/>
      <c r="M56" s="503" t="n"/>
      <c r="N56" s="503" t="n"/>
      <c r="O56" s="503" t="n"/>
      <c r="P56" s="507" t="n"/>
      <c r="Q56" s="362" t="n"/>
      <c r="R56" s="1024">
        <f>IF(B56='🎯 SÓI v42 — TRA CỨU &amp; DEEP DIV'!$C$4,"⭐ ĐANG XEM","")</f>
        <v/>
      </c>
    </row>
    <row r="57" ht="15" customHeight="1" s="981">
      <c r="A57" s="1050" t="n"/>
      <c r="B57" s="327" t="inlineStr">
        <is>
          <t>VHM</t>
        </is>
      </c>
      <c r="C57" s="361" t="inlineStr">
        <is>
          <t>Vinhomes</t>
        </is>
      </c>
      <c r="D57" s="361" t="inlineStr">
        <is>
          <t>Bất động sản</t>
        </is>
      </c>
      <c r="E57" s="327" t="n"/>
      <c r="F57" s="501" t="n"/>
      <c r="G57" s="327" t="n"/>
      <c r="H57" s="327" t="n"/>
      <c r="I57" s="327" t="n"/>
      <c r="J57" s="501" t="n"/>
      <c r="K57" s="501" t="n"/>
      <c r="L57" s="327" t="n"/>
      <c r="M57" s="327" t="n"/>
      <c r="N57" s="327" t="n"/>
      <c r="O57" s="327" t="n"/>
      <c r="P57" s="507" t="n"/>
      <c r="Q57" s="361" t="n"/>
      <c r="R57" s="1024">
        <f>IF(B57='🎯 SÓI v42 — TRA CỨU &amp; DEEP DIV'!$C$4,"⭐ ĐANG XEM","")</f>
        <v/>
      </c>
    </row>
    <row r="58" ht="15" customHeight="1" s="981">
      <c r="A58" s="1050" t="n"/>
      <c r="B58" s="503" t="inlineStr">
        <is>
          <t>MSH</t>
        </is>
      </c>
      <c r="C58" s="362" t="inlineStr">
        <is>
          <t>May Sông Hồng</t>
        </is>
      </c>
      <c r="D58" s="362" t="inlineStr">
        <is>
          <t>Dệt may</t>
        </is>
      </c>
      <c r="E58" s="503" t="n"/>
      <c r="F58" s="504" t="n"/>
      <c r="G58" s="503" t="n"/>
      <c r="H58" s="503" t="n"/>
      <c r="I58" s="503" t="n"/>
      <c r="J58" s="504" t="n"/>
      <c r="K58" s="504" t="n"/>
      <c r="L58" s="503" t="n"/>
      <c r="M58" s="503" t="n"/>
      <c r="N58" s="503" t="n"/>
      <c r="O58" s="503" t="n"/>
      <c r="P58" s="507" t="n"/>
      <c r="Q58" s="362" t="n"/>
      <c r="R58" s="1024">
        <f>IF(B58='🎯 SÓI v42 — TRA CỨU &amp; DEEP DIV'!$C$4,"⭐ ĐANG XEM","")</f>
        <v/>
      </c>
    </row>
    <row r="59" ht="15" customHeight="1" s="981">
      <c r="A59" s="1050" t="n"/>
      <c r="B59" s="327" t="inlineStr">
        <is>
          <t>IMP</t>
        </is>
      </c>
      <c r="C59" s="361" t="inlineStr">
        <is>
          <t>Imexpharm</t>
        </is>
      </c>
      <c r="D59" s="361" t="inlineStr">
        <is>
          <t>Dược</t>
        </is>
      </c>
      <c r="E59" s="327" t="n"/>
      <c r="F59" s="501" t="n"/>
      <c r="G59" s="327" t="n"/>
      <c r="H59" s="327" t="n"/>
      <c r="I59" s="327" t="n"/>
      <c r="J59" s="501" t="n"/>
      <c r="K59" s="501" t="n"/>
      <c r="L59" s="327" t="n"/>
      <c r="M59" s="327" t="n"/>
      <c r="N59" s="327" t="n"/>
      <c r="O59" s="327" t="n"/>
      <c r="P59" s="507" t="n"/>
      <c r="Q59" s="361" t="n"/>
      <c r="R59" s="1024">
        <f>IF(B59='🎯 SÓI v42 — TRA CỨU &amp; DEEP DIV'!$C$4,"⭐ ĐANG XEM","")</f>
        <v/>
      </c>
    </row>
    <row r="60" ht="15" customHeight="1" s="981">
      <c r="A60" s="1050" t="n"/>
      <c r="B60" s="503" t="inlineStr">
        <is>
          <t>SGN</t>
        </is>
      </c>
      <c r="C60" s="362" t="inlineStr">
        <is>
          <t>Sài Gòn Ground</t>
        </is>
      </c>
      <c r="D60" s="362" t="inlineStr">
        <is>
          <t>Logistics</t>
        </is>
      </c>
      <c r="E60" s="503" t="n"/>
      <c r="F60" s="504" t="n"/>
      <c r="G60" s="503" t="n"/>
      <c r="H60" s="503" t="n"/>
      <c r="I60" s="503" t="n"/>
      <c r="J60" s="504" t="n"/>
      <c r="K60" s="504" t="n"/>
      <c r="L60" s="503" t="n"/>
      <c r="M60" s="503" t="n"/>
      <c r="N60" s="503" t="n"/>
      <c r="O60" s="503" t="n"/>
      <c r="P60" s="507" t="n"/>
      <c r="Q60" s="362" t="n"/>
      <c r="R60" s="1024">
        <f>IF(B60='🎯 SÓI v42 — TRA CỨU &amp; DEEP DIV'!$C$4,"⭐ ĐANG XEM","")</f>
        <v/>
      </c>
    </row>
    <row r="61" ht="15" customHeight="1" s="981">
      <c r="A61" s="1050" t="n"/>
      <c r="B61" s="327" t="inlineStr">
        <is>
          <t>KBC</t>
        </is>
      </c>
      <c r="C61" s="361" t="inlineStr">
        <is>
          <t>Kinh Bắc</t>
        </is>
      </c>
      <c r="D61" s="361" t="inlineStr">
        <is>
          <t>Bất động sản</t>
        </is>
      </c>
      <c r="E61" s="327" t="n"/>
      <c r="F61" s="501" t="n"/>
      <c r="G61" s="327" t="n"/>
      <c r="H61" s="327" t="n"/>
      <c r="I61" s="327" t="n"/>
      <c r="J61" s="501" t="n"/>
      <c r="K61" s="501" t="n"/>
      <c r="L61" s="327" t="n"/>
      <c r="M61" s="327" t="n"/>
      <c r="N61" s="327" t="n"/>
      <c r="O61" s="327" t="n"/>
      <c r="P61" s="507" t="n"/>
      <c r="Q61" s="361" t="n"/>
      <c r="R61" s="1024">
        <f>IF(B61='🎯 SÓI v42 — TRA CỨU &amp; DEEP DIV'!$C$4,"⭐ ĐANG XEM","")</f>
        <v/>
      </c>
    </row>
    <row r="62" ht="15" customHeight="1" s="981">
      <c r="A62" s="1050" t="n"/>
      <c r="B62" s="503" t="inlineStr">
        <is>
          <t>HDB</t>
        </is>
      </c>
      <c r="C62" s="362" t="inlineStr">
        <is>
          <t>HDBank</t>
        </is>
      </c>
      <c r="D62" s="362" t="inlineStr">
        <is>
          <t>Ngân hàng</t>
        </is>
      </c>
      <c r="E62" s="503" t="n"/>
      <c r="F62" s="504" t="n"/>
      <c r="G62" s="503" t="n"/>
      <c r="H62" s="503" t="n"/>
      <c r="I62" s="503" t="n"/>
      <c r="J62" s="504" t="n"/>
      <c r="K62" s="504" t="n"/>
      <c r="L62" s="503" t="n"/>
      <c r="M62" s="503" t="n"/>
      <c r="N62" s="503" t="n"/>
      <c r="O62" s="503" t="n"/>
      <c r="P62" s="507" t="n"/>
      <c r="Q62" s="362" t="n"/>
      <c r="R62" s="1024">
        <f>IF(B62='🎯 SÓI v42 — TRA CỨU &amp; DEEP DIV'!$C$4,"⭐ ĐANG XEM","")</f>
        <v/>
      </c>
    </row>
    <row r="63" ht="15" customHeight="1" s="981">
      <c r="A63" s="1050" t="n"/>
      <c r="B63" s="327" t="inlineStr">
        <is>
          <t>TPB</t>
        </is>
      </c>
      <c r="C63" s="361" t="inlineStr">
        <is>
          <t>TPBank</t>
        </is>
      </c>
      <c r="D63" s="361" t="inlineStr">
        <is>
          <t>Ngân hàng</t>
        </is>
      </c>
      <c r="E63" s="327" t="n"/>
      <c r="F63" s="501" t="n"/>
      <c r="G63" s="327" t="n"/>
      <c r="H63" s="327" t="n"/>
      <c r="I63" s="327" t="n"/>
      <c r="J63" s="501" t="n"/>
      <c r="K63" s="501" t="n"/>
      <c r="L63" s="327" t="n"/>
      <c r="M63" s="327" t="n"/>
      <c r="N63" s="327" t="n"/>
      <c r="O63" s="327" t="n"/>
      <c r="P63" s="507" t="n"/>
      <c r="Q63" s="361" t="n"/>
      <c r="R63" s="1024">
        <f>IF(B63='🎯 SÓI v42 — TRA CỨU &amp; DEEP DIV'!$C$4,"⭐ ĐANG XEM","")</f>
        <v/>
      </c>
    </row>
    <row r="64" ht="15" customHeight="1" s="981">
      <c r="A64" s="1050" t="n"/>
      <c r="B64" s="503" t="inlineStr">
        <is>
          <t>CMG</t>
        </is>
      </c>
      <c r="C64" s="362" t="inlineStr">
        <is>
          <t>CMC Corp</t>
        </is>
      </c>
      <c r="D64" s="362" t="inlineStr">
        <is>
          <t>Công nghệ</t>
        </is>
      </c>
      <c r="E64" s="503" t="n"/>
      <c r="F64" s="504" t="n"/>
      <c r="G64" s="503" t="n"/>
      <c r="H64" s="503" t="n"/>
      <c r="I64" s="503" t="n"/>
      <c r="J64" s="504" t="n"/>
      <c r="K64" s="504" t="n"/>
      <c r="L64" s="503" t="n"/>
      <c r="M64" s="503" t="n"/>
      <c r="N64" s="503" t="n"/>
      <c r="O64" s="503" t="n"/>
      <c r="P64" s="507" t="n"/>
      <c r="Q64" s="362" t="n"/>
      <c r="R64" s="1024">
        <f>IF(B64='🎯 SÓI v42 — TRA CỨU &amp; DEEP DIV'!$C$4,"⭐ ĐANG XEM","")</f>
        <v/>
      </c>
    </row>
    <row r="65" ht="15" customHeight="1" s="981">
      <c r="A65" s="1050" t="n"/>
      <c r="B65" s="327" t="inlineStr">
        <is>
          <t>PHR</t>
        </is>
      </c>
      <c r="C65" s="361" t="inlineStr">
        <is>
          <t>Phú Riềng</t>
        </is>
      </c>
      <c r="D65" s="361" t="inlineStr">
        <is>
          <t>Cao su</t>
        </is>
      </c>
      <c r="E65" s="327" t="n"/>
      <c r="F65" s="501" t="n"/>
      <c r="G65" s="327" t="n"/>
      <c r="H65" s="327" t="n"/>
      <c r="I65" s="327" t="n"/>
      <c r="J65" s="501" t="n"/>
      <c r="K65" s="501" t="n"/>
      <c r="L65" s="327" t="n"/>
      <c r="M65" s="327" t="n"/>
      <c r="N65" s="327" t="n"/>
      <c r="O65" s="327" t="n"/>
      <c r="P65" s="507" t="n"/>
      <c r="Q65" s="361" t="n"/>
      <c r="R65" s="1024">
        <f>IF(B65='🎯 SÓI v42 — TRA CỨU &amp; DEEP DIV'!$C$4,"⭐ ĐANG XEM","")</f>
        <v/>
      </c>
    </row>
    <row r="66" ht="15" customHeight="1" s="981">
      <c r="A66" s="1050" t="n"/>
      <c r="B66" s="503" t="inlineStr">
        <is>
          <t>TRC</t>
        </is>
      </c>
      <c r="C66" s="362" t="inlineStr">
        <is>
          <t>Tây Ninh</t>
        </is>
      </c>
      <c r="D66" s="362" t="inlineStr">
        <is>
          <t>Cao su</t>
        </is>
      </c>
      <c r="E66" s="503" t="n"/>
      <c r="F66" s="504" t="n"/>
      <c r="G66" s="503" t="n"/>
      <c r="H66" s="503" t="n"/>
      <c r="I66" s="503" t="n"/>
      <c r="J66" s="504" t="n"/>
      <c r="K66" s="504" t="n"/>
      <c r="L66" s="503" t="n"/>
      <c r="M66" s="503" t="n"/>
      <c r="N66" s="503" t="n"/>
      <c r="O66" s="503" t="n"/>
      <c r="P66" s="507" t="n"/>
      <c r="Q66" s="362" t="n"/>
      <c r="R66" s="1024">
        <f>IF(B66='🎯 SÓI v42 — TRA CỨU &amp; DEEP DIV'!$C$4,"⭐ ĐANG XEM","")</f>
        <v/>
      </c>
    </row>
    <row r="67" ht="15" customHeight="1" s="981">
      <c r="A67" s="1050" t="n"/>
      <c r="B67" s="327" t="inlineStr">
        <is>
          <t>PGI</t>
        </is>
      </c>
      <c r="C67" s="361" t="inlineStr">
        <is>
          <t>PGI</t>
        </is>
      </c>
      <c r="D67" s="361" t="inlineStr">
        <is>
          <t>Bảo hiểm</t>
        </is>
      </c>
      <c r="E67" s="327" t="n"/>
      <c r="F67" s="501" t="n"/>
      <c r="G67" s="327" t="n"/>
      <c r="H67" s="327" t="n"/>
      <c r="I67" s="327" t="n"/>
      <c r="J67" s="501" t="n"/>
      <c r="K67" s="501" t="n"/>
      <c r="L67" s="327" t="n"/>
      <c r="M67" s="327" t="n"/>
      <c r="N67" s="327" t="n"/>
      <c r="O67" s="327" t="n"/>
      <c r="P67" s="507" t="n"/>
      <c r="Q67" s="361" t="n"/>
      <c r="R67" s="1024">
        <f>IF(B67='🎯 SÓI v42 — TRA CỨU &amp; DEEP DIV'!$C$4,"⭐ ĐANG XEM","")</f>
        <v/>
      </c>
    </row>
    <row r="68" ht="15" customHeight="1" s="981">
      <c r="A68" s="1050" t="n"/>
      <c r="B68" s="503" t="inlineStr">
        <is>
          <t>STG</t>
        </is>
      </c>
      <c r="C68" s="362" t="inlineStr">
        <is>
          <t>Sotrans</t>
        </is>
      </c>
      <c r="D68" s="362" t="inlineStr">
        <is>
          <t>Logistics</t>
        </is>
      </c>
      <c r="E68" s="503" t="n"/>
      <c r="F68" s="504" t="n"/>
      <c r="G68" s="503" t="n"/>
      <c r="H68" s="503" t="n"/>
      <c r="I68" s="503" t="n"/>
      <c r="J68" s="504" t="n"/>
      <c r="K68" s="504" t="n"/>
      <c r="L68" s="503" t="n"/>
      <c r="M68" s="503" t="n"/>
      <c r="N68" s="503" t="n"/>
      <c r="O68" s="503" t="n"/>
      <c r="P68" s="507" t="n"/>
      <c r="Q68" s="362" t="n"/>
      <c r="R68" s="1024">
        <f>IF(B68='🎯 SÓI v42 — TRA CỨU &amp; DEEP DIV'!$C$4,"⭐ ĐANG XEM","")</f>
        <v/>
      </c>
    </row>
    <row r="69" ht="15" customHeight="1" s="981">
      <c r="A69" s="1050" t="n"/>
      <c r="B69" s="327" t="inlineStr">
        <is>
          <t>MBS</t>
        </is>
      </c>
      <c r="C69" s="361" t="inlineStr">
        <is>
          <t>MB Securities</t>
        </is>
      </c>
      <c r="D69" s="361" t="inlineStr">
        <is>
          <t>Chứng khoán</t>
        </is>
      </c>
      <c r="E69" s="327" t="n"/>
      <c r="F69" s="501" t="n"/>
      <c r="G69" s="327" t="n"/>
      <c r="H69" s="327" t="n"/>
      <c r="I69" s="327" t="n"/>
      <c r="J69" s="501" t="n"/>
      <c r="K69" s="501" t="n"/>
      <c r="L69" s="327" t="n"/>
      <c r="M69" s="327" t="n"/>
      <c r="N69" s="327" t="n"/>
      <c r="O69" s="327" t="n"/>
      <c r="P69" s="507" t="n"/>
      <c r="Q69" s="361" t="n"/>
      <c r="R69" s="1024">
        <f>IF(B69='🎯 SÓI v42 — TRA CỨU &amp; DEEP DIV'!$C$4,"⭐ ĐANG XEM","")</f>
        <v/>
      </c>
    </row>
    <row r="70" ht="15" customHeight="1" s="981">
      <c r="A70" s="1050" t="n"/>
      <c r="B70" s="503" t="inlineStr">
        <is>
          <t>TRA</t>
        </is>
      </c>
      <c r="C70" s="362" t="inlineStr">
        <is>
          <t>Traphaco</t>
        </is>
      </c>
      <c r="D70" s="362" t="inlineStr">
        <is>
          <t>Dược</t>
        </is>
      </c>
      <c r="E70" s="503" t="n"/>
      <c r="F70" s="504" t="n"/>
      <c r="G70" s="503" t="n"/>
      <c r="H70" s="503" t="n"/>
      <c r="I70" s="503" t="n"/>
      <c r="J70" s="504" t="n"/>
      <c r="K70" s="504" t="n"/>
      <c r="L70" s="503" t="n"/>
      <c r="M70" s="503" t="n"/>
      <c r="N70" s="503" t="n"/>
      <c r="O70" s="503" t="n"/>
      <c r="P70" s="507" t="n"/>
      <c r="Q70" s="362" t="n"/>
      <c r="R70" s="1024">
        <f>IF(B70='🎯 SÓI v42 — TRA CỨU &amp; DEEP DIV'!$C$4,"⭐ ĐANG XEM","")</f>
        <v/>
      </c>
    </row>
    <row r="71" ht="15" customHeight="1" s="981">
      <c r="A71" s="1050" t="n"/>
      <c r="B71" s="327" t="inlineStr">
        <is>
          <t>TMS</t>
        </is>
      </c>
      <c r="C71" s="361" t="inlineStr">
        <is>
          <t>Transimex</t>
        </is>
      </c>
      <c r="D71" s="361" t="inlineStr">
        <is>
          <t>Logistics</t>
        </is>
      </c>
      <c r="E71" s="327" t="n"/>
      <c r="F71" s="501" t="n"/>
      <c r="G71" s="327" t="n"/>
      <c r="H71" s="327" t="n"/>
      <c r="I71" s="327" t="n"/>
      <c r="J71" s="501" t="n"/>
      <c r="K71" s="501" t="n"/>
      <c r="L71" s="327" t="n"/>
      <c r="M71" s="327" t="n"/>
      <c r="N71" s="327" t="n"/>
      <c r="O71" s="327" t="n"/>
      <c r="P71" s="507" t="n"/>
      <c r="Q71" s="361" t="n"/>
      <c r="R71" s="1024">
        <f>IF(B71='🎯 SÓI v42 — TRA CỨU &amp; DEEP DIV'!$C$4,"⭐ ĐANG XEM","")</f>
        <v/>
      </c>
    </row>
    <row r="72" ht="15" customHeight="1" s="981">
      <c r="A72" s="1050" t="n"/>
      <c r="B72" s="503" t="inlineStr">
        <is>
          <t>VMD</t>
        </is>
      </c>
      <c r="C72" s="362" t="inlineStr">
        <is>
          <t>Medical Pharma</t>
        </is>
      </c>
      <c r="D72" s="362" t="inlineStr">
        <is>
          <t>Y tế</t>
        </is>
      </c>
      <c r="E72" s="503" t="n"/>
      <c r="F72" s="504" t="n"/>
      <c r="G72" s="503" t="n"/>
      <c r="H72" s="503" t="n"/>
      <c r="I72" s="503" t="n"/>
      <c r="J72" s="504" t="n"/>
      <c r="K72" s="504" t="n"/>
      <c r="L72" s="503" t="n"/>
      <c r="M72" s="503" t="n"/>
      <c r="N72" s="503" t="n"/>
      <c r="O72" s="503" t="n"/>
      <c r="P72" s="507" t="n"/>
      <c r="Q72" s="362" t="n"/>
      <c r="R72" s="1024">
        <f>IF(B72='🎯 SÓI v42 — TRA CỨU &amp; DEEP DIV'!$C$4,"⭐ ĐANG XEM","")</f>
        <v/>
      </c>
    </row>
    <row r="73" ht="15" customHeight="1" s="981">
      <c r="A73" s="1050" t="n"/>
      <c r="B73" s="327" t="inlineStr">
        <is>
          <t>SFI</t>
        </is>
      </c>
      <c r="C73" s="361" t="inlineStr">
        <is>
          <t>Sea Freight Indochina</t>
        </is>
      </c>
      <c r="D73" s="361" t="inlineStr">
        <is>
          <t>Logistics</t>
        </is>
      </c>
      <c r="E73" s="327" t="n"/>
      <c r="F73" s="501" t="n"/>
      <c r="G73" s="327" t="n"/>
      <c r="H73" s="327" t="n"/>
      <c r="I73" s="327" t="n"/>
      <c r="J73" s="501" t="n"/>
      <c r="K73" s="501" t="n"/>
      <c r="L73" s="327" t="n"/>
      <c r="M73" s="327" t="n"/>
      <c r="N73" s="327" t="n"/>
      <c r="O73" s="327" t="n"/>
      <c r="P73" s="507" t="n"/>
      <c r="Q73" s="361" t="n"/>
      <c r="R73" s="1024">
        <f>IF(B73='🎯 SÓI v42 — TRA CỨU &amp; DEEP DIV'!$C$4,"⭐ ĐANG XEM","")</f>
        <v/>
      </c>
    </row>
    <row r="74" ht="15" customHeight="1" s="981">
      <c r="A74" s="1050" t="n"/>
      <c r="B74" s="503" t="inlineStr">
        <is>
          <t>FTS</t>
        </is>
      </c>
      <c r="C74" s="362" t="inlineStr">
        <is>
          <t>FPT Securities</t>
        </is>
      </c>
      <c r="D74" s="362" t="inlineStr">
        <is>
          <t>Chứng khoán</t>
        </is>
      </c>
      <c r="E74" s="503" t="n"/>
      <c r="F74" s="504" t="n"/>
      <c r="G74" s="503" t="n"/>
      <c r="H74" s="503" t="n"/>
      <c r="I74" s="503" t="n"/>
      <c r="J74" s="504" t="n"/>
      <c r="K74" s="504" t="n"/>
      <c r="L74" s="503" t="n"/>
      <c r="M74" s="503" t="n"/>
      <c r="N74" s="503" t="n"/>
      <c r="O74" s="503" t="n"/>
      <c r="P74" s="507" t="n"/>
      <c r="Q74" s="362" t="n"/>
      <c r="R74" s="1024">
        <f>IF(B74='🎯 SÓI v42 — TRA CỨU &amp; DEEP DIV'!$C$4,"⭐ ĐANG XEM","")</f>
        <v/>
      </c>
    </row>
    <row r="75" ht="15" customHeight="1" s="981">
      <c r="A75" s="1050" t="n"/>
      <c r="B75" s="327" t="inlineStr">
        <is>
          <t>MSB</t>
        </is>
      </c>
      <c r="C75" s="361" t="inlineStr">
        <is>
          <t>MSB Bank</t>
        </is>
      </c>
      <c r="D75" s="361" t="inlineStr">
        <is>
          <t>Ngân hàng</t>
        </is>
      </c>
      <c r="E75" s="327" t="n"/>
      <c r="F75" s="501" t="n"/>
      <c r="G75" s="327" t="n"/>
      <c r="H75" s="327" t="n"/>
      <c r="I75" s="327" t="n"/>
      <c r="J75" s="501" t="n"/>
      <c r="K75" s="501" t="n"/>
      <c r="L75" s="327" t="n"/>
      <c r="M75" s="327" t="n"/>
      <c r="N75" s="327" t="n"/>
      <c r="O75" s="327" t="n"/>
      <c r="P75" s="507" t="n"/>
      <c r="Q75" s="361" t="n"/>
      <c r="R75" s="1024">
        <f>IF(B75='🎯 SÓI v42 — TRA CỨU &amp; DEEP DIV'!$C$4,"⭐ ĐANG XEM","")</f>
        <v/>
      </c>
    </row>
    <row r="76" ht="15" customHeight="1" s="981">
      <c r="A76" s="1050" t="n"/>
      <c r="B76" s="503" t="inlineStr">
        <is>
          <t>DBD</t>
        </is>
      </c>
      <c r="C76" s="362" t="inlineStr">
        <is>
          <t>Bidiphar</t>
        </is>
      </c>
      <c r="D76" s="362" t="inlineStr">
        <is>
          <t>Dược</t>
        </is>
      </c>
      <c r="E76" s="503" t="n"/>
      <c r="F76" s="504" t="n"/>
      <c r="G76" s="503" t="n"/>
      <c r="H76" s="503" t="n"/>
      <c r="I76" s="503" t="n"/>
      <c r="J76" s="504" t="n"/>
      <c r="K76" s="504" t="n"/>
      <c r="L76" s="503" t="n"/>
      <c r="M76" s="503" t="n"/>
      <c r="N76" s="503" t="n"/>
      <c r="O76" s="503" t="n"/>
      <c r="P76" s="507" t="n"/>
      <c r="Q76" s="362" t="n"/>
      <c r="R76" s="1024">
        <f>IF(B76='🎯 SÓI v42 — TRA CỨU &amp; DEEP DIV'!$C$4,"⭐ ĐANG XEM","")</f>
        <v/>
      </c>
    </row>
    <row r="77" ht="15" customHeight="1" s="981">
      <c r="A77" s="1050" t="n"/>
      <c r="B77" s="327" t="inlineStr">
        <is>
          <t>ABB</t>
        </is>
      </c>
      <c r="C77" s="361" t="inlineStr">
        <is>
          <t>An Bình</t>
        </is>
      </c>
      <c r="D77" s="361" t="inlineStr">
        <is>
          <t>Ngân hàng</t>
        </is>
      </c>
      <c r="E77" s="327" t="n"/>
      <c r="F77" s="501" t="n"/>
      <c r="G77" s="327" t="n"/>
      <c r="H77" s="327" t="n"/>
      <c r="I77" s="327" t="n"/>
      <c r="J77" s="501" t="n"/>
      <c r="K77" s="501" t="n"/>
      <c r="L77" s="327" t="n"/>
      <c r="M77" s="327" t="n"/>
      <c r="N77" s="327" t="n"/>
      <c r="O77" s="327" t="n"/>
      <c r="P77" s="507" t="n"/>
      <c r="Q77" s="361" t="n"/>
      <c r="R77" s="1024">
        <f>IF(B77='🎯 SÓI v42 — TRA CỨU &amp; DEEP DIV'!$C$4,"⭐ ĐANG XEM","")</f>
        <v/>
      </c>
    </row>
    <row r="78" ht="15" customHeight="1" s="981">
      <c r="A78" s="1050" t="n"/>
      <c r="B78" s="503" t="inlineStr">
        <is>
          <t>ANV</t>
        </is>
      </c>
      <c r="C78" s="362" t="inlineStr">
        <is>
          <t>Nam Việt</t>
        </is>
      </c>
      <c r="D78" s="362" t="inlineStr">
        <is>
          <t>Thực phẩm</t>
        </is>
      </c>
      <c r="E78" s="503" t="n"/>
      <c r="F78" s="504" t="n"/>
      <c r="G78" s="503" t="n"/>
      <c r="H78" s="503" t="n"/>
      <c r="I78" s="503" t="n"/>
      <c r="J78" s="504" t="n"/>
      <c r="K78" s="504" t="n"/>
      <c r="L78" s="503" t="n"/>
      <c r="M78" s="503" t="n"/>
      <c r="N78" s="503" t="n"/>
      <c r="O78" s="503" t="n"/>
      <c r="P78" s="507" t="n"/>
      <c r="Q78" s="362" t="n"/>
      <c r="R78" s="1024">
        <f>IF(B78='🎯 SÓI v42 — TRA CỨU &amp; DEEP DIV'!$C$4,"⭐ ĐANG XEM","")</f>
        <v/>
      </c>
    </row>
    <row r="79" ht="15" customHeight="1" s="981">
      <c r="A79" s="1050" t="n"/>
      <c r="B79" s="327" t="inlineStr">
        <is>
          <t>VGC</t>
        </is>
      </c>
      <c r="C79" s="361" t="inlineStr">
        <is>
          <t>Viglacera</t>
        </is>
      </c>
      <c r="D79" s="361" t="inlineStr">
        <is>
          <t>Vật liệu XD</t>
        </is>
      </c>
      <c r="E79" s="327" t="n"/>
      <c r="F79" s="501" t="n"/>
      <c r="G79" s="327" t="n"/>
      <c r="H79" s="327" t="n"/>
      <c r="I79" s="327" t="n"/>
      <c r="J79" s="501" t="n"/>
      <c r="K79" s="501" t="n"/>
      <c r="L79" s="327" t="n"/>
      <c r="M79" s="327" t="n"/>
      <c r="N79" s="327" t="n"/>
      <c r="O79" s="327" t="n"/>
      <c r="P79" s="507" t="n"/>
      <c r="Q79" s="361" t="n"/>
      <c r="R79" s="1024">
        <f>IF(B79='🎯 SÓI v42 — TRA CỨU &amp; DEEP DIV'!$C$4,"⭐ ĐANG XEM","")</f>
        <v/>
      </c>
    </row>
    <row r="80" ht="15" customHeight="1" s="981">
      <c r="A80" s="1050" t="n"/>
      <c r="B80" s="503" t="inlineStr">
        <is>
          <t>ELC</t>
        </is>
      </c>
      <c r="C80" s="362" t="inlineStr">
        <is>
          <t>Elcom</t>
        </is>
      </c>
      <c r="D80" s="362" t="inlineStr">
        <is>
          <t>Công nghệ</t>
        </is>
      </c>
      <c r="E80" s="503" t="n"/>
      <c r="F80" s="504" t="n"/>
      <c r="G80" s="503" t="n"/>
      <c r="H80" s="503" t="n"/>
      <c r="I80" s="503" t="n"/>
      <c r="J80" s="504" t="n"/>
      <c r="K80" s="504" t="n"/>
      <c r="L80" s="503" t="n"/>
      <c r="M80" s="503" t="n"/>
      <c r="N80" s="503" t="n"/>
      <c r="O80" s="503" t="n"/>
      <c r="P80" s="507" t="n"/>
      <c r="Q80" s="362" t="n"/>
      <c r="R80" s="1024">
        <f>IF(B80='🎯 SÓI v42 — TRA CỨU &amp; DEEP DIV'!$C$4,"⭐ ĐANG XEM","")</f>
        <v/>
      </c>
    </row>
    <row r="81" ht="15" customHeight="1" s="981">
      <c r="A81" s="1050" t="n"/>
      <c r="B81" s="327" t="inlineStr">
        <is>
          <t>VPB</t>
        </is>
      </c>
      <c r="C81" s="361" t="inlineStr">
        <is>
          <t>VPBank</t>
        </is>
      </c>
      <c r="D81" s="361" t="inlineStr">
        <is>
          <t>Ngân hàng</t>
        </is>
      </c>
      <c r="E81" s="327" t="n"/>
      <c r="F81" s="501" t="n"/>
      <c r="G81" s="327" t="n"/>
      <c r="H81" s="327" t="n"/>
      <c r="I81" s="327" t="n"/>
      <c r="J81" s="501" t="n"/>
      <c r="K81" s="501" t="n"/>
      <c r="L81" s="327" t="n"/>
      <c r="M81" s="327" t="n"/>
      <c r="N81" s="327" t="n"/>
      <c r="O81" s="327" t="n"/>
      <c r="P81" s="507" t="n"/>
      <c r="Q81" s="361" t="n"/>
      <c r="R81" s="1024">
        <f>IF(B81='🎯 SÓI v42 — TRA CỨU &amp; DEEP DIV'!$C$4,"⭐ ĐANG XEM","")</f>
        <v/>
      </c>
    </row>
    <row r="82" ht="15" customHeight="1" s="981">
      <c r="A82" s="1050" t="n"/>
      <c r="B82" s="503" t="inlineStr">
        <is>
          <t>HPG</t>
        </is>
      </c>
      <c r="C82" s="362" t="inlineStr">
        <is>
          <t>Hòa Phát</t>
        </is>
      </c>
      <c r="D82" s="362" t="inlineStr">
        <is>
          <t>Thép</t>
        </is>
      </c>
      <c r="E82" s="503" t="n"/>
      <c r="F82" s="504" t="n"/>
      <c r="G82" s="503" t="n"/>
      <c r="H82" s="503" t="n"/>
      <c r="I82" s="503" t="n"/>
      <c r="J82" s="504" t="n"/>
      <c r="K82" s="504" t="n"/>
      <c r="L82" s="503" t="n"/>
      <c r="M82" s="503" t="n"/>
      <c r="N82" s="503" t="n"/>
      <c r="O82" s="503" t="n"/>
      <c r="P82" s="507" t="n"/>
      <c r="Q82" s="362" t="n"/>
      <c r="R82" s="1024">
        <f>IF(B82='🎯 SÓI v42 — TRA CỨU &amp; DEEP DIV'!$C$4,"⭐ ĐANG XEM","")</f>
        <v/>
      </c>
    </row>
    <row r="83" ht="15" customHeight="1" s="981">
      <c r="A83" s="1050" t="n"/>
      <c r="B83" s="327" t="inlineStr">
        <is>
          <t>SHS</t>
        </is>
      </c>
      <c r="C83" s="361" t="inlineStr">
        <is>
          <t>SHS</t>
        </is>
      </c>
      <c r="D83" s="361" t="inlineStr">
        <is>
          <t>Chứng khoán</t>
        </is>
      </c>
      <c r="E83" s="327" t="n"/>
      <c r="F83" s="501" t="n"/>
      <c r="G83" s="327" t="n"/>
      <c r="H83" s="327" t="n"/>
      <c r="I83" s="327" t="n"/>
      <c r="J83" s="501" t="n"/>
      <c r="K83" s="501" t="n"/>
      <c r="L83" s="327" t="n"/>
      <c r="M83" s="327" t="n"/>
      <c r="N83" s="327" t="n"/>
      <c r="O83" s="327" t="n"/>
      <c r="P83" s="507" t="n"/>
      <c r="Q83" s="361" t="n"/>
      <c r="R83" s="1024">
        <f>IF(B83='🎯 SÓI v42 — TRA CỨU &amp; DEEP DIV'!$C$4,"⭐ ĐANG XEM","")</f>
        <v/>
      </c>
    </row>
    <row r="84" ht="15" customHeight="1" s="981">
      <c r="A84" s="1050" t="n"/>
      <c r="B84" s="503" t="inlineStr">
        <is>
          <t>SSI</t>
        </is>
      </c>
      <c r="C84" s="362" t="inlineStr">
        <is>
          <t>SSI Securities</t>
        </is>
      </c>
      <c r="D84" s="362" t="inlineStr">
        <is>
          <t>Chứng khoán</t>
        </is>
      </c>
      <c r="E84" s="503" t="n"/>
      <c r="F84" s="504" t="n"/>
      <c r="G84" s="503" t="n"/>
      <c r="H84" s="503" t="n"/>
      <c r="I84" s="503" t="n"/>
      <c r="J84" s="504" t="n"/>
      <c r="K84" s="504" t="n"/>
      <c r="L84" s="503" t="n"/>
      <c r="M84" s="503" t="n"/>
      <c r="N84" s="503" t="n"/>
      <c r="O84" s="503" t="n"/>
      <c r="P84" s="507" t="n"/>
      <c r="Q84" s="362" t="n"/>
      <c r="R84" s="1024">
        <f>IF(B84='🎯 SÓI v42 — TRA CỨU &amp; DEEP DIV'!$C$4,"⭐ ĐANG XEM","")</f>
        <v/>
      </c>
    </row>
    <row r="85" ht="15" customHeight="1" s="981">
      <c r="A85" s="1050" t="n"/>
      <c r="B85" s="327" t="inlineStr">
        <is>
          <t>KDH</t>
        </is>
      </c>
      <c r="C85" s="361" t="inlineStr">
        <is>
          <t>Khang Điền</t>
        </is>
      </c>
      <c r="D85" s="361" t="inlineStr">
        <is>
          <t>Bất động sản</t>
        </is>
      </c>
      <c r="E85" s="327" t="n"/>
      <c r="F85" s="501" t="n"/>
      <c r="G85" s="327" t="n"/>
      <c r="H85" s="327" t="n"/>
      <c r="I85" s="327" t="n"/>
      <c r="J85" s="501" t="n"/>
      <c r="K85" s="501" t="n"/>
      <c r="L85" s="327" t="n"/>
      <c r="M85" s="327" t="n"/>
      <c r="N85" s="327" t="n"/>
      <c r="O85" s="327" t="n"/>
      <c r="P85" s="507" t="n"/>
      <c r="Q85" s="361" t="n"/>
      <c r="R85" s="1024">
        <f>IF(B85='🎯 SÓI v42 — TRA CỨU &amp; DEEP DIV'!$C$4,"⭐ ĐANG XEM","")</f>
        <v/>
      </c>
    </row>
    <row r="86" ht="15" customHeight="1" s="981">
      <c r="A86" s="1050" t="n"/>
      <c r="B86" s="503" t="inlineStr">
        <is>
          <t>NTP</t>
        </is>
      </c>
      <c r="C86" s="362" t="inlineStr">
        <is>
          <t>Nhựa Tiền Phong</t>
        </is>
      </c>
      <c r="D86" s="362" t="inlineStr">
        <is>
          <t>Nhựa</t>
        </is>
      </c>
      <c r="E86" s="503" t="n"/>
      <c r="F86" s="504" t="n"/>
      <c r="G86" s="503" t="n"/>
      <c r="H86" s="503" t="n"/>
      <c r="I86" s="503" t="n"/>
      <c r="J86" s="504" t="n"/>
      <c r="K86" s="504" t="n"/>
      <c r="L86" s="503" t="n"/>
      <c r="M86" s="503" t="n"/>
      <c r="N86" s="503" t="n"/>
      <c r="O86" s="503" t="n"/>
      <c r="P86" s="507" t="n"/>
      <c r="Q86" s="362" t="n"/>
      <c r="R86" s="1024">
        <f>IF(B86='🎯 SÓI v42 — TRA CỨU &amp; DEEP DIV'!$C$4,"⭐ ĐANG XEM","")</f>
        <v/>
      </c>
    </row>
    <row r="87" ht="15" customHeight="1" s="981">
      <c r="A87" s="1050" t="n"/>
      <c r="B87" s="327" t="inlineStr">
        <is>
          <t>BID</t>
        </is>
      </c>
      <c r="C87" s="361" t="inlineStr">
        <is>
          <t>BIDV</t>
        </is>
      </c>
      <c r="D87" s="361" t="inlineStr">
        <is>
          <t>Ngân hàng</t>
        </is>
      </c>
      <c r="E87" s="327" t="n"/>
      <c r="F87" s="501" t="n"/>
      <c r="G87" s="327" t="n"/>
      <c r="H87" s="327" t="n"/>
      <c r="I87" s="327" t="n"/>
      <c r="J87" s="501" t="n"/>
      <c r="K87" s="501" t="n"/>
      <c r="L87" s="327" t="n"/>
      <c r="M87" s="327" t="n"/>
      <c r="N87" s="327" t="n"/>
      <c r="O87" s="327" t="n"/>
      <c r="P87" s="507" t="n"/>
      <c r="Q87" s="361" t="n"/>
      <c r="R87" s="1024">
        <f>IF(B87='🎯 SÓI v42 — TRA CỨU &amp; DEEP DIV'!$C$4,"⭐ ĐANG XEM","")</f>
        <v/>
      </c>
    </row>
    <row r="88" ht="15" customHeight="1" s="981">
      <c r="A88" s="1050" t="n"/>
      <c r="B88" s="503" t="inlineStr">
        <is>
          <t>TCM</t>
        </is>
      </c>
      <c r="C88" s="362" t="inlineStr">
        <is>
          <t>Thành Công</t>
        </is>
      </c>
      <c r="D88" s="362" t="inlineStr">
        <is>
          <t>Dệt may</t>
        </is>
      </c>
      <c r="E88" s="503" t="n"/>
      <c r="F88" s="504" t="n"/>
      <c r="G88" s="503" t="n"/>
      <c r="H88" s="503" t="n"/>
      <c r="I88" s="503" t="n"/>
      <c r="J88" s="504" t="n"/>
      <c r="K88" s="504" t="n"/>
      <c r="L88" s="503" t="n"/>
      <c r="M88" s="503" t="n"/>
      <c r="N88" s="503" t="n"/>
      <c r="O88" s="503" t="n"/>
      <c r="P88" s="507" t="n"/>
      <c r="Q88" s="362" t="n"/>
      <c r="R88" s="1024">
        <f>IF(B88='🎯 SÓI v42 — TRA CỨU &amp; DEEP DIV'!$C$4,"⭐ ĐANG XEM","")</f>
        <v/>
      </c>
    </row>
    <row r="89" ht="15" customHeight="1" s="981">
      <c r="A89" s="1050" t="n"/>
      <c r="B89" s="327" t="inlineStr">
        <is>
          <t>DRC</t>
        </is>
      </c>
      <c r="C89" s="361" t="inlineStr">
        <is>
          <t>Cao su Đà Nẵng</t>
        </is>
      </c>
      <c r="D89" s="361" t="inlineStr">
        <is>
          <t>Lốp xe</t>
        </is>
      </c>
      <c r="E89" s="327" t="n"/>
      <c r="F89" s="501" t="n"/>
      <c r="G89" s="327" t="n"/>
      <c r="H89" s="327" t="n"/>
      <c r="I89" s="327" t="n"/>
      <c r="J89" s="501" t="n"/>
      <c r="K89" s="501" t="n"/>
      <c r="L89" s="327" t="n"/>
      <c r="M89" s="327" t="n"/>
      <c r="N89" s="327" t="n"/>
      <c r="O89" s="327" t="n"/>
      <c r="P89" s="507" t="n"/>
      <c r="Q89" s="361" t="n"/>
      <c r="R89" s="1024">
        <f>IF(B89='🎯 SÓI v42 — TRA CỨU &amp; DEEP DIV'!$C$4,"⭐ ĐANG XEM","")</f>
        <v/>
      </c>
    </row>
    <row r="90" ht="15" customHeight="1" s="981">
      <c r="A90" s="1050" t="n"/>
      <c r="B90" s="503" t="inlineStr">
        <is>
          <t>POT</t>
        </is>
      </c>
      <c r="C90" s="362" t="inlineStr">
        <is>
          <t>Post Telecom</t>
        </is>
      </c>
      <c r="D90" s="362" t="inlineStr">
        <is>
          <t>Công nghệ</t>
        </is>
      </c>
      <c r="E90" s="503" t="n"/>
      <c r="F90" s="504" t="n"/>
      <c r="G90" s="503" t="n"/>
      <c r="H90" s="503" t="n"/>
      <c r="I90" s="503" t="n"/>
      <c r="J90" s="504" t="n"/>
      <c r="K90" s="504" t="n"/>
      <c r="L90" s="503" t="n"/>
      <c r="M90" s="503" t="n"/>
      <c r="N90" s="503" t="n"/>
      <c r="O90" s="503" t="n"/>
      <c r="P90" s="507" t="n"/>
      <c r="Q90" s="362" t="n"/>
      <c r="R90" s="1024">
        <f>IF(B90='🎯 SÓI v42 — TRA CỨU &amp; DEEP DIV'!$C$4,"⭐ ĐANG XEM","")</f>
        <v/>
      </c>
    </row>
    <row r="91" ht="15" customHeight="1" s="981">
      <c r="A91" s="1050" t="n"/>
      <c r="B91" s="327" t="inlineStr">
        <is>
          <t>CMC</t>
        </is>
      </c>
      <c r="C91" s="361" t="inlineStr">
        <is>
          <t>CMC Corp</t>
        </is>
      </c>
      <c r="D91" s="361" t="inlineStr">
        <is>
          <t>Công nghệ</t>
        </is>
      </c>
      <c r="E91" s="327" t="n"/>
      <c r="F91" s="501" t="n"/>
      <c r="G91" s="327" t="n"/>
      <c r="H91" s="327" t="n"/>
      <c r="I91" s="327" t="n"/>
      <c r="J91" s="501" t="n"/>
      <c r="K91" s="501" t="n"/>
      <c r="L91" s="327" t="n"/>
      <c r="M91" s="327" t="n"/>
      <c r="N91" s="327" t="n"/>
      <c r="O91" s="327" t="n"/>
      <c r="P91" s="507" t="n"/>
      <c r="Q91" s="361" t="n"/>
      <c r="R91" s="1024">
        <f>IF(B91='🎯 SÓI v42 — TRA CỨU &amp; DEEP DIV'!$C$4,"⭐ ĐANG XEM","")</f>
        <v/>
      </c>
    </row>
    <row r="92" ht="15" customHeight="1" s="981">
      <c r="A92" s="1050" t="n"/>
      <c r="B92" s="503" t="inlineStr">
        <is>
          <t>HCM</t>
        </is>
      </c>
      <c r="C92" s="362" t="inlineStr">
        <is>
          <t>HSC</t>
        </is>
      </c>
      <c r="D92" s="362" t="inlineStr">
        <is>
          <t>Chứng khoán</t>
        </is>
      </c>
      <c r="E92" s="503" t="n"/>
      <c r="F92" s="504" t="n"/>
      <c r="G92" s="503" t="n"/>
      <c r="H92" s="503" t="n"/>
      <c r="I92" s="503" t="n"/>
      <c r="J92" s="504" t="n"/>
      <c r="K92" s="504" t="n"/>
      <c r="L92" s="503" t="n"/>
      <c r="M92" s="503" t="n"/>
      <c r="N92" s="503" t="n"/>
      <c r="O92" s="503" t="n"/>
      <c r="P92" s="507" t="n"/>
      <c r="Q92" s="362" t="n"/>
      <c r="R92" s="1024">
        <f>IF(B92='🎯 SÓI v42 — TRA CỨU &amp; DEEP DIV'!$C$4,"⭐ ĐANG XEM","")</f>
        <v/>
      </c>
    </row>
    <row r="93" ht="15" customHeight="1" s="981">
      <c r="A93" s="1050" t="n"/>
      <c r="B93" s="327" t="inlineStr">
        <is>
          <t>KDC</t>
        </is>
      </c>
      <c r="C93" s="361" t="inlineStr">
        <is>
          <t>Kido</t>
        </is>
      </c>
      <c r="D93" s="361" t="inlineStr">
        <is>
          <t>Thực phẩm</t>
        </is>
      </c>
      <c r="E93" s="327" t="n"/>
      <c r="F93" s="501" t="n"/>
      <c r="G93" s="327" t="n"/>
      <c r="H93" s="327" t="n"/>
      <c r="I93" s="327" t="n"/>
      <c r="J93" s="501" t="n"/>
      <c r="K93" s="501" t="n"/>
      <c r="L93" s="327" t="n"/>
      <c r="M93" s="327" t="n"/>
      <c r="N93" s="327" t="n"/>
      <c r="O93" s="327" t="n"/>
      <c r="P93" s="507" t="n"/>
      <c r="Q93" s="361" t="n"/>
      <c r="R93" s="1024">
        <f>IF(B93='🎯 SÓI v42 — TRA CỨU &amp; DEEP DIV'!$C$4,"⭐ ĐANG XEM","")</f>
        <v/>
      </c>
    </row>
    <row r="94" ht="15" customHeight="1" s="981">
      <c r="A94" s="1050" t="n"/>
      <c r="B94" s="503" t="inlineStr">
        <is>
          <t>D2D</t>
        </is>
      </c>
      <c r="C94" s="362" t="inlineStr">
        <is>
          <t>D2D</t>
        </is>
      </c>
      <c r="D94" s="362" t="inlineStr">
        <is>
          <t>Bất động sản</t>
        </is>
      </c>
      <c r="E94" s="503" t="n"/>
      <c r="F94" s="504" t="n"/>
      <c r="G94" s="503" t="n"/>
      <c r="H94" s="503" t="n"/>
      <c r="I94" s="503" t="n"/>
      <c r="J94" s="504" t="n"/>
      <c r="K94" s="504" t="n"/>
      <c r="L94" s="503" t="n"/>
      <c r="M94" s="503" t="n"/>
      <c r="N94" s="503" t="n"/>
      <c r="O94" s="503" t="n"/>
      <c r="P94" s="507" t="n"/>
      <c r="Q94" s="362" t="n"/>
      <c r="R94" s="1024">
        <f>IF(B94='🎯 SÓI v42 — TRA CỨU &amp; DEEP DIV'!$C$4,"⭐ ĐANG XEM","")</f>
        <v/>
      </c>
    </row>
    <row r="95" ht="15" customHeight="1" s="981">
      <c r="A95" s="1050" t="n"/>
      <c r="B95" s="327" t="inlineStr">
        <is>
          <t>GMC</t>
        </is>
      </c>
      <c r="C95" s="361" t="inlineStr">
        <is>
          <t>Gilimex</t>
        </is>
      </c>
      <c r="D95" s="361" t="inlineStr">
        <is>
          <t>Dệt may</t>
        </is>
      </c>
      <c r="E95" s="327" t="n"/>
      <c r="F95" s="501" t="n"/>
      <c r="G95" s="327" t="n"/>
      <c r="H95" s="327" t="n"/>
      <c r="I95" s="327" t="n"/>
      <c r="J95" s="501" t="n"/>
      <c r="K95" s="501" t="n"/>
      <c r="L95" s="327" t="n"/>
      <c r="M95" s="327" t="n"/>
      <c r="N95" s="327" t="n"/>
      <c r="O95" s="327" t="n"/>
      <c r="P95" s="507" t="n"/>
      <c r="Q95" s="361" t="n"/>
      <c r="R95" s="1024">
        <f>IF(B95='🎯 SÓI v42 — TRA CỨU &amp; DEEP DIV'!$C$4,"⭐ ĐANG XEM","")</f>
        <v/>
      </c>
    </row>
    <row r="96" ht="15" customHeight="1" s="981">
      <c r="A96" s="1050" t="n"/>
      <c r="B96" s="503" t="inlineStr">
        <is>
          <t>VHL</t>
        </is>
      </c>
      <c r="C96" s="362" t="inlineStr">
        <is>
          <t>Viglacera</t>
        </is>
      </c>
      <c r="D96" s="362" t="inlineStr">
        <is>
          <t>Vật liệu XD</t>
        </is>
      </c>
      <c r="E96" s="503" t="n"/>
      <c r="F96" s="504" t="n"/>
      <c r="G96" s="503" t="n"/>
      <c r="H96" s="503" t="n"/>
      <c r="I96" s="503" t="n"/>
      <c r="J96" s="504" t="n"/>
      <c r="K96" s="504" t="n"/>
      <c r="L96" s="503" t="n"/>
      <c r="M96" s="503" t="n"/>
      <c r="N96" s="503" t="n"/>
      <c r="O96" s="503" t="n"/>
      <c r="P96" s="507" t="n"/>
      <c r="Q96" s="362" t="n"/>
      <c r="R96" s="1024">
        <f>IF(B96='🎯 SÓI v42 — TRA CỨU &amp; DEEP DIV'!$C$4,"⭐ ĐANG XEM","")</f>
        <v/>
      </c>
    </row>
    <row r="97" ht="15" customHeight="1" s="981">
      <c r="A97" s="1050" t="n"/>
      <c r="B97" s="327" t="inlineStr">
        <is>
          <t>OPC</t>
        </is>
      </c>
      <c r="C97" s="361" t="inlineStr">
        <is>
          <t>OPC Pharma</t>
        </is>
      </c>
      <c r="D97" s="361" t="inlineStr">
        <is>
          <t>Dược</t>
        </is>
      </c>
      <c r="E97" s="327" t="n"/>
      <c r="F97" s="501" t="n"/>
      <c r="G97" s="327" t="n"/>
      <c r="H97" s="327" t="n"/>
      <c r="I97" s="327" t="n"/>
      <c r="J97" s="501" t="n"/>
      <c r="K97" s="501" t="n"/>
      <c r="L97" s="327" t="n"/>
      <c r="M97" s="327" t="n"/>
      <c r="N97" s="327" t="n"/>
      <c r="O97" s="327" t="n"/>
      <c r="P97" s="507" t="n"/>
      <c r="Q97" s="361" t="n"/>
      <c r="R97" s="1024">
        <f>IF(B97='🎯 SÓI v42 — TRA CỨU &amp; DEEP DIV'!$C$4,"⭐ ĐANG XEM","")</f>
        <v/>
      </c>
    </row>
    <row r="98" ht="15" customHeight="1" s="981">
      <c r="A98" s="1050" t="n"/>
      <c r="B98" s="503" t="inlineStr">
        <is>
          <t>FMC</t>
        </is>
      </c>
      <c r="C98" s="362" t="inlineStr">
        <is>
          <t>Sao Ta Foods</t>
        </is>
      </c>
      <c r="D98" s="362" t="inlineStr">
        <is>
          <t>Thủy sản</t>
        </is>
      </c>
      <c r="E98" s="503" t="n"/>
      <c r="F98" s="504" t="n"/>
      <c r="G98" s="503" t="n"/>
      <c r="H98" s="503" t="n"/>
      <c r="I98" s="503" t="n"/>
      <c r="J98" s="504" t="n"/>
      <c r="K98" s="504" t="n"/>
      <c r="L98" s="503" t="n"/>
      <c r="M98" s="503" t="n"/>
      <c r="N98" s="503" t="n"/>
      <c r="O98" s="503" t="n"/>
      <c r="P98" s="507" t="n"/>
      <c r="Q98" s="362" t="n"/>
      <c r="R98" s="1024">
        <f>IF(B98='🎯 SÓI v42 — TRA CỨU &amp; DEEP DIV'!$C$4,"⭐ ĐANG XEM","")</f>
        <v/>
      </c>
    </row>
    <row r="99" ht="15" customHeight="1" s="981">
      <c r="A99" s="1050" t="n"/>
      <c r="B99" s="327" t="inlineStr">
        <is>
          <t>VFS</t>
        </is>
      </c>
      <c r="C99" s="361" t="inlineStr">
        <is>
          <t>VFS</t>
        </is>
      </c>
      <c r="D99" s="361" t="inlineStr">
        <is>
          <t>Chứng khoán</t>
        </is>
      </c>
      <c r="E99" s="327" t="n"/>
      <c r="F99" s="501" t="n"/>
      <c r="G99" s="327" t="n"/>
      <c r="H99" s="327" t="n"/>
      <c r="I99" s="327" t="n"/>
      <c r="J99" s="501" t="n"/>
      <c r="K99" s="501" t="n"/>
      <c r="L99" s="327" t="n"/>
      <c r="M99" s="327" t="n"/>
      <c r="N99" s="327" t="n"/>
      <c r="O99" s="327" t="n"/>
      <c r="P99" s="507" t="n"/>
      <c r="Q99" s="361" t="n"/>
      <c r="R99" s="1024">
        <f>IF(B99='🎯 SÓI v42 — TRA CỨU &amp; DEEP DIV'!$C$4,"⭐ ĐANG XEM","")</f>
        <v/>
      </c>
    </row>
    <row r="100" ht="15" customHeight="1" s="981">
      <c r="A100" s="1050" t="n"/>
      <c r="B100" s="503" t="inlineStr">
        <is>
          <t>PVI</t>
        </is>
      </c>
      <c r="C100" s="362" t="inlineStr">
        <is>
          <t>PVI</t>
        </is>
      </c>
      <c r="D100" s="362" t="inlineStr">
        <is>
          <t>Bảo hiểm</t>
        </is>
      </c>
      <c r="E100" s="503" t="n"/>
      <c r="F100" s="504" t="n"/>
      <c r="G100" s="503" t="n"/>
      <c r="H100" s="503" t="n"/>
      <c r="I100" s="503" t="n"/>
      <c r="J100" s="504" t="n"/>
      <c r="K100" s="504" t="n"/>
      <c r="L100" s="503" t="n"/>
      <c r="M100" s="503" t="n"/>
      <c r="N100" s="503" t="n"/>
      <c r="O100" s="503" t="n"/>
      <c r="P100" s="507" t="n"/>
      <c r="Q100" s="362" t="n"/>
      <c r="R100" s="1024">
        <f>IF(B100='🎯 SÓI v42 — TRA CỨU &amp; DEEP DIV'!$C$4,"⭐ ĐANG XEM","")</f>
        <v/>
      </c>
    </row>
    <row r="101" ht="15" customHeight="1" s="981">
      <c r="A101" s="1050" t="n"/>
      <c r="B101" s="327" t="inlineStr">
        <is>
          <t>GMD</t>
        </is>
      </c>
      <c r="C101" s="361" t="inlineStr">
        <is>
          <t>Gemadept</t>
        </is>
      </c>
      <c r="D101" s="361" t="inlineStr">
        <is>
          <t>Cảng</t>
        </is>
      </c>
      <c r="E101" s="327" t="n"/>
      <c r="F101" s="501" t="n"/>
      <c r="G101" s="327" t="n"/>
      <c r="H101" s="327" t="n"/>
      <c r="I101" s="327" t="n"/>
      <c r="J101" s="501" t="n"/>
      <c r="K101" s="501" t="n"/>
      <c r="L101" s="327" t="n"/>
      <c r="M101" s="327" t="n"/>
      <c r="N101" s="327" t="n"/>
      <c r="O101" s="327" t="n"/>
      <c r="P101" s="507" t="n"/>
      <c r="Q101" s="361" t="n"/>
      <c r="R101" s="1024">
        <f>IF(B101='🎯 SÓI v42 — TRA CỨU &amp; DEEP DIV'!$C$4,"⭐ ĐANG XEM","")</f>
        <v/>
      </c>
    </row>
    <row r="102" ht="15" customHeight="1" s="981">
      <c r="A102" s="1050" t="n"/>
      <c r="B102" s="503" t="inlineStr">
        <is>
          <t>LPB</t>
        </is>
      </c>
      <c r="C102" s="362" t="inlineStr">
        <is>
          <t>LienVietPostBank</t>
        </is>
      </c>
      <c r="D102" s="362" t="inlineStr">
        <is>
          <t>Ngân hàng</t>
        </is>
      </c>
      <c r="E102" s="503" t="n"/>
      <c r="F102" s="504" t="n"/>
      <c r="G102" s="503" t="n"/>
      <c r="H102" s="503" t="n"/>
      <c r="I102" s="503" t="n"/>
      <c r="J102" s="504" t="n"/>
      <c r="K102" s="504" t="n"/>
      <c r="L102" s="503" t="n"/>
      <c r="M102" s="503" t="n"/>
      <c r="N102" s="503" t="n"/>
      <c r="O102" s="503" t="n"/>
      <c r="P102" s="507" t="n"/>
      <c r="Q102" s="362" t="n"/>
      <c r="R102" s="1024">
        <f>IF(B102='🎯 SÓI v42 — TRA CỨU &amp; DEEP DIV'!$C$4,"⭐ ĐANG XEM","")</f>
        <v/>
      </c>
    </row>
    <row r="103" ht="15" customHeight="1" s="981">
      <c r="A103" s="1050" t="n"/>
      <c r="B103" s="327" t="inlineStr">
        <is>
          <t>DXG</t>
        </is>
      </c>
      <c r="C103" s="361" t="inlineStr">
        <is>
          <t>Đất Xanh</t>
        </is>
      </c>
      <c r="D103" s="361" t="inlineStr">
        <is>
          <t>Bất động sản</t>
        </is>
      </c>
      <c r="E103" s="327" t="n"/>
      <c r="F103" s="501" t="n"/>
      <c r="G103" s="327" t="n"/>
      <c r="H103" s="327" t="n"/>
      <c r="I103" s="327" t="n"/>
      <c r="J103" s="501" t="n"/>
      <c r="K103" s="501" t="n"/>
      <c r="L103" s="327" t="n"/>
      <c r="M103" s="327" t="n"/>
      <c r="N103" s="327" t="n"/>
      <c r="O103" s="327" t="n"/>
      <c r="P103" s="507" t="n"/>
      <c r="Q103" s="361" t="n"/>
      <c r="R103" s="1024">
        <f>IF(B103='🎯 SÓI v42 — TRA CỨU &amp; DEEP DIV'!$C$4,"⭐ ĐANG XEM","")</f>
        <v/>
      </c>
    </row>
    <row r="104" ht="15" customHeight="1" s="981">
      <c r="A104" s="1050" t="n"/>
      <c r="B104" s="503" t="inlineStr">
        <is>
          <t>TNG</t>
        </is>
      </c>
      <c r="C104" s="362" t="inlineStr">
        <is>
          <t>Đầu Tư &amp; TM TNG</t>
        </is>
      </c>
      <c r="D104" s="362" t="inlineStr">
        <is>
          <t>Dệt may</t>
        </is>
      </c>
      <c r="E104" s="503" t="n"/>
      <c r="F104" s="504" t="n"/>
      <c r="G104" s="503" t="n"/>
      <c r="H104" s="503" t="n"/>
      <c r="I104" s="503" t="n"/>
      <c r="J104" s="504" t="n"/>
      <c r="K104" s="504" t="n"/>
      <c r="L104" s="503" t="n"/>
      <c r="M104" s="503" t="n"/>
      <c r="N104" s="503" t="n"/>
      <c r="O104" s="503" t="n"/>
      <c r="P104" s="507" t="n"/>
      <c r="Q104" s="362" t="n"/>
      <c r="R104" s="1024">
        <f>IF(B104='🎯 SÓI v42 — TRA CỨU &amp; DEEP DIV'!$C$4,"⭐ ĐANG XEM","")</f>
        <v/>
      </c>
    </row>
    <row r="105" ht="15" customHeight="1" s="981">
      <c r="A105" s="1050" t="n"/>
      <c r="B105" s="327" t="inlineStr">
        <is>
          <t>VAB</t>
        </is>
      </c>
      <c r="C105" s="361" t="inlineStr">
        <is>
          <t>VietABank</t>
        </is>
      </c>
      <c r="D105" s="361" t="inlineStr">
        <is>
          <t>Ngân hàng</t>
        </is>
      </c>
      <c r="E105" s="327" t="n"/>
      <c r="F105" s="501" t="n"/>
      <c r="G105" s="327" t="n"/>
      <c r="H105" s="327" t="n"/>
      <c r="I105" s="327" t="n"/>
      <c r="J105" s="501" t="n"/>
      <c r="K105" s="501" t="n"/>
      <c r="L105" s="327" t="n"/>
      <c r="M105" s="327" t="n"/>
      <c r="N105" s="327" t="n"/>
      <c r="O105" s="327" t="n"/>
      <c r="P105" s="507" t="n"/>
      <c r="Q105" s="361" t="n"/>
      <c r="R105" s="1024">
        <f>IF(B105='🎯 SÓI v42 — TRA CỨU &amp; DEEP DIV'!$C$4,"⭐ ĐANG XEM","")</f>
        <v/>
      </c>
    </row>
    <row r="106" ht="15" customHeight="1" s="981">
      <c r="A106" s="1050" t="n"/>
      <c r="B106" s="503" t="inlineStr">
        <is>
          <t>NLG</t>
        </is>
      </c>
      <c r="C106" s="362" t="inlineStr">
        <is>
          <t>Nam Long</t>
        </is>
      </c>
      <c r="D106" s="362" t="inlineStr">
        <is>
          <t>Bất động sản</t>
        </is>
      </c>
      <c r="E106" s="503" t="n"/>
      <c r="F106" s="504" t="n"/>
      <c r="G106" s="503" t="n"/>
      <c r="H106" s="503" t="n"/>
      <c r="I106" s="503" t="n"/>
      <c r="J106" s="504" t="n"/>
      <c r="K106" s="504" t="n"/>
      <c r="L106" s="503" t="n"/>
      <c r="M106" s="503" t="n"/>
      <c r="N106" s="503" t="n"/>
      <c r="O106" s="503" t="n"/>
      <c r="P106" s="507" t="n"/>
      <c r="Q106" s="362" t="n"/>
      <c r="R106" s="1024">
        <f>IF(B106='🎯 SÓI v42 — TRA CỨU &amp; DEEP DIV'!$C$4,"⭐ ĐANG XEM","")</f>
        <v/>
      </c>
    </row>
    <row r="107" ht="15" customHeight="1" s="981">
      <c r="A107" s="1050" t="n"/>
      <c r="B107" s="327" t="inlineStr">
        <is>
          <t>SHB</t>
        </is>
      </c>
      <c r="C107" s="361" t="inlineStr">
        <is>
          <t>SHB</t>
        </is>
      </c>
      <c r="D107" s="361" t="inlineStr">
        <is>
          <t>Ngân hàng</t>
        </is>
      </c>
      <c r="E107" s="327" t="n"/>
      <c r="F107" s="501" t="n"/>
      <c r="G107" s="327" t="n"/>
      <c r="H107" s="327" t="n"/>
      <c r="I107" s="327" t="n"/>
      <c r="J107" s="501" t="n"/>
      <c r="K107" s="501" t="n"/>
      <c r="L107" s="327" t="n"/>
      <c r="M107" s="327" t="n"/>
      <c r="N107" s="327" t="n"/>
      <c r="O107" s="327" t="n"/>
      <c r="P107" s="507" t="n"/>
      <c r="Q107" s="361" t="n"/>
      <c r="R107" s="1024">
        <f>IF(B107='🎯 SÓI v42 — TRA CỨU &amp; DEEP DIV'!$C$4,"⭐ ĐANG XEM","")</f>
        <v/>
      </c>
    </row>
    <row r="108" ht="15" customHeight="1" s="981">
      <c r="A108" s="1050" t="n"/>
      <c r="B108" s="503" t="inlineStr">
        <is>
          <t>NAB</t>
        </is>
      </c>
      <c r="C108" s="362" t="inlineStr">
        <is>
          <t>Nam Á</t>
        </is>
      </c>
      <c r="D108" s="362" t="inlineStr">
        <is>
          <t>Ngân hàng</t>
        </is>
      </c>
      <c r="E108" s="503" t="n"/>
      <c r="F108" s="504" t="n"/>
      <c r="G108" s="503" t="n"/>
      <c r="H108" s="503" t="n"/>
      <c r="I108" s="503" t="n"/>
      <c r="J108" s="504" t="n"/>
      <c r="K108" s="504" t="n"/>
      <c r="L108" s="503" t="n"/>
      <c r="M108" s="503" t="n"/>
      <c r="N108" s="503" t="n"/>
      <c r="O108" s="503" t="n"/>
      <c r="P108" s="507" t="n"/>
      <c r="Q108" s="362" t="n"/>
      <c r="R108" s="1024">
        <f>IF(B108='🎯 SÓI v42 — TRA CỨU &amp; DEEP DIV'!$C$4,"⭐ ĐANG XEM","")</f>
        <v/>
      </c>
    </row>
    <row r="109" ht="15" customHeight="1" s="981">
      <c r="A109" s="1050" t="n"/>
      <c r="B109" s="327" t="inlineStr">
        <is>
          <t>CTG</t>
        </is>
      </c>
      <c r="C109" s="361" t="inlineStr">
        <is>
          <t>VietinBank</t>
        </is>
      </c>
      <c r="D109" s="361" t="inlineStr">
        <is>
          <t>Ngân hàng</t>
        </is>
      </c>
      <c r="E109" s="327" t="n"/>
      <c r="F109" s="501" t="n"/>
      <c r="G109" s="327" t="n"/>
      <c r="H109" s="327" t="n"/>
      <c r="I109" s="327" t="n"/>
      <c r="J109" s="501" t="n"/>
      <c r="K109" s="501" t="n"/>
      <c r="L109" s="327" t="n"/>
      <c r="M109" s="327" t="n"/>
      <c r="N109" s="327" t="n"/>
      <c r="O109" s="327" t="n"/>
      <c r="P109" s="507" t="n"/>
      <c r="Q109" s="361" t="n"/>
      <c r="R109" s="1024">
        <f>IF(B109='🎯 SÓI v42 — TRA CỨU &amp; DEEP DIV'!$C$4,"⭐ ĐANG XEM","")</f>
        <v/>
      </c>
    </row>
    <row r="110" ht="15" customHeight="1" s="981">
      <c r="A110" s="1050" t="n"/>
      <c r="B110" s="503" t="inlineStr">
        <is>
          <t>CTS</t>
        </is>
      </c>
      <c r="C110" s="362" t="inlineStr">
        <is>
          <t>VietinBank Sec</t>
        </is>
      </c>
      <c r="D110" s="362" t="inlineStr">
        <is>
          <t>Chứng khoán</t>
        </is>
      </c>
      <c r="E110" s="503" t="n"/>
      <c r="F110" s="504" t="n"/>
      <c r="G110" s="503" t="n"/>
      <c r="H110" s="503" t="n"/>
      <c r="I110" s="503" t="n"/>
      <c r="J110" s="504" t="n"/>
      <c r="K110" s="504" t="n"/>
      <c r="L110" s="503" t="n"/>
      <c r="M110" s="503" t="n"/>
      <c r="N110" s="503" t="n"/>
      <c r="O110" s="503" t="n"/>
      <c r="P110" s="507" t="n"/>
      <c r="Q110" s="362" t="n"/>
      <c r="R110" s="1024">
        <f>IF(B110='🎯 SÓI v42 — TRA CỨU &amp; DEEP DIV'!$C$4,"⭐ ĐANG XEM","")</f>
        <v/>
      </c>
    </row>
    <row r="111" ht="15" customHeight="1" s="981">
      <c r="A111" s="1050" t="n"/>
      <c r="B111" s="327" t="inlineStr">
        <is>
          <t>SAB</t>
        </is>
      </c>
      <c r="C111" s="361" t="inlineStr">
        <is>
          <t>Sabeco</t>
        </is>
      </c>
      <c r="D111" s="361" t="inlineStr">
        <is>
          <t>Tiêu dùng</t>
        </is>
      </c>
      <c r="E111" s="327" t="n"/>
      <c r="F111" s="501" t="n"/>
      <c r="G111" s="327" t="n"/>
      <c r="H111" s="327" t="n"/>
      <c r="I111" s="327" t="n"/>
      <c r="J111" s="501" t="n"/>
      <c r="K111" s="501" t="n"/>
      <c r="L111" s="327" t="n"/>
      <c r="M111" s="327" t="n"/>
      <c r="N111" s="327" t="n"/>
      <c r="O111" s="327" t="n"/>
      <c r="P111" s="507" t="n"/>
      <c r="Q111" s="361" t="n"/>
      <c r="R111" s="1024">
        <f>IF(B111='🎯 SÓI v42 — TRA CỨU &amp; DEEP DIV'!$C$4,"⭐ ĐANG XEM","")</f>
        <v/>
      </c>
    </row>
    <row r="112" ht="15" customHeight="1" s="981">
      <c r="A112" s="1050" t="n"/>
      <c r="B112" s="503" t="inlineStr">
        <is>
          <t>NCT</t>
        </is>
      </c>
      <c r="C112" s="362" t="inlineStr">
        <is>
          <t>Cảng Nhà Bè</t>
        </is>
      </c>
      <c r="D112" s="362" t="inlineStr">
        <is>
          <t>Logistics</t>
        </is>
      </c>
      <c r="E112" s="503" t="n"/>
      <c r="F112" s="504" t="n"/>
      <c r="G112" s="503" t="n"/>
      <c r="H112" s="503" t="n"/>
      <c r="I112" s="503" t="n"/>
      <c r="J112" s="504" t="n"/>
      <c r="K112" s="504" t="n"/>
      <c r="L112" s="503" t="n"/>
      <c r="M112" s="503" t="n"/>
      <c r="N112" s="503" t="n"/>
      <c r="O112" s="503" t="n"/>
      <c r="P112" s="507" t="n"/>
      <c r="Q112" s="362" t="n"/>
      <c r="R112" s="1024">
        <f>IF(B112='🎯 SÓI v42 — TRA CỨU &amp; DEEP DIV'!$C$4,"⭐ ĐANG XEM","")</f>
        <v/>
      </c>
    </row>
    <row r="113" ht="15" customHeight="1" s="981">
      <c r="A113" s="1050" t="n"/>
      <c r="B113" s="327" t="inlineStr">
        <is>
          <t>SZC</t>
        </is>
      </c>
      <c r="C113" s="361" t="inlineStr">
        <is>
          <t>Sonadezi Châu Đức</t>
        </is>
      </c>
      <c r="D113" s="361" t="inlineStr">
        <is>
          <t>Bất động sản</t>
        </is>
      </c>
      <c r="E113" s="327" t="n"/>
      <c r="F113" s="501" t="n"/>
      <c r="G113" s="327" t="n"/>
      <c r="H113" s="327" t="n"/>
      <c r="I113" s="327" t="n"/>
      <c r="J113" s="501" t="n"/>
      <c r="K113" s="501" t="n"/>
      <c r="L113" s="327" t="n"/>
      <c r="M113" s="327" t="n"/>
      <c r="N113" s="327" t="n"/>
      <c r="O113" s="327" t="n"/>
      <c r="P113" s="507" t="n"/>
      <c r="Q113" s="361" t="n"/>
      <c r="R113" s="1024">
        <f>IF(B113='🎯 SÓI v42 — TRA CỨU &amp; DEEP DIV'!$C$4,"⭐ ĐANG XEM","")</f>
        <v/>
      </c>
    </row>
    <row r="114" ht="15" customHeight="1" s="981">
      <c r="A114" s="1050" t="n"/>
      <c r="B114" s="503" t="inlineStr">
        <is>
          <t>VBB</t>
        </is>
      </c>
      <c r="C114" s="362" t="inlineStr">
        <is>
          <t>VietBank</t>
        </is>
      </c>
      <c r="D114" s="362" t="inlineStr">
        <is>
          <t>Ngân hàng</t>
        </is>
      </c>
      <c r="E114" s="503" t="n"/>
      <c r="F114" s="504" t="n"/>
      <c r="G114" s="503" t="n"/>
      <c r="H114" s="503" t="n"/>
      <c r="I114" s="503" t="n"/>
      <c r="J114" s="504" t="n"/>
      <c r="K114" s="504" t="n"/>
      <c r="L114" s="503" t="n"/>
      <c r="M114" s="503" t="n"/>
      <c r="N114" s="503" t="n"/>
      <c r="O114" s="503" t="n"/>
      <c r="P114" s="507" t="n"/>
      <c r="Q114" s="362" t="n"/>
      <c r="R114" s="1024">
        <f>IF(B114='🎯 SÓI v42 — TRA CỨU &amp; DEEP DIV'!$C$4,"⭐ ĐANG XEM","")</f>
        <v/>
      </c>
    </row>
    <row r="115" ht="15" customHeight="1" s="981">
      <c r="A115" s="1050" t="n"/>
      <c r="B115" s="327" t="inlineStr">
        <is>
          <t>SGB</t>
        </is>
      </c>
      <c r="C115" s="361" t="inlineStr">
        <is>
          <t>Saigonbank</t>
        </is>
      </c>
      <c r="D115" s="361" t="inlineStr">
        <is>
          <t>Ngân hàng</t>
        </is>
      </c>
      <c r="E115" s="327" t="n"/>
      <c r="F115" s="501" t="n"/>
      <c r="G115" s="327" t="n"/>
      <c r="H115" s="327" t="n"/>
      <c r="I115" s="327" t="n"/>
      <c r="J115" s="501" t="n"/>
      <c r="K115" s="501" t="n"/>
      <c r="L115" s="327" t="n"/>
      <c r="M115" s="327" t="n"/>
      <c r="N115" s="327" t="n"/>
      <c r="O115" s="327" t="n"/>
      <c r="P115" s="507" t="n"/>
      <c r="Q115" s="361" t="n"/>
      <c r="R115" s="1024">
        <f>IF(B115='🎯 SÓI v42 — TRA CỨU &amp; DEEP DIV'!$C$4,"⭐ ĐANG XEM","")</f>
        <v/>
      </c>
    </row>
    <row r="116" ht="15" customHeight="1" s="981">
      <c r="A116" s="1050" t="n"/>
      <c r="B116" s="503" t="inlineStr">
        <is>
          <t>BSI</t>
        </is>
      </c>
      <c r="C116" s="362" t="inlineStr">
        <is>
          <t>BIDV Securities</t>
        </is>
      </c>
      <c r="D116" s="362" t="inlineStr">
        <is>
          <t>Chứng khoán</t>
        </is>
      </c>
      <c r="E116" s="503" t="n"/>
      <c r="F116" s="504" t="n"/>
      <c r="G116" s="503" t="n"/>
      <c r="H116" s="503" t="n"/>
      <c r="I116" s="503" t="n"/>
      <c r="J116" s="504" t="n"/>
      <c r="K116" s="504" t="n"/>
      <c r="L116" s="503" t="n"/>
      <c r="M116" s="503" t="n"/>
      <c r="N116" s="503" t="n"/>
      <c r="O116" s="503" t="n"/>
      <c r="P116" s="507" t="n"/>
      <c r="Q116" s="362" t="n"/>
      <c r="R116" s="1024">
        <f>IF(B116='🎯 SÓI v42 — TRA CỨU &amp; DEEP DIV'!$C$4,"⭐ ĐANG XEM","")</f>
        <v/>
      </c>
    </row>
    <row r="117" ht="15" customHeight="1" s="981">
      <c r="A117" s="1050" t="n"/>
      <c r="B117" s="327" t="inlineStr">
        <is>
          <t>VND</t>
        </is>
      </c>
      <c r="C117" s="361" t="inlineStr">
        <is>
          <t>VNDirect</t>
        </is>
      </c>
      <c r="D117" s="361" t="inlineStr">
        <is>
          <t>Chứng khoán</t>
        </is>
      </c>
      <c r="E117" s="327" t="n"/>
      <c r="F117" s="501" t="n"/>
      <c r="G117" s="327" t="n"/>
      <c r="H117" s="327" t="n"/>
      <c r="I117" s="327" t="n"/>
      <c r="J117" s="501" t="n"/>
      <c r="K117" s="501" t="n"/>
      <c r="L117" s="327" t="n"/>
      <c r="M117" s="327" t="n"/>
      <c r="N117" s="327" t="n"/>
      <c r="O117" s="327" t="n"/>
      <c r="P117" s="507" t="n"/>
      <c r="Q117" s="361" t="n"/>
      <c r="R117" s="1024">
        <f>IF(B117='🎯 SÓI v42 — TRA CỨU &amp; DEEP DIV'!$C$4,"⭐ ĐANG XEM","")</f>
        <v/>
      </c>
    </row>
    <row r="118" ht="15" customHeight="1" s="981">
      <c r="A118" s="1050" t="n"/>
      <c r="B118" s="503" t="inlineStr">
        <is>
          <t>BVB</t>
        </is>
      </c>
      <c r="C118" s="362" t="inlineStr">
        <is>
          <t>Bản Việt</t>
        </is>
      </c>
      <c r="D118" s="362" t="inlineStr">
        <is>
          <t>Ngân hàng</t>
        </is>
      </c>
      <c r="E118" s="503" t="n"/>
      <c r="F118" s="504" t="n"/>
      <c r="G118" s="503" t="n"/>
      <c r="H118" s="503" t="n"/>
      <c r="I118" s="503" t="n"/>
      <c r="J118" s="504" t="n"/>
      <c r="K118" s="504" t="n"/>
      <c r="L118" s="503" t="n"/>
      <c r="M118" s="503" t="n"/>
      <c r="N118" s="503" t="n"/>
      <c r="O118" s="503" t="n"/>
      <c r="P118" s="507" t="n"/>
      <c r="Q118" s="362" t="n"/>
      <c r="R118" s="1024">
        <f>IF(B118='🎯 SÓI v42 — TRA CỨU &amp; DEEP DIV'!$C$4,"⭐ ĐANG XEM","")</f>
        <v/>
      </c>
    </row>
    <row r="119" ht="15" customHeight="1" s="981">
      <c r="A119" s="1050" t="n"/>
      <c r="B119" s="327" t="inlineStr">
        <is>
          <t>VND</t>
        </is>
      </c>
      <c r="C119" s="361" t="inlineStr">
        <is>
          <t>VNDirect</t>
        </is>
      </c>
      <c r="D119" s="361" t="inlineStr">
        <is>
          <t>Chứng khoán</t>
        </is>
      </c>
      <c r="E119" s="327" t="n"/>
      <c r="F119" s="501" t="n"/>
      <c r="G119" s="327" t="n"/>
      <c r="H119" s="327" t="n"/>
      <c r="I119" s="327" t="n"/>
      <c r="J119" s="501" t="n"/>
      <c r="K119" s="501" t="n"/>
      <c r="L119" s="327" t="n"/>
      <c r="M119" s="327" t="n"/>
      <c r="N119" s="327" t="n"/>
      <c r="O119" s="327" t="n"/>
      <c r="P119" s="507" t="n"/>
      <c r="Q119" s="361" t="n"/>
      <c r="R119" s="1024">
        <f>IF(B119='🎯 SÓI v42 — TRA CỨU &amp; DEEP DIV'!$C$4,"⭐ ĐANG XEM","")</f>
        <v/>
      </c>
    </row>
    <row r="120" ht="15" customHeight="1" s="981">
      <c r="A120" s="1050" t="n"/>
      <c r="B120" s="503" t="inlineStr">
        <is>
          <t>VJC</t>
        </is>
      </c>
      <c r="C120" s="362" t="inlineStr">
        <is>
          <t>Vietjet Air</t>
        </is>
      </c>
      <c r="D120" s="362" t="inlineStr">
        <is>
          <t>Vận tải</t>
        </is>
      </c>
      <c r="E120" s="503" t="n"/>
      <c r="F120" s="504" t="n"/>
      <c r="G120" s="503" t="n"/>
      <c r="H120" s="503" t="n"/>
      <c r="I120" s="503" t="n"/>
      <c r="J120" s="504" t="n"/>
      <c r="K120" s="504" t="n"/>
      <c r="L120" s="503" t="n"/>
      <c r="M120" s="503" t="n"/>
      <c r="N120" s="503" t="n"/>
      <c r="O120" s="503" t="n"/>
      <c r="P120" s="507" t="n"/>
      <c r="Q120" s="362" t="n"/>
      <c r="R120" s="1024">
        <f>IF(B120='🎯 SÓI v42 — TRA CỨU &amp; DEEP DIV'!$C$4,"⭐ ĐANG XEM","")</f>
        <v/>
      </c>
    </row>
    <row r="121" ht="15" customHeight="1" s="981">
      <c r="A121" s="1050" t="n"/>
      <c r="B121" s="327" t="inlineStr">
        <is>
          <t>BSR</t>
        </is>
      </c>
      <c r="C121" s="361" t="inlineStr">
        <is>
          <t>BSR</t>
        </is>
      </c>
      <c r="D121" s="361" t="inlineStr">
        <is>
          <t>Dầu khí</t>
        </is>
      </c>
      <c r="E121" s="327" t="n"/>
      <c r="F121" s="501" t="n"/>
      <c r="G121" s="327" t="n"/>
      <c r="H121" s="327" t="n"/>
      <c r="I121" s="327" t="n"/>
      <c r="J121" s="501" t="n"/>
      <c r="K121" s="501" t="n"/>
      <c r="L121" s="327" t="n"/>
      <c r="M121" s="327" t="n"/>
      <c r="N121" s="327" t="n"/>
      <c r="O121" s="327" t="n"/>
      <c r="P121" s="507" t="n"/>
      <c r="Q121" s="361" t="n"/>
      <c r="R121" s="1024">
        <f>IF(B121='🎯 SÓI v42 — TRA CỨU &amp; DEEP DIV'!$C$4,"⭐ ĐANG XEM","")</f>
        <v/>
      </c>
    </row>
    <row r="122" ht="15" customHeight="1" s="981">
      <c r="A122" s="1050" t="n"/>
      <c r="B122" s="503" t="inlineStr">
        <is>
          <t>REE</t>
        </is>
      </c>
      <c r="C122" s="362" t="inlineStr">
        <is>
          <t>REE</t>
        </is>
      </c>
      <c r="D122" s="362" t="inlineStr">
        <is>
          <t>Điện</t>
        </is>
      </c>
      <c r="E122" s="503" t="n"/>
      <c r="F122" s="504" t="n"/>
      <c r="G122" s="503" t="n"/>
      <c r="H122" s="503" t="n"/>
      <c r="I122" s="503" t="n"/>
      <c r="J122" s="504" t="n"/>
      <c r="K122" s="504" t="n"/>
      <c r="L122" s="503" t="n"/>
      <c r="M122" s="503" t="n"/>
      <c r="N122" s="503" t="n"/>
      <c r="O122" s="503" t="n"/>
      <c r="P122" s="507" t="n"/>
      <c r="Q122" s="362" t="n"/>
      <c r="R122" s="1024">
        <f>IF(B122='🎯 SÓI v42 — TRA CỨU &amp; DEEP DIV'!$C$4,"⭐ ĐANG XEM","")</f>
        <v/>
      </c>
    </row>
    <row r="123" ht="15" customHeight="1" s="981">
      <c r="A123" s="1050" t="n"/>
      <c r="B123" s="327" t="inlineStr">
        <is>
          <t>REE</t>
        </is>
      </c>
      <c r="C123" s="361" t="inlineStr">
        <is>
          <t>REE Corp</t>
        </is>
      </c>
      <c r="D123" s="361" t="inlineStr">
        <is>
          <t>Điện</t>
        </is>
      </c>
      <c r="E123" s="327" t="n"/>
      <c r="F123" s="501" t="n"/>
      <c r="G123" s="327" t="n"/>
      <c r="H123" s="327" t="n"/>
      <c r="I123" s="327" t="n"/>
      <c r="J123" s="501" t="n"/>
      <c r="K123" s="501" t="n"/>
      <c r="L123" s="327" t="n"/>
      <c r="M123" s="327" t="n"/>
      <c r="N123" s="327" t="n"/>
      <c r="O123" s="327" t="n"/>
      <c r="P123" s="507" t="n"/>
      <c r="Q123" s="361" t="n"/>
      <c r="R123" s="1024">
        <f>IF(B123='🎯 SÓI v42 — TRA CỨU &amp; DEEP DIV'!$C$4,"⭐ ĐANG XEM","")</f>
        <v/>
      </c>
    </row>
    <row r="124" ht="15" customHeight="1" s="981">
      <c r="A124" s="1050" t="n"/>
      <c r="B124" s="503" t="inlineStr">
        <is>
          <t>KLB</t>
        </is>
      </c>
      <c r="C124" s="362" t="inlineStr">
        <is>
          <t>Kiên Long</t>
        </is>
      </c>
      <c r="D124" s="362" t="inlineStr">
        <is>
          <t>Ngân hàng</t>
        </is>
      </c>
      <c r="E124" s="503" t="n"/>
      <c r="F124" s="504" t="n"/>
      <c r="G124" s="503" t="n"/>
      <c r="H124" s="503" t="n"/>
      <c r="I124" s="503" t="n"/>
      <c r="J124" s="504" t="n"/>
      <c r="K124" s="504" t="n"/>
      <c r="L124" s="503" t="n"/>
      <c r="M124" s="503" t="n"/>
      <c r="N124" s="503" t="n"/>
      <c r="O124" s="503" t="n"/>
      <c r="P124" s="507" t="n"/>
      <c r="Q124" s="362" t="n"/>
      <c r="R124" s="1024">
        <f>IF(B124='🎯 SÓI v42 — TRA CỨU &amp; DEEP DIV'!$C$4,"⭐ ĐANG XEM","")</f>
        <v/>
      </c>
    </row>
    <row r="125" ht="15" customHeight="1" s="981">
      <c r="A125" s="1050" t="n"/>
      <c r="B125" s="327" t="inlineStr">
        <is>
          <t>BWE</t>
        </is>
      </c>
      <c r="C125" s="361" t="inlineStr">
        <is>
          <t>Bình Dương Water</t>
        </is>
      </c>
      <c r="D125" s="361" t="inlineStr">
        <is>
          <t>Cấp nước</t>
        </is>
      </c>
      <c r="E125" s="327" t="n"/>
      <c r="F125" s="501" t="n"/>
      <c r="G125" s="327" t="n"/>
      <c r="H125" s="327" t="n"/>
      <c r="I125" s="327" t="n"/>
      <c r="J125" s="501" t="n"/>
      <c r="K125" s="501" t="n"/>
      <c r="L125" s="327" t="n"/>
      <c r="M125" s="327" t="n"/>
      <c r="N125" s="327" t="n"/>
      <c r="O125" s="327" t="n"/>
      <c r="P125" s="507" t="n"/>
      <c r="Q125" s="361" t="n"/>
      <c r="R125" s="1024">
        <f>IF(B125='🎯 SÓI v42 — TRA CỨU &amp; DEEP DIV'!$C$4,"⭐ ĐANG XEM","")</f>
        <v/>
      </c>
    </row>
    <row r="126" ht="15" customHeight="1" s="981">
      <c r="A126" s="1050" t="n"/>
      <c r="B126" s="503" t="inlineStr">
        <is>
          <t>SSB</t>
        </is>
      </c>
      <c r="C126" s="362" t="inlineStr">
        <is>
          <t>SeABank</t>
        </is>
      </c>
      <c r="D126" s="362" t="inlineStr">
        <is>
          <t>Ngân hàng</t>
        </is>
      </c>
      <c r="E126" s="503" t="n"/>
      <c r="F126" s="504" t="n"/>
      <c r="G126" s="503" t="n"/>
      <c r="H126" s="503" t="n"/>
      <c r="I126" s="503" t="n"/>
      <c r="J126" s="504" t="n"/>
      <c r="K126" s="504" t="n"/>
      <c r="L126" s="503" t="n"/>
      <c r="M126" s="503" t="n"/>
      <c r="N126" s="503" t="n"/>
      <c r="O126" s="503" t="n"/>
      <c r="P126" s="507" t="n"/>
      <c r="Q126" s="362" t="n"/>
      <c r="R126" s="1024">
        <f>IF(B126='🎯 SÓI v42 — TRA CỨU &amp; DEEP DIV'!$C$4,"⭐ ĐANG XEM","")</f>
        <v/>
      </c>
    </row>
    <row r="127" ht="15" customHeight="1" s="981">
      <c r="A127" s="1050" t="n"/>
      <c r="B127" s="327" t="inlineStr">
        <is>
          <t>VPI</t>
        </is>
      </c>
      <c r="C127" s="361" t="inlineStr">
        <is>
          <t>Vietnam Property Invest</t>
        </is>
      </c>
      <c r="D127" s="361" t="inlineStr">
        <is>
          <t>Bất động sản</t>
        </is>
      </c>
      <c r="E127" s="327" t="n"/>
      <c r="F127" s="501" t="n"/>
      <c r="G127" s="327" t="n"/>
      <c r="H127" s="327" t="n"/>
      <c r="I127" s="327" t="n"/>
      <c r="J127" s="501" t="n"/>
      <c r="K127" s="501" t="n"/>
      <c r="L127" s="327" t="n"/>
      <c r="M127" s="327" t="n"/>
      <c r="N127" s="327" t="n"/>
      <c r="O127" s="327" t="n"/>
      <c r="P127" s="507" t="n"/>
      <c r="Q127" s="361" t="n"/>
      <c r="R127" s="1024">
        <f>IF(B127='🎯 SÓI v42 — TRA CỨU &amp; DEEP DIV'!$C$4,"⭐ ĐANG XEM","")</f>
        <v/>
      </c>
    </row>
    <row r="128" ht="15" customHeight="1" s="981">
      <c r="A128" s="1050" t="n"/>
      <c r="B128" s="503" t="inlineStr">
        <is>
          <t>MIG</t>
        </is>
      </c>
      <c r="C128" s="362" t="inlineStr">
        <is>
          <t>Quân Đội</t>
        </is>
      </c>
      <c r="D128" s="362" t="inlineStr">
        <is>
          <t>Bảo hiểm</t>
        </is>
      </c>
      <c r="E128" s="503" t="n"/>
      <c r="F128" s="504" t="n"/>
      <c r="G128" s="503" t="n"/>
      <c r="H128" s="503" t="n"/>
      <c r="I128" s="503" t="n"/>
      <c r="J128" s="504" t="n"/>
      <c r="K128" s="504" t="n"/>
      <c r="L128" s="503" t="n"/>
      <c r="M128" s="503" t="n"/>
      <c r="N128" s="503" t="n"/>
      <c r="O128" s="503" t="n"/>
      <c r="P128" s="507" t="n"/>
      <c r="Q128" s="362" t="n"/>
      <c r="R128" s="1024">
        <f>IF(B128='🎯 SÓI v42 — TRA CỨU &amp; DEEP DIV'!$C$4,"⭐ ĐANG XEM","")</f>
        <v/>
      </c>
    </row>
    <row r="129" ht="15" customHeight="1" s="981">
      <c r="A129" s="1050" t="n"/>
      <c r="B129" s="327" t="inlineStr">
        <is>
          <t>GIL</t>
        </is>
      </c>
      <c r="C129" s="361" t="inlineStr">
        <is>
          <t>GIL</t>
        </is>
      </c>
      <c r="D129" s="361" t="inlineStr">
        <is>
          <t>Dệt may</t>
        </is>
      </c>
      <c r="E129" s="327" t="n"/>
      <c r="F129" s="501" t="n"/>
      <c r="G129" s="327" t="n"/>
      <c r="H129" s="327" t="n"/>
      <c r="I129" s="327" t="n"/>
      <c r="J129" s="501" t="n"/>
      <c r="K129" s="501" t="n"/>
      <c r="L129" s="327" t="n"/>
      <c r="M129" s="327" t="n"/>
      <c r="N129" s="327" t="n"/>
      <c r="O129" s="327" t="n"/>
      <c r="P129" s="507" t="n"/>
      <c r="Q129" s="361" t="n"/>
      <c r="R129" s="1024">
        <f>IF(B129='🎯 SÓI v42 — TRA CỨU &amp; DEEP DIV'!$C$4,"⭐ ĐANG XEM","")</f>
        <v/>
      </c>
    </row>
    <row r="130" ht="15" customHeight="1" s="981">
      <c r="A130" s="1050" t="n"/>
      <c r="B130" s="503" t="inlineStr">
        <is>
          <t>PLC</t>
        </is>
      </c>
      <c r="C130" s="362" t="inlineStr">
        <is>
          <t>PetroVietnam Lubricants</t>
        </is>
      </c>
      <c r="D130" s="362" t="inlineStr">
        <is>
          <t>Dầu khí</t>
        </is>
      </c>
      <c r="E130" s="503" t="n"/>
      <c r="F130" s="504" t="n"/>
      <c r="G130" s="503" t="n"/>
      <c r="H130" s="503" t="n"/>
      <c r="I130" s="503" t="n"/>
      <c r="J130" s="504" t="n"/>
      <c r="K130" s="504" t="n"/>
      <c r="L130" s="503" t="n"/>
      <c r="M130" s="503" t="n"/>
      <c r="N130" s="503" t="n"/>
      <c r="O130" s="503" t="n"/>
      <c r="P130" s="507" t="n"/>
      <c r="Q130" s="362" t="n"/>
      <c r="R130" s="1024">
        <f>IF(B130='🎯 SÓI v42 — TRA CỨU &amp; DEEP DIV'!$C$4,"⭐ ĐANG XEM","")</f>
        <v/>
      </c>
    </row>
    <row r="131" ht="15" customHeight="1" s="981">
      <c r="A131" s="1050" t="n"/>
      <c r="B131" s="327" t="inlineStr">
        <is>
          <t>BAB</t>
        </is>
      </c>
      <c r="C131" s="361" t="inlineStr">
        <is>
          <t>Bắc Á</t>
        </is>
      </c>
      <c r="D131" s="361" t="inlineStr">
        <is>
          <t>Ngân hàng</t>
        </is>
      </c>
      <c r="E131" s="327" t="n"/>
      <c r="F131" s="501" t="n"/>
      <c r="G131" s="327" t="n"/>
      <c r="H131" s="327" t="n"/>
      <c r="I131" s="327" t="n"/>
      <c r="J131" s="501" t="n"/>
      <c r="K131" s="501" t="n"/>
      <c r="L131" s="327" t="n"/>
      <c r="M131" s="327" t="n"/>
      <c r="N131" s="327" t="n"/>
      <c r="O131" s="327" t="n"/>
      <c r="P131" s="507" t="n"/>
      <c r="Q131" s="361" t="n"/>
      <c r="R131" s="1024">
        <f>IF(B131='🎯 SÓI v42 — TRA CỨU &amp; DEEP DIV'!$C$4,"⭐ ĐANG XEM","")</f>
        <v/>
      </c>
    </row>
    <row r="132" ht="15" customHeight="1" s="981">
      <c r="A132" s="1050" t="n"/>
      <c r="B132" s="503" t="inlineStr">
        <is>
          <t>HDC</t>
        </is>
      </c>
      <c r="C132" s="362" t="inlineStr">
        <is>
          <t>Hodeco</t>
        </is>
      </c>
      <c r="D132" s="362" t="inlineStr">
        <is>
          <t>Bất động sản</t>
        </is>
      </c>
      <c r="E132" s="503" t="n"/>
      <c r="F132" s="504" t="n"/>
      <c r="G132" s="503" t="n"/>
      <c r="H132" s="503" t="n"/>
      <c r="I132" s="503" t="n"/>
      <c r="J132" s="504" t="n"/>
      <c r="K132" s="504" t="n"/>
      <c r="L132" s="503" t="n"/>
      <c r="M132" s="503" t="n"/>
      <c r="N132" s="503" t="n"/>
      <c r="O132" s="503" t="n"/>
      <c r="P132" s="507" t="n"/>
      <c r="Q132" s="362" t="n"/>
      <c r="R132" s="1024">
        <f>IF(B132='🎯 SÓI v42 — TRA CỨU &amp; DEEP DIV'!$C$4,"⭐ ĐANG XEM","")</f>
        <v/>
      </c>
    </row>
    <row r="133" ht="15" customHeight="1" s="981">
      <c r="A133" s="1050" t="n"/>
      <c r="B133" s="327" t="inlineStr">
        <is>
          <t>NT2</t>
        </is>
      </c>
      <c r="C133" s="361" t="inlineStr">
        <is>
          <t>Nhơn Trạch 2</t>
        </is>
      </c>
      <c r="D133" s="361" t="inlineStr">
        <is>
          <t>Điện</t>
        </is>
      </c>
      <c r="E133" s="327" t="n"/>
      <c r="F133" s="501" t="n"/>
      <c r="G133" s="327" t="n"/>
      <c r="H133" s="327" t="n"/>
      <c r="I133" s="327" t="n"/>
      <c r="J133" s="501" t="n"/>
      <c r="K133" s="501" t="n"/>
      <c r="L133" s="327" t="n"/>
      <c r="M133" s="327" t="n"/>
      <c r="N133" s="327" t="n"/>
      <c r="O133" s="327" t="n"/>
      <c r="P133" s="507" t="n"/>
      <c r="Q133" s="361" t="n"/>
      <c r="R133" s="1024">
        <f>IF(B133='🎯 SÓI v42 — TRA CỨU &amp; DEEP DIV'!$C$4,"⭐ ĐANG XEM","")</f>
        <v/>
      </c>
    </row>
    <row r="134" ht="15" customHeight="1" s="981">
      <c r="A134" s="1050" t="n"/>
      <c r="B134" s="503" t="inlineStr">
        <is>
          <t>PVT</t>
        </is>
      </c>
      <c r="C134" s="362" t="inlineStr">
        <is>
          <t>Tàu PVN</t>
        </is>
      </c>
      <c r="D134" s="362" t="inlineStr">
        <is>
          <t>Vận tải</t>
        </is>
      </c>
      <c r="E134" s="503" t="n"/>
      <c r="F134" s="504" t="n"/>
      <c r="G134" s="503" t="n"/>
      <c r="H134" s="503" t="n"/>
      <c r="I134" s="503" t="n"/>
      <c r="J134" s="504" t="n"/>
      <c r="K134" s="504" t="n"/>
      <c r="L134" s="503" t="n"/>
      <c r="M134" s="503" t="n"/>
      <c r="N134" s="503" t="n"/>
      <c r="O134" s="503" t="n"/>
      <c r="P134" s="507" t="n"/>
      <c r="Q134" s="362" t="n"/>
      <c r="R134" s="1024">
        <f>IF(B134='🎯 SÓI v42 — TRA CỨU &amp; DEEP DIV'!$C$4,"⭐ ĐANG XEM","")</f>
        <v/>
      </c>
    </row>
    <row r="135" ht="15" customHeight="1" s="981">
      <c r="A135" s="1050" t="n"/>
      <c r="B135" s="327" t="inlineStr">
        <is>
          <t>STK</t>
        </is>
      </c>
      <c r="C135" s="361" t="inlineStr">
        <is>
          <t>Sợi Thế Kỷ</t>
        </is>
      </c>
      <c r="D135" s="361" t="inlineStr">
        <is>
          <t>Dệt may</t>
        </is>
      </c>
      <c r="E135" s="327" t="n"/>
      <c r="F135" s="501" t="n"/>
      <c r="G135" s="327" t="n"/>
      <c r="H135" s="327" t="n"/>
      <c r="I135" s="327" t="n"/>
      <c r="J135" s="501" t="n"/>
      <c r="K135" s="501" t="n"/>
      <c r="L135" s="327" t="n"/>
      <c r="M135" s="327" t="n"/>
      <c r="N135" s="327" t="n"/>
      <c r="O135" s="327" t="n"/>
      <c r="P135" s="507" t="n"/>
      <c r="Q135" s="361" t="n"/>
      <c r="R135" s="1024">
        <f>IF(B135='🎯 SÓI v42 — TRA CỨU &amp; DEEP DIV'!$C$4,"⭐ ĐANG XEM","")</f>
        <v/>
      </c>
    </row>
    <row r="136" ht="15" customHeight="1" s="981">
      <c r="A136" s="1050" t="n"/>
      <c r="B136" s="503" t="inlineStr">
        <is>
          <t>ASM</t>
        </is>
      </c>
      <c r="C136" s="362" t="inlineStr">
        <is>
          <t>Sao Mai</t>
        </is>
      </c>
      <c r="D136" s="362" t="inlineStr">
        <is>
          <t>Thủy sản</t>
        </is>
      </c>
      <c r="E136" s="503" t="n"/>
      <c r="F136" s="504" t="n"/>
      <c r="G136" s="503" t="n"/>
      <c r="H136" s="503" t="n"/>
      <c r="I136" s="503" t="n"/>
      <c r="J136" s="504" t="n"/>
      <c r="K136" s="504" t="n"/>
      <c r="L136" s="503" t="n"/>
      <c r="M136" s="503" t="n"/>
      <c r="N136" s="503" t="n"/>
      <c r="O136" s="503" t="n"/>
      <c r="P136" s="507" t="n"/>
      <c r="Q136" s="362" t="n"/>
      <c r="R136" s="1024">
        <f>IF(B136='🎯 SÓI v42 — TRA CỨU &amp; DEEP DIV'!$C$4,"⭐ ĐANG XEM","")</f>
        <v/>
      </c>
    </row>
    <row r="137" ht="15" customHeight="1" s="981">
      <c r="A137" s="1050" t="n"/>
      <c r="B137" s="327" t="inlineStr">
        <is>
          <t>KSB</t>
        </is>
      </c>
      <c r="C137" s="361" t="inlineStr">
        <is>
          <t>KSB</t>
        </is>
      </c>
      <c r="D137" s="361" t="inlineStr">
        <is>
          <t>Khoáng sản</t>
        </is>
      </c>
      <c r="E137" s="327" t="n"/>
      <c r="F137" s="501" t="n"/>
      <c r="G137" s="327" t="n"/>
      <c r="H137" s="327" t="n"/>
      <c r="I137" s="327" t="n"/>
      <c r="J137" s="501" t="n"/>
      <c r="K137" s="501" t="n"/>
      <c r="L137" s="327" t="n"/>
      <c r="M137" s="327" t="n"/>
      <c r="N137" s="327" t="n"/>
      <c r="O137" s="327" t="n"/>
      <c r="P137" s="507" t="n"/>
      <c r="Q137" s="361" t="n"/>
      <c r="R137" s="1024">
        <f>IF(B137='🎯 SÓI v42 — TRA CỨU &amp; DEEP DIV'!$C$4,"⭐ ĐANG XEM","")</f>
        <v/>
      </c>
    </row>
    <row r="138" ht="15" customHeight="1" s="981">
      <c r="A138" s="1050" t="n"/>
      <c r="B138" s="503" t="inlineStr">
        <is>
          <t>TDM</t>
        </is>
      </c>
      <c r="C138" s="362" t="inlineStr">
        <is>
          <t>TDM</t>
        </is>
      </c>
      <c r="D138" s="362" t="inlineStr">
        <is>
          <t>Cấp nước</t>
        </is>
      </c>
      <c r="E138" s="503" t="n"/>
      <c r="F138" s="504" t="n"/>
      <c r="G138" s="503" t="n"/>
      <c r="H138" s="503" t="n"/>
      <c r="I138" s="503" t="n"/>
      <c r="J138" s="504" t="n"/>
      <c r="K138" s="504" t="n"/>
      <c r="L138" s="503" t="n"/>
      <c r="M138" s="503" t="n"/>
      <c r="N138" s="503" t="n"/>
      <c r="O138" s="503" t="n"/>
      <c r="P138" s="507" t="n"/>
      <c r="Q138" s="362" t="n"/>
      <c r="R138" s="1024">
        <f>IF(B138='🎯 SÓI v42 — TRA CỨU &amp; DEEP DIV'!$C$4,"⭐ ĐANG XEM","")</f>
        <v/>
      </c>
    </row>
    <row r="139" ht="15" customHeight="1" s="981">
      <c r="A139" s="1050" t="n"/>
      <c r="B139" s="327" t="inlineStr">
        <is>
          <t>DBM</t>
        </is>
      </c>
      <c r="C139" s="361" t="inlineStr">
        <is>
          <t>Dược Bến Tre</t>
        </is>
      </c>
      <c r="D139" s="361" t="inlineStr">
        <is>
          <t>Dược</t>
        </is>
      </c>
      <c r="E139" s="327" t="n"/>
      <c r="F139" s="501" t="n"/>
      <c r="G139" s="327" t="n"/>
      <c r="H139" s="327" t="n"/>
      <c r="I139" s="327" t="n"/>
      <c r="J139" s="501" t="n"/>
      <c r="K139" s="501" t="n"/>
      <c r="L139" s="327" t="n"/>
      <c r="M139" s="327" t="n"/>
      <c r="N139" s="327" t="n"/>
      <c r="O139" s="327" t="n"/>
      <c r="P139" s="507" t="n"/>
      <c r="Q139" s="361" t="n"/>
      <c r="R139" s="1024">
        <f>IF(B139='🎯 SÓI v42 — TRA CỨU &amp; DEEP DIV'!$C$4,"⭐ ĐANG XEM","")</f>
        <v/>
      </c>
    </row>
    <row r="140" ht="15" customHeight="1" s="981">
      <c r="A140" s="1050" t="n"/>
      <c r="B140" s="503" t="inlineStr">
        <is>
          <t>TBC</t>
        </is>
      </c>
      <c r="C140" s="362" t="inlineStr">
        <is>
          <t>Thác Bà</t>
        </is>
      </c>
      <c r="D140" s="362" t="inlineStr">
        <is>
          <t>Điện</t>
        </is>
      </c>
      <c r="E140" s="503" t="n"/>
      <c r="F140" s="504" t="n"/>
      <c r="G140" s="503" t="n"/>
      <c r="H140" s="503" t="n"/>
      <c r="I140" s="503" t="n"/>
      <c r="J140" s="504" t="n"/>
      <c r="K140" s="504" t="n"/>
      <c r="L140" s="503" t="n"/>
      <c r="M140" s="503" t="n"/>
      <c r="N140" s="503" t="n"/>
      <c r="O140" s="503" t="n"/>
      <c r="P140" s="507" t="n"/>
      <c r="Q140" s="362" t="n"/>
      <c r="R140" s="1024">
        <f>IF(B140='🎯 SÓI v42 — TRA CỨU &amp; DEEP DIV'!$C$4,"⭐ ĐANG XEM","")</f>
        <v/>
      </c>
    </row>
    <row r="141" ht="15" customHeight="1" s="981">
      <c r="A141" s="1050" t="n"/>
      <c r="B141" s="327" t="inlineStr">
        <is>
          <t>TIP</t>
        </is>
      </c>
      <c r="C141" s="361" t="inlineStr">
        <is>
          <t>Tiền Phong</t>
        </is>
      </c>
      <c r="D141" s="361" t="inlineStr">
        <is>
          <t>Bất động sản</t>
        </is>
      </c>
      <c r="E141" s="327" t="n"/>
      <c r="F141" s="501" t="n"/>
      <c r="G141" s="327" t="n"/>
      <c r="H141" s="327" t="n"/>
      <c r="I141" s="327" t="n"/>
      <c r="J141" s="501" t="n"/>
      <c r="K141" s="501" t="n"/>
      <c r="L141" s="327" t="n"/>
      <c r="M141" s="327" t="n"/>
      <c r="N141" s="327" t="n"/>
      <c r="O141" s="327" t="n"/>
      <c r="P141" s="507" t="n"/>
      <c r="Q141" s="361" t="n"/>
      <c r="R141" s="1024">
        <f>IF(B141='🎯 SÓI v42 — TRA CỨU &amp; DEEP DIV'!$C$4,"⭐ ĐANG XEM","")</f>
        <v/>
      </c>
    </row>
    <row r="142" ht="15" customHeight="1" s="981">
      <c r="A142" s="1050" t="n"/>
      <c r="B142" s="503" t="inlineStr">
        <is>
          <t>BMI</t>
        </is>
      </c>
      <c r="C142" s="362" t="inlineStr">
        <is>
          <t>Bảo Minh</t>
        </is>
      </c>
      <c r="D142" s="362" t="inlineStr">
        <is>
          <t>Bảo hiểm</t>
        </is>
      </c>
      <c r="E142" s="503" t="n"/>
      <c r="F142" s="504" t="n"/>
      <c r="G142" s="503" t="n"/>
      <c r="H142" s="503" t="n"/>
      <c r="I142" s="503" t="n"/>
      <c r="J142" s="504" t="n"/>
      <c r="K142" s="504" t="n"/>
      <c r="L142" s="503" t="n"/>
      <c r="M142" s="503" t="n"/>
      <c r="N142" s="503" t="n"/>
      <c r="O142" s="503" t="n"/>
      <c r="P142" s="507" t="n"/>
      <c r="Q142" s="362" t="n"/>
      <c r="R142" s="1024">
        <f>IF(B142='🎯 SÓI v42 — TRA CỨU &amp; DEEP DIV'!$C$4,"⭐ ĐANG XEM","")</f>
        <v/>
      </c>
    </row>
    <row r="143" ht="15" customHeight="1" s="981">
      <c r="A143" s="1050" t="n"/>
      <c r="B143" s="327" t="inlineStr">
        <is>
          <t>GEG</t>
        </is>
      </c>
      <c r="C143" s="361" t="inlineStr">
        <is>
          <t>GIA LAI</t>
        </is>
      </c>
      <c r="D143" s="361" t="inlineStr">
        <is>
          <t>Điện</t>
        </is>
      </c>
      <c r="E143" s="327" t="n"/>
      <c r="F143" s="501" t="n"/>
      <c r="G143" s="327" t="n"/>
      <c r="H143" s="327" t="n"/>
      <c r="I143" s="327" t="n"/>
      <c r="J143" s="501" t="n"/>
      <c r="K143" s="501" t="n"/>
      <c r="L143" s="327" t="n"/>
      <c r="M143" s="327" t="n"/>
      <c r="N143" s="327" t="n"/>
      <c r="O143" s="327" t="n"/>
      <c r="P143" s="507" t="n"/>
      <c r="Q143" s="361" t="n"/>
      <c r="R143" s="1024">
        <f>IF(B143='🎯 SÓI v42 — TRA CỨU &amp; DEEP DIV'!$C$4,"⭐ ĐANG XEM","")</f>
        <v/>
      </c>
    </row>
    <row r="144" ht="15" customHeight="1" s="981">
      <c r="A144" s="1050" t="n"/>
      <c r="B144" s="503" t="inlineStr">
        <is>
          <t>VDS</t>
        </is>
      </c>
      <c r="C144" s="362" t="inlineStr">
        <is>
          <t>Rong Viet Securities</t>
        </is>
      </c>
      <c r="D144" s="362" t="inlineStr">
        <is>
          <t>Chứng khoán</t>
        </is>
      </c>
      <c r="E144" s="503" t="n"/>
      <c r="F144" s="504" t="n"/>
      <c r="G144" s="503" t="n"/>
      <c r="H144" s="503" t="n"/>
      <c r="I144" s="503" t="n"/>
      <c r="J144" s="504" t="n"/>
      <c r="K144" s="504" t="n"/>
      <c r="L144" s="503" t="n"/>
      <c r="M144" s="503" t="n"/>
      <c r="N144" s="503" t="n"/>
      <c r="O144" s="503" t="n"/>
      <c r="P144" s="507" t="n"/>
      <c r="Q144" s="362" t="n"/>
      <c r="R144" s="1024">
        <f>IF(B144='🎯 SÓI v42 — TRA CỨU &amp; DEEP DIV'!$C$4,"⭐ ĐANG XEM","")</f>
        <v/>
      </c>
    </row>
    <row r="145" ht="15" customHeight="1" s="981">
      <c r="A145" s="1050" t="n"/>
      <c r="B145" s="327" t="inlineStr">
        <is>
          <t>VNS</t>
        </is>
      </c>
      <c r="C145" s="361" t="inlineStr">
        <is>
          <t>Vinasun Corp</t>
        </is>
      </c>
      <c r="D145" s="361" t="inlineStr">
        <is>
          <t>Vận tải</t>
        </is>
      </c>
      <c r="E145" s="327" t="n"/>
      <c r="F145" s="501" t="n"/>
      <c r="G145" s="327" t="n"/>
      <c r="H145" s="327" t="n"/>
      <c r="I145" s="327" t="n"/>
      <c r="J145" s="501" t="n"/>
      <c r="K145" s="501" t="n"/>
      <c r="L145" s="327" t="n"/>
      <c r="M145" s="327" t="n"/>
      <c r="N145" s="327" t="n"/>
      <c r="O145" s="327" t="n"/>
      <c r="P145" s="507" t="n"/>
      <c r="Q145" s="361" t="n"/>
      <c r="R145" s="1024">
        <f>IF(B145='🎯 SÓI v42 — TRA CỨU &amp; DEEP DIV'!$C$4,"⭐ ĐANG XEM","")</f>
        <v/>
      </c>
    </row>
    <row r="146" ht="15" customHeight="1" s="981">
      <c r="A146" s="1050" t="n"/>
      <c r="B146" s="503" t="inlineStr">
        <is>
          <t>NTW</t>
        </is>
      </c>
      <c r="C146" s="362" t="inlineStr">
        <is>
          <t>Nhà Bè Water</t>
        </is>
      </c>
      <c r="D146" s="362" t="inlineStr">
        <is>
          <t>Cấp nước</t>
        </is>
      </c>
      <c r="E146" s="503" t="n"/>
      <c r="F146" s="504" t="n"/>
      <c r="G146" s="503" t="n"/>
      <c r="H146" s="503" t="n"/>
      <c r="I146" s="503" t="n"/>
      <c r="J146" s="504" t="n"/>
      <c r="K146" s="504" t="n"/>
      <c r="L146" s="503" t="n"/>
      <c r="M146" s="503" t="n"/>
      <c r="N146" s="503" t="n"/>
      <c r="O146" s="503" t="n"/>
      <c r="P146" s="507" t="n"/>
      <c r="Q146" s="362" t="n"/>
      <c r="R146" s="1024">
        <f>IF(B146='🎯 SÓI v42 — TRA CỨU &amp; DEEP DIV'!$C$4,"⭐ ĐANG XEM","")</f>
        <v/>
      </c>
    </row>
    <row r="147" ht="15" customHeight="1" s="981">
      <c r="A147" s="1050" t="n"/>
      <c r="B147" s="327" t="inlineStr">
        <is>
          <t>OCB</t>
        </is>
      </c>
      <c r="C147" s="361" t="inlineStr">
        <is>
          <t>OCB Bank</t>
        </is>
      </c>
      <c r="D147" s="361" t="inlineStr">
        <is>
          <t>Ngân hàng</t>
        </is>
      </c>
      <c r="E147" s="327" t="n"/>
      <c r="F147" s="501" t="n"/>
      <c r="G147" s="327" t="n"/>
      <c r="H147" s="327" t="n"/>
      <c r="I147" s="327" t="n"/>
      <c r="J147" s="501" t="n"/>
      <c r="K147" s="501" t="n"/>
      <c r="L147" s="327" t="n"/>
      <c r="M147" s="327" t="n"/>
      <c r="N147" s="327" t="n"/>
      <c r="O147" s="327" t="n"/>
      <c r="P147" s="507" t="n"/>
      <c r="Q147" s="361" t="n"/>
      <c r="R147" s="1024">
        <f>IF(B147='🎯 SÓI v42 — TRA CỨU &amp; DEEP DIV'!$C$4,"⭐ ĐANG XEM","")</f>
        <v/>
      </c>
    </row>
    <row r="148" ht="15" customHeight="1" s="981">
      <c r="A148" s="1050" t="n"/>
      <c r="B148" s="503" t="inlineStr">
        <is>
          <t>STB</t>
        </is>
      </c>
      <c r="C148" s="362" t="inlineStr">
        <is>
          <t>Sacombank</t>
        </is>
      </c>
      <c r="D148" s="362" t="inlineStr">
        <is>
          <t>Ngân hàng</t>
        </is>
      </c>
      <c r="E148" s="503" t="n"/>
      <c r="F148" s="504" t="n"/>
      <c r="G148" s="503" t="n"/>
      <c r="H148" s="503" t="n"/>
      <c r="I148" s="503" t="n"/>
      <c r="J148" s="504" t="n"/>
      <c r="K148" s="504" t="n"/>
      <c r="L148" s="503" t="n"/>
      <c r="M148" s="503" t="n"/>
      <c r="N148" s="503" t="n"/>
      <c r="O148" s="503" t="n"/>
      <c r="P148" s="507" t="n"/>
      <c r="Q148" s="362" t="n"/>
      <c r="R148" s="1024">
        <f>IF(B148='🎯 SÓI v42 — TRA CỨU &amp; DEEP DIV'!$C$4,"⭐ ĐANG XEM","")</f>
        <v/>
      </c>
    </row>
    <row r="149" ht="15" customHeight="1" s="981">
      <c r="A149" s="1050" t="n"/>
      <c r="B149" s="327" t="inlineStr">
        <is>
          <t>VSH</t>
        </is>
      </c>
      <c r="C149" s="361" t="inlineStr">
        <is>
          <t>Vĩnh Sơn</t>
        </is>
      </c>
      <c r="D149" s="361" t="inlineStr">
        <is>
          <t>Điện</t>
        </is>
      </c>
      <c r="E149" s="327" t="n"/>
      <c r="F149" s="501" t="n"/>
      <c r="G149" s="327" t="n"/>
      <c r="H149" s="327" t="n"/>
      <c r="I149" s="327" t="n"/>
      <c r="J149" s="501" t="n"/>
      <c r="K149" s="501" t="n"/>
      <c r="L149" s="327" t="n"/>
      <c r="M149" s="327" t="n"/>
      <c r="N149" s="327" t="n"/>
      <c r="O149" s="327" t="n"/>
      <c r="P149" s="507" t="n"/>
      <c r="Q149" s="361" t="n"/>
      <c r="R149" s="1024">
        <f>IF(B149='🎯 SÓI v42 — TRA CỨU &amp; DEEP DIV'!$C$4,"⭐ ĐANG XEM","")</f>
        <v/>
      </c>
    </row>
    <row r="150" ht="15" customHeight="1" s="981">
      <c r="A150" s="1050" t="n"/>
      <c r="B150" s="503" t="inlineStr">
        <is>
          <t>PVS</t>
        </is>
      </c>
      <c r="C150" s="362" t="inlineStr">
        <is>
          <t>PTSC</t>
        </is>
      </c>
      <c r="D150" s="362" t="inlineStr">
        <is>
          <t>Dầu khí</t>
        </is>
      </c>
      <c r="E150" s="503" t="n"/>
      <c r="F150" s="504" t="n"/>
      <c r="G150" s="503" t="n"/>
      <c r="H150" s="503" t="n"/>
      <c r="I150" s="503" t="n"/>
      <c r="J150" s="504" t="n"/>
      <c r="K150" s="504" t="n"/>
      <c r="L150" s="503" t="n"/>
      <c r="M150" s="503" t="n"/>
      <c r="N150" s="503" t="n"/>
      <c r="O150" s="503" t="n"/>
      <c r="P150" s="507" t="n"/>
      <c r="Q150" s="362" t="n"/>
      <c r="R150" s="1024">
        <f>IF(B150='🎯 SÓI v42 — TRA CỨU &amp; DEEP DIV'!$C$4,"⭐ ĐANG XEM","")</f>
        <v/>
      </c>
    </row>
    <row r="151" ht="15" customHeight="1" s="981">
      <c r="A151" s="1050" t="n"/>
      <c r="B151" s="327" t="inlineStr">
        <is>
          <t>CMX</t>
        </is>
      </c>
      <c r="C151" s="361" t="inlineStr">
        <is>
          <t>Camimex</t>
        </is>
      </c>
      <c r="D151" s="361" t="inlineStr">
        <is>
          <t>Thực phẩm</t>
        </is>
      </c>
      <c r="E151" s="327" t="n"/>
      <c r="F151" s="501" t="n"/>
      <c r="G151" s="327" t="n"/>
      <c r="H151" s="327" t="n"/>
      <c r="I151" s="327" t="n"/>
      <c r="J151" s="501" t="n"/>
      <c r="K151" s="501" t="n"/>
      <c r="L151" s="327" t="n"/>
      <c r="M151" s="327" t="n"/>
      <c r="N151" s="327" t="n"/>
      <c r="O151" s="327" t="n"/>
      <c r="P151" s="507" t="n"/>
      <c r="Q151" s="361" t="n"/>
      <c r="R151" s="1024">
        <f>IF(B151='🎯 SÓI v42 — TRA CỨU &amp; DEEP DIV'!$C$4,"⭐ ĐANG XEM","")</f>
        <v/>
      </c>
    </row>
    <row r="152" ht="15" customHeight="1" s="981">
      <c r="A152" s="1050" t="n"/>
      <c r="B152" s="503" t="inlineStr">
        <is>
          <t>DNW</t>
        </is>
      </c>
      <c r="C152" s="362" t="inlineStr">
        <is>
          <t>Đồng Nai Water</t>
        </is>
      </c>
      <c r="D152" s="362" t="inlineStr">
        <is>
          <t>Cấp nước</t>
        </is>
      </c>
      <c r="E152" s="503" t="n"/>
      <c r="F152" s="504" t="n"/>
      <c r="G152" s="503" t="n"/>
      <c r="H152" s="503" t="n"/>
      <c r="I152" s="503" t="n"/>
      <c r="J152" s="504" t="n"/>
      <c r="K152" s="504" t="n"/>
      <c r="L152" s="503" t="n"/>
      <c r="M152" s="503" t="n"/>
      <c r="N152" s="503" t="n"/>
      <c r="O152" s="503" t="n"/>
      <c r="P152" s="507" t="n"/>
      <c r="Q152" s="362" t="n"/>
      <c r="R152" s="1024">
        <f>IF(B152='🎯 SÓI v42 — TRA CỨU &amp; DEEP DIV'!$C$4,"⭐ ĐANG XEM","")</f>
        <v/>
      </c>
    </row>
    <row r="153" ht="15" customHeight="1" s="981">
      <c r="A153" s="1050" t="n"/>
      <c r="B153" s="327" t="inlineStr">
        <is>
          <t>VCG</t>
        </is>
      </c>
      <c r="C153" s="361" t="inlineStr">
        <is>
          <t>Vinaconex</t>
        </is>
      </c>
      <c r="D153" s="361" t="inlineStr">
        <is>
          <t>Xây dựng</t>
        </is>
      </c>
      <c r="E153" s="327" t="n"/>
      <c r="F153" s="501" t="n"/>
      <c r="G153" s="327" t="n"/>
      <c r="H153" s="327" t="n"/>
      <c r="I153" s="327" t="n"/>
      <c r="J153" s="501" t="n"/>
      <c r="K153" s="501" t="n"/>
      <c r="L153" s="327" t="n"/>
      <c r="M153" s="327" t="n"/>
      <c r="N153" s="327" t="n"/>
      <c r="O153" s="327" t="n"/>
      <c r="P153" s="507" t="n"/>
      <c r="Q153" s="361" t="n"/>
      <c r="R153" s="1024">
        <f>IF(B153='🎯 SÓI v42 — TRA CỨU &amp; DEEP DIV'!$C$4,"⭐ ĐANG XEM","")</f>
        <v/>
      </c>
    </row>
    <row r="154" ht="15" customHeight="1" s="981">
      <c r="A154" s="1050" t="n"/>
      <c r="B154" s="503" t="inlineStr">
        <is>
          <t>API</t>
        </is>
      </c>
      <c r="C154" s="362" t="inlineStr">
        <is>
          <t>Agrimeco</t>
        </is>
      </c>
      <c r="D154" s="362" t="inlineStr">
        <is>
          <t>Nông nghiệp</t>
        </is>
      </c>
      <c r="E154" s="503" t="n"/>
      <c r="F154" s="504" t="n"/>
      <c r="G154" s="503" t="n"/>
      <c r="H154" s="503" t="n"/>
      <c r="I154" s="503" t="n"/>
      <c r="J154" s="504" t="n"/>
      <c r="K154" s="504" t="n"/>
      <c r="L154" s="503" t="n"/>
      <c r="M154" s="503" t="n"/>
      <c r="N154" s="503" t="n"/>
      <c r="O154" s="503" t="n"/>
      <c r="P154" s="507" t="n"/>
      <c r="Q154" s="362" t="n"/>
      <c r="R154" s="1024">
        <f>IF(B154='🎯 SÓI v42 — TRA CỨU &amp; DEEP DIV'!$C$4,"⭐ ĐANG XEM","")</f>
        <v/>
      </c>
    </row>
    <row r="155" ht="15" customHeight="1" s="981">
      <c r="A155" s="1050" t="n"/>
      <c r="B155" s="327" t="inlineStr">
        <is>
          <t>ACL</t>
        </is>
      </c>
      <c r="C155" s="361" t="inlineStr">
        <is>
          <t>Cuu Long Fish</t>
        </is>
      </c>
      <c r="D155" s="361" t="inlineStr">
        <is>
          <t>Thủy sản</t>
        </is>
      </c>
      <c r="E155" s="327" t="n"/>
      <c r="F155" s="501" t="n"/>
      <c r="G155" s="327" t="n"/>
      <c r="H155" s="327" t="n"/>
      <c r="I155" s="327" t="n"/>
      <c r="J155" s="501" t="n"/>
      <c r="K155" s="501" t="n"/>
      <c r="L155" s="327" t="n"/>
      <c r="M155" s="327" t="n"/>
      <c r="N155" s="327" t="n"/>
      <c r="O155" s="327" t="n"/>
      <c r="P155" s="507" t="n"/>
      <c r="Q155" s="361" t="n"/>
      <c r="R155" s="1024">
        <f>IF(B155='🎯 SÓI v42 — TRA CỨU &amp; DEEP DIV'!$C$4,"⭐ ĐANG XEM","")</f>
        <v/>
      </c>
    </row>
    <row r="156" ht="15" customHeight="1" s="981">
      <c r="A156" s="1050" t="n"/>
      <c r="B156" s="503" t="inlineStr">
        <is>
          <t>VFC</t>
        </is>
      </c>
      <c r="C156" s="362" t="inlineStr">
        <is>
          <t>VietFranchise</t>
        </is>
      </c>
      <c r="D156" s="362" t="inlineStr">
        <is>
          <t>Tài chính</t>
        </is>
      </c>
      <c r="E156" s="503" t="n"/>
      <c r="F156" s="504" t="n"/>
      <c r="G156" s="503" t="n"/>
      <c r="H156" s="503" t="n"/>
      <c r="I156" s="503" t="n"/>
      <c r="J156" s="504" t="n"/>
      <c r="K156" s="504" t="n"/>
      <c r="L156" s="503" t="n"/>
      <c r="M156" s="503" t="n"/>
      <c r="N156" s="503" t="n"/>
      <c r="O156" s="503" t="n"/>
      <c r="P156" s="507" t="n"/>
      <c r="Q156" s="362" t="n"/>
      <c r="R156" s="1024">
        <f>IF(B156='🎯 SÓI v42 — TRA CỨU &amp; DEEP DIV'!$C$4,"⭐ ĐANG XEM","")</f>
        <v/>
      </c>
    </row>
    <row r="157" ht="15" customHeight="1" s="981">
      <c r="A157" s="1050" t="n"/>
      <c r="B157" s="327" t="inlineStr">
        <is>
          <t>VTV</t>
        </is>
      </c>
      <c r="C157" s="361" t="inlineStr">
        <is>
          <t>Truyền hình VN</t>
        </is>
      </c>
      <c r="D157" s="361" t="inlineStr">
        <is>
          <t>Truyền thông</t>
        </is>
      </c>
      <c r="E157" s="327" t="n"/>
      <c r="F157" s="501" t="n"/>
      <c r="G157" s="327" t="n"/>
      <c r="H157" s="327" t="n"/>
      <c r="I157" s="327" t="n"/>
      <c r="J157" s="501" t="n"/>
      <c r="K157" s="501" t="n"/>
      <c r="L157" s="327" t="n"/>
      <c r="M157" s="327" t="n"/>
      <c r="N157" s="327" t="n"/>
      <c r="O157" s="327" t="n"/>
      <c r="P157" s="507" t="n"/>
      <c r="Q157" s="361" t="n"/>
      <c r="R157" s="1024">
        <f>IF(B157='🎯 SÓI v42 — TRA CỨU &amp; DEEP DIV'!$C$4,"⭐ ĐANG XEM","")</f>
        <v/>
      </c>
    </row>
    <row r="158" ht="15" customHeight="1" s="981">
      <c r="A158" s="1050" t="n"/>
      <c r="B158" s="503" t="inlineStr">
        <is>
          <t>TIN</t>
        </is>
      </c>
      <c r="C158" s="362" t="inlineStr">
        <is>
          <t>VPS Finance</t>
        </is>
      </c>
      <c r="D158" s="362" t="inlineStr">
        <is>
          <t>Tài chính</t>
        </is>
      </c>
      <c r="E158" s="503" t="n"/>
      <c r="F158" s="504" t="n"/>
      <c r="G158" s="503" t="n"/>
      <c r="H158" s="503" t="n"/>
      <c r="I158" s="503" t="n"/>
      <c r="J158" s="504" t="n"/>
      <c r="K158" s="504" t="n"/>
      <c r="L158" s="503" t="n"/>
      <c r="M158" s="503" t="n"/>
      <c r="N158" s="503" t="n"/>
      <c r="O158" s="503" t="n"/>
      <c r="P158" s="507" t="n"/>
      <c r="Q158" s="362" t="n"/>
      <c r="R158" s="1024">
        <f>IF(B158='🎯 SÓI v42 — TRA CỨU &amp; DEEP DIV'!$C$4,"⭐ ĐANG XEM","")</f>
        <v/>
      </c>
    </row>
    <row r="159" ht="15" customHeight="1" s="981">
      <c r="A159" s="1050" t="n"/>
      <c r="B159" s="327" t="inlineStr">
        <is>
          <t>ITD</t>
        </is>
      </c>
      <c r="C159" s="361" t="inlineStr">
        <is>
          <t>ITD</t>
        </is>
      </c>
      <c r="D159" s="361" t="inlineStr">
        <is>
          <t>Công nghệ</t>
        </is>
      </c>
      <c r="E159" s="327" t="n"/>
      <c r="F159" s="501" t="n"/>
      <c r="G159" s="327" t="n"/>
      <c r="H159" s="327" t="n"/>
      <c r="I159" s="327" t="n"/>
      <c r="J159" s="501" t="n"/>
      <c r="K159" s="501" t="n"/>
      <c r="L159" s="327" t="n"/>
      <c r="M159" s="327" t="n"/>
      <c r="N159" s="327" t="n"/>
      <c r="O159" s="327" t="n"/>
      <c r="P159" s="507" t="n"/>
      <c r="Q159" s="361" t="n"/>
      <c r="R159" s="1024">
        <f>IF(B159='🎯 SÓI v42 — TRA CỨU &amp; DEEP DIV'!$C$4,"⭐ ĐANG XEM","")</f>
        <v/>
      </c>
    </row>
    <row r="160" ht="15" customHeight="1" s="981">
      <c r="A160" s="1050" t="n"/>
      <c r="B160" s="503" t="inlineStr">
        <is>
          <t>TCH</t>
        </is>
      </c>
      <c r="C160" s="362" t="inlineStr">
        <is>
          <t>Thắng Lợi</t>
        </is>
      </c>
      <c r="D160" s="362" t="inlineStr">
        <is>
          <t>Bất động sản</t>
        </is>
      </c>
      <c r="E160" s="503" t="n"/>
      <c r="F160" s="504" t="n"/>
      <c r="G160" s="503" t="n"/>
      <c r="H160" s="503" t="n"/>
      <c r="I160" s="503" t="n"/>
      <c r="J160" s="504" t="n"/>
      <c r="K160" s="504" t="n"/>
      <c r="L160" s="503" t="n"/>
      <c r="M160" s="503" t="n"/>
      <c r="N160" s="503" t="n"/>
      <c r="O160" s="503" t="n"/>
      <c r="P160" s="507" t="n"/>
      <c r="Q160" s="362" t="n"/>
      <c r="R160" s="1024">
        <f>IF(B160='🎯 SÓI v42 — TRA CỨU &amp; DEEP DIV'!$C$4,"⭐ ĐANG XEM","")</f>
        <v/>
      </c>
    </row>
    <row r="161" ht="15" customHeight="1" s="981">
      <c r="A161" s="1050" t="n"/>
      <c r="B161" s="327" t="inlineStr">
        <is>
          <t>IDI</t>
        </is>
      </c>
      <c r="C161" s="361" t="inlineStr">
        <is>
          <t>I.D.I</t>
        </is>
      </c>
      <c r="D161" s="361" t="inlineStr">
        <is>
          <t>Thủy sản</t>
        </is>
      </c>
      <c r="E161" s="327" t="n"/>
      <c r="F161" s="501" t="n"/>
      <c r="G161" s="327" t="n"/>
      <c r="H161" s="327" t="n"/>
      <c r="I161" s="327" t="n"/>
      <c r="J161" s="501" t="n"/>
      <c r="K161" s="501" t="n"/>
      <c r="L161" s="327" t="n"/>
      <c r="M161" s="327" t="n"/>
      <c r="N161" s="327" t="n"/>
      <c r="O161" s="327" t="n"/>
      <c r="P161" s="507" t="n"/>
      <c r="Q161" s="361" t="n"/>
      <c r="R161" s="1024">
        <f>IF(B161='🎯 SÓI v42 — TRA CỨU &amp; DEEP DIV'!$C$4,"⭐ ĐANG XEM","")</f>
        <v/>
      </c>
    </row>
    <row r="162" ht="15" customHeight="1" s="981">
      <c r="A162" s="1050" t="n"/>
      <c r="B162" s="503" t="inlineStr">
        <is>
          <t>IJC</t>
        </is>
      </c>
      <c r="C162" s="362" t="inlineStr">
        <is>
          <t>Becamex IJC</t>
        </is>
      </c>
      <c r="D162" s="362" t="inlineStr">
        <is>
          <t>Bất động sản</t>
        </is>
      </c>
      <c r="E162" s="503" t="n"/>
      <c r="F162" s="504" t="n"/>
      <c r="G162" s="503" t="n"/>
      <c r="H162" s="503" t="n"/>
      <c r="I162" s="503" t="n"/>
      <c r="J162" s="504" t="n"/>
      <c r="K162" s="504" t="n"/>
      <c r="L162" s="503" t="n"/>
      <c r="M162" s="503" t="n"/>
      <c r="N162" s="503" t="n"/>
      <c r="O162" s="503" t="n"/>
      <c r="P162" s="507" t="n"/>
      <c r="Q162" s="362" t="n"/>
      <c r="R162" s="1024">
        <f>IF(B162='🎯 SÓI v42 — TRA CỨU &amp; DEEP DIV'!$C$4,"⭐ ĐANG XEM","")</f>
        <v/>
      </c>
    </row>
    <row r="163" ht="15" customHeight="1" s="981">
      <c r="A163" s="1050" t="n"/>
      <c r="B163" s="327" t="inlineStr">
        <is>
          <t>LAS</t>
        </is>
      </c>
      <c r="C163" s="361" t="inlineStr">
        <is>
          <t>LAS Group</t>
        </is>
      </c>
      <c r="D163" s="361" t="inlineStr">
        <is>
          <t>Hóa chất</t>
        </is>
      </c>
      <c r="E163" s="327" t="n"/>
      <c r="F163" s="501" t="n"/>
      <c r="G163" s="327" t="n"/>
      <c r="H163" s="327" t="n"/>
      <c r="I163" s="327" t="n"/>
      <c r="J163" s="501" t="n"/>
      <c r="K163" s="501" t="n"/>
      <c r="L163" s="327" t="n"/>
      <c r="M163" s="327" t="n"/>
      <c r="N163" s="327" t="n"/>
      <c r="O163" s="327" t="n"/>
      <c r="P163" s="507" t="n"/>
      <c r="Q163" s="361" t="n"/>
      <c r="R163" s="1024">
        <f>IF(B163='🎯 SÓI v42 — TRA CỨU &amp; DEEP DIV'!$C$4,"⭐ ĐANG XEM","")</f>
        <v/>
      </c>
    </row>
    <row r="164" ht="15" customHeight="1" s="981">
      <c r="A164" s="1050" t="n"/>
      <c r="B164" s="503" t="inlineStr">
        <is>
          <t>PLX</t>
        </is>
      </c>
      <c r="C164" s="362" t="inlineStr">
        <is>
          <t>Petrolimex</t>
        </is>
      </c>
      <c r="D164" s="362" t="inlineStr">
        <is>
          <t>Dầu khí</t>
        </is>
      </c>
      <c r="E164" s="503" t="n"/>
      <c r="F164" s="504" t="n"/>
      <c r="G164" s="503" t="n"/>
      <c r="H164" s="503" t="n"/>
      <c r="I164" s="503" t="n"/>
      <c r="J164" s="504" t="n"/>
      <c r="K164" s="504" t="n"/>
      <c r="L164" s="503" t="n"/>
      <c r="M164" s="503" t="n"/>
      <c r="N164" s="503" t="n"/>
      <c r="O164" s="503" t="n"/>
      <c r="P164" s="507" t="n"/>
      <c r="Q164" s="362" t="n"/>
      <c r="R164" s="1024">
        <f>IF(B164='🎯 SÓI v42 — TRA CỨU &amp; DEEP DIV'!$C$4,"⭐ ĐANG XEM","")</f>
        <v/>
      </c>
    </row>
    <row r="165" ht="15" customHeight="1" s="981">
      <c r="A165" s="1050" t="n"/>
      <c r="B165" s="327" t="inlineStr">
        <is>
          <t>HAP</t>
        </is>
      </c>
      <c r="C165" s="361" t="inlineStr">
        <is>
          <t>Hapro</t>
        </is>
      </c>
      <c r="D165" s="361" t="inlineStr">
        <is>
          <t>Thương mại</t>
        </is>
      </c>
      <c r="E165" s="327" t="n"/>
      <c r="F165" s="501" t="n"/>
      <c r="G165" s="327" t="n"/>
      <c r="H165" s="327" t="n"/>
      <c r="I165" s="327" t="n"/>
      <c r="J165" s="501" t="n"/>
      <c r="K165" s="501" t="n"/>
      <c r="L165" s="327" t="n"/>
      <c r="M165" s="327" t="n"/>
      <c r="N165" s="327" t="n"/>
      <c r="O165" s="327" t="n"/>
      <c r="P165" s="507" t="n"/>
      <c r="Q165" s="361" t="n"/>
      <c r="R165" s="1024">
        <f>IF(B165='🎯 SÓI v42 — TRA CỨU &amp; DEEP DIV'!$C$4,"⭐ ĐANG XEM","")</f>
        <v/>
      </c>
    </row>
    <row r="166" ht="15" customHeight="1" s="981">
      <c r="A166" s="1050" t="n"/>
      <c r="B166" s="503" t="inlineStr">
        <is>
          <t>PGB</t>
        </is>
      </c>
      <c r="C166" s="362" t="inlineStr">
        <is>
          <t>PG Bank</t>
        </is>
      </c>
      <c r="D166" s="362" t="inlineStr">
        <is>
          <t>Ngân hàng</t>
        </is>
      </c>
      <c r="E166" s="503" t="n"/>
      <c r="F166" s="504" t="n"/>
      <c r="G166" s="503" t="n"/>
      <c r="H166" s="503" t="n"/>
      <c r="I166" s="503" t="n"/>
      <c r="J166" s="504" t="n"/>
      <c r="K166" s="504" t="n"/>
      <c r="L166" s="503" t="n"/>
      <c r="M166" s="503" t="n"/>
      <c r="N166" s="503" t="n"/>
      <c r="O166" s="503" t="n"/>
      <c r="P166" s="507" t="n"/>
      <c r="Q166" s="362" t="n"/>
      <c r="R166" s="1024">
        <f>IF(B166='🎯 SÓI v42 — TRA CỨU &amp; DEEP DIV'!$C$4,"⭐ ĐANG XEM","")</f>
        <v/>
      </c>
    </row>
    <row r="167" ht="15" customHeight="1" s="981">
      <c r="A167" s="1050" t="n"/>
      <c r="B167" s="327" t="inlineStr">
        <is>
          <t>EIB</t>
        </is>
      </c>
      <c r="C167" s="361" t="inlineStr">
        <is>
          <t>Eximbank</t>
        </is>
      </c>
      <c r="D167" s="361" t="inlineStr">
        <is>
          <t>Ngân hàng</t>
        </is>
      </c>
      <c r="E167" s="327" t="n"/>
      <c r="F167" s="501" t="n"/>
      <c r="G167" s="327" t="n"/>
      <c r="H167" s="327" t="n"/>
      <c r="I167" s="327" t="n"/>
      <c r="J167" s="501" t="n"/>
      <c r="K167" s="501" t="n"/>
      <c r="L167" s="327" t="n"/>
      <c r="M167" s="327" t="n"/>
      <c r="N167" s="327" t="n"/>
      <c r="O167" s="327" t="n"/>
      <c r="P167" s="507" t="n"/>
      <c r="Q167" s="361" t="n"/>
      <c r="R167" s="1024">
        <f>IF(B167='🎯 SÓI v42 — TRA CỨU &amp; DEEP DIV'!$C$4,"⭐ ĐANG XEM","")</f>
        <v/>
      </c>
    </row>
    <row r="168" ht="15" customHeight="1" s="981">
      <c r="A168" s="1050" t="n"/>
      <c r="B168" s="503" t="inlineStr">
        <is>
          <t>DPM</t>
        </is>
      </c>
      <c r="C168" s="362" t="inlineStr">
        <is>
          <t>Đạm Phú Mỹ</t>
        </is>
      </c>
      <c r="D168" s="362" t="inlineStr">
        <is>
          <t>Phân bón</t>
        </is>
      </c>
      <c r="E168" s="503" t="n"/>
      <c r="F168" s="504" t="n"/>
      <c r="G168" s="503" t="n"/>
      <c r="H168" s="503" t="n"/>
      <c r="I168" s="503" t="n"/>
      <c r="J168" s="504" t="n"/>
      <c r="K168" s="504" t="n"/>
      <c r="L168" s="503" t="n"/>
      <c r="M168" s="503" t="n"/>
      <c r="N168" s="503" t="n"/>
      <c r="O168" s="503" t="n"/>
      <c r="P168" s="507" t="n"/>
      <c r="Q168" s="362" t="n"/>
      <c r="R168" s="1024">
        <f>IF(B168='🎯 SÓI v42 — TRA CỨU &amp; DEEP DIV'!$C$4,"⭐ ĐANG XEM","")</f>
        <v/>
      </c>
    </row>
    <row r="169" ht="15" customHeight="1" s="981">
      <c r="A169" s="1050" t="n"/>
      <c r="B169" s="327" t="inlineStr">
        <is>
          <t>HBS</t>
        </is>
      </c>
      <c r="C169" s="361" t="inlineStr">
        <is>
          <t>Hai Binh Securities</t>
        </is>
      </c>
      <c r="D169" s="361" t="inlineStr">
        <is>
          <t>Chứng khoán</t>
        </is>
      </c>
      <c r="E169" s="327" t="n"/>
      <c r="F169" s="501" t="n"/>
      <c r="G169" s="327" t="n"/>
      <c r="H169" s="327" t="n"/>
      <c r="I169" s="327" t="n"/>
      <c r="J169" s="501" t="n"/>
      <c r="K169" s="501" t="n"/>
      <c r="L169" s="327" t="n"/>
      <c r="M169" s="327" t="n"/>
      <c r="N169" s="327" t="n"/>
      <c r="O169" s="327" t="n"/>
      <c r="P169" s="507" t="n"/>
      <c r="Q169" s="361" t="n"/>
      <c r="R169" s="1024">
        <f>IF(B169='🎯 SÓI v42 — TRA CỨU &amp; DEEP DIV'!$C$4,"⭐ ĐANG XEM","")</f>
        <v/>
      </c>
    </row>
    <row r="170" ht="15" customHeight="1" s="981">
      <c r="A170" s="1050" t="n"/>
      <c r="B170" s="503" t="inlineStr">
        <is>
          <t>VRE</t>
        </is>
      </c>
      <c r="C170" s="362" t="inlineStr">
        <is>
          <t>Vincom Retail</t>
        </is>
      </c>
      <c r="D170" s="362" t="inlineStr">
        <is>
          <t>Bất động sản</t>
        </is>
      </c>
      <c r="E170" s="503" t="n"/>
      <c r="F170" s="504" t="n"/>
      <c r="G170" s="503" t="n"/>
      <c r="H170" s="503" t="n"/>
      <c r="I170" s="503" t="n"/>
      <c r="J170" s="504" t="n"/>
      <c r="K170" s="504" t="n"/>
      <c r="L170" s="503" t="n"/>
      <c r="M170" s="503" t="n"/>
      <c r="N170" s="503" t="n"/>
      <c r="O170" s="503" t="n"/>
      <c r="P170" s="507" t="n"/>
      <c r="Q170" s="362" t="n"/>
      <c r="R170" s="1024">
        <f>IF(B170='🎯 SÓI v42 — TRA CỨU &amp; DEEP DIV'!$C$4,"⭐ ĐANG XEM","")</f>
        <v/>
      </c>
    </row>
    <row r="171" ht="15" customHeight="1" s="981">
      <c r="A171" s="1050" t="n"/>
      <c r="B171" s="327" t="inlineStr">
        <is>
          <t>VTO</t>
        </is>
      </c>
      <c r="C171" s="361" t="inlineStr">
        <is>
          <t>Vitranschart</t>
        </is>
      </c>
      <c r="D171" s="361" t="inlineStr">
        <is>
          <t>Vận tải</t>
        </is>
      </c>
      <c r="E171" s="327" t="n"/>
      <c r="F171" s="501" t="n"/>
      <c r="G171" s="327" t="n"/>
      <c r="H171" s="327" t="n"/>
      <c r="I171" s="327" t="n"/>
      <c r="J171" s="501" t="n"/>
      <c r="K171" s="501" t="n"/>
      <c r="L171" s="327" t="n"/>
      <c r="M171" s="327" t="n"/>
      <c r="N171" s="327" t="n"/>
      <c r="O171" s="327" t="n"/>
      <c r="P171" s="507" t="n"/>
      <c r="Q171" s="361" t="n"/>
      <c r="R171" s="1024">
        <f>IF(B171='🎯 SÓI v42 — TRA CỨU &amp; DEEP DIV'!$C$4,"⭐ ĐANG XEM","")</f>
        <v/>
      </c>
    </row>
    <row r="172" ht="15" customHeight="1" s="981">
      <c r="A172" s="1050" t="n"/>
      <c r="B172" s="503" t="inlineStr">
        <is>
          <t>APG</t>
        </is>
      </c>
      <c r="C172" s="362" t="inlineStr">
        <is>
          <t>Asia Pacific Securities</t>
        </is>
      </c>
      <c r="D172" s="362" t="inlineStr">
        <is>
          <t>Chứng khoán</t>
        </is>
      </c>
      <c r="E172" s="503" t="n"/>
      <c r="F172" s="504" t="n"/>
      <c r="G172" s="503" t="n"/>
      <c r="H172" s="503" t="n"/>
      <c r="I172" s="503" t="n"/>
      <c r="J172" s="504" t="n"/>
      <c r="K172" s="504" t="n"/>
      <c r="L172" s="503" t="n"/>
      <c r="M172" s="503" t="n"/>
      <c r="N172" s="503" t="n"/>
      <c r="O172" s="503" t="n"/>
      <c r="P172" s="507" t="n"/>
      <c r="Q172" s="362" t="n"/>
      <c r="R172" s="1024">
        <f>IF(B172='🎯 SÓI v42 — TRA CỨU &amp; DEEP DIV'!$C$4,"⭐ ĐANG XEM","")</f>
        <v/>
      </c>
    </row>
    <row r="173" ht="15" customHeight="1" s="981">
      <c r="A173" s="1050" t="n"/>
      <c r="B173" s="327" t="inlineStr">
        <is>
          <t>POW</t>
        </is>
      </c>
      <c r="C173" s="361" t="inlineStr">
        <is>
          <t>PV Power</t>
        </is>
      </c>
      <c r="D173" s="361" t="inlineStr">
        <is>
          <t>Điện</t>
        </is>
      </c>
      <c r="E173" s="327" t="n"/>
      <c r="F173" s="501" t="n"/>
      <c r="G173" s="327" t="n"/>
      <c r="H173" s="327" t="n"/>
      <c r="I173" s="327" t="n"/>
      <c r="J173" s="501" t="n"/>
      <c r="K173" s="501" t="n"/>
      <c r="L173" s="327" t="n"/>
      <c r="M173" s="327" t="n"/>
      <c r="N173" s="327" t="n"/>
      <c r="O173" s="327" t="n"/>
      <c r="P173" s="507" t="n"/>
      <c r="Q173" s="361" t="n"/>
      <c r="R173" s="1024">
        <f>IF(B173='🎯 SÓI v42 — TRA CỨU &amp; DEEP DIV'!$C$4,"⭐ ĐANG XEM","")</f>
        <v/>
      </c>
    </row>
    <row r="174" ht="15" customHeight="1" s="981">
      <c r="A174" s="1050" t="n"/>
      <c r="B174" s="503" t="inlineStr">
        <is>
          <t>HHV</t>
        </is>
      </c>
      <c r="C174" s="362" t="inlineStr">
        <is>
          <t>Đèo Cả</t>
        </is>
      </c>
      <c r="D174" s="362" t="inlineStr">
        <is>
          <t>Hạ tầng</t>
        </is>
      </c>
      <c r="E174" s="503" t="n"/>
      <c r="F174" s="504" t="n"/>
      <c r="G174" s="503" t="n"/>
      <c r="H174" s="503" t="n"/>
      <c r="I174" s="503" t="n"/>
      <c r="J174" s="504" t="n"/>
      <c r="K174" s="504" t="n"/>
      <c r="L174" s="503" t="n"/>
      <c r="M174" s="503" t="n"/>
      <c r="N174" s="503" t="n"/>
      <c r="O174" s="503" t="n"/>
      <c r="P174" s="507" t="n"/>
      <c r="Q174" s="362" t="n"/>
      <c r="R174" s="1024">
        <f>IF(B174='🎯 SÓI v42 — TRA CỨU &amp; DEEP DIV'!$C$4,"⭐ ĐANG XEM","")</f>
        <v/>
      </c>
    </row>
    <row r="175" ht="15" customHeight="1" s="981">
      <c r="A175" s="1050" t="n"/>
      <c r="B175" s="327" t="inlineStr">
        <is>
          <t>NKG</t>
        </is>
      </c>
      <c r="C175" s="361" t="inlineStr">
        <is>
          <t>Thép Nam Kim</t>
        </is>
      </c>
      <c r="D175" s="361" t="inlineStr">
        <is>
          <t>Thép</t>
        </is>
      </c>
      <c r="E175" s="327" t="n"/>
      <c r="F175" s="501" t="n"/>
      <c r="G175" s="327" t="n"/>
      <c r="H175" s="327" t="n"/>
      <c r="I175" s="327" t="n"/>
      <c r="J175" s="501" t="n"/>
      <c r="K175" s="501" t="n"/>
      <c r="L175" s="327" t="n"/>
      <c r="M175" s="327" t="n"/>
      <c r="N175" s="327" t="n"/>
      <c r="O175" s="327" t="n"/>
      <c r="P175" s="507" t="n"/>
      <c r="Q175" s="361" t="n"/>
      <c r="R175" s="1024">
        <f>IF(B175='🎯 SÓI v42 — TRA CỨU &amp; DEEP DIV'!$C$4,"⭐ ĐANG XEM","")</f>
        <v/>
      </c>
    </row>
    <row r="176" ht="15" customHeight="1" s="981">
      <c r="A176" s="1050" t="n"/>
      <c r="B176" s="503" t="inlineStr">
        <is>
          <t>DCM</t>
        </is>
      </c>
      <c r="C176" s="362" t="inlineStr">
        <is>
          <t>Đạm Cà Mau</t>
        </is>
      </c>
      <c r="D176" s="362" t="inlineStr">
        <is>
          <t>Phân bón</t>
        </is>
      </c>
      <c r="E176" s="503" t="n"/>
      <c r="F176" s="504" t="n"/>
      <c r="G176" s="503" t="n"/>
      <c r="H176" s="503" t="n"/>
      <c r="I176" s="503" t="n"/>
      <c r="J176" s="504" t="n"/>
      <c r="K176" s="504" t="n"/>
      <c r="L176" s="503" t="n"/>
      <c r="M176" s="503" t="n"/>
      <c r="N176" s="503" t="n"/>
      <c r="O176" s="503" t="n"/>
      <c r="P176" s="507" t="n"/>
      <c r="Q176" s="362" t="n"/>
      <c r="R176" s="1024">
        <f>IF(B176='🎯 SÓI v42 — TRA CỨU &amp; DEEP DIV'!$C$4,"⭐ ĐANG XEM","")</f>
        <v/>
      </c>
    </row>
    <row r="177" ht="15" customHeight="1" s="981">
      <c r="A177" s="1050" t="n"/>
      <c r="B177" s="327" t="inlineStr">
        <is>
          <t>LCG</t>
        </is>
      </c>
      <c r="C177" s="361" t="inlineStr">
        <is>
          <t>Licogi 16</t>
        </is>
      </c>
      <c r="D177" s="361" t="inlineStr">
        <is>
          <t>Xây dựng</t>
        </is>
      </c>
      <c r="E177" s="327" t="n"/>
      <c r="F177" s="501" t="n"/>
      <c r="G177" s="327" t="n"/>
      <c r="H177" s="327" t="n"/>
      <c r="I177" s="327" t="n"/>
      <c r="J177" s="501" t="n"/>
      <c r="K177" s="501" t="n"/>
      <c r="L177" s="327" t="n"/>
      <c r="M177" s="327" t="n"/>
      <c r="N177" s="327" t="n"/>
      <c r="O177" s="327" t="n"/>
      <c r="P177" s="507" t="n"/>
      <c r="Q177" s="361" t="n"/>
      <c r="R177" s="1024">
        <f>IF(B177='🎯 SÓI v42 — TRA CỨU &amp; DEEP DIV'!$C$4,"⭐ ĐANG XEM","")</f>
        <v/>
      </c>
    </row>
    <row r="178" ht="15" customHeight="1" s="981">
      <c r="A178" s="1050" t="n"/>
      <c r="B178" s="503" t="inlineStr">
        <is>
          <t>HSG</t>
        </is>
      </c>
      <c r="C178" s="362" t="inlineStr">
        <is>
          <t>Tôn Hoa Sen</t>
        </is>
      </c>
      <c r="D178" s="362" t="inlineStr">
        <is>
          <t>Thép</t>
        </is>
      </c>
      <c r="E178" s="503" t="n"/>
      <c r="F178" s="504" t="n"/>
      <c r="G178" s="503" t="n"/>
      <c r="H178" s="503" t="n"/>
      <c r="I178" s="503" t="n"/>
      <c r="J178" s="504" t="n"/>
      <c r="K178" s="504" t="n"/>
      <c r="L178" s="503" t="n"/>
      <c r="M178" s="503" t="n"/>
      <c r="N178" s="503" t="n"/>
      <c r="O178" s="503" t="n"/>
      <c r="P178" s="507" t="n"/>
      <c r="Q178" s="362" t="n"/>
      <c r="R178" s="1024">
        <f>IF(B178='🎯 SÓI v42 — TRA CỨU &amp; DEEP DIV'!$C$4,"⭐ ĐANG XEM","")</f>
        <v/>
      </c>
    </row>
    <row r="179" ht="15" customHeight="1" s="981">
      <c r="A179" s="1050" t="n"/>
      <c r="B179" s="327" t="inlineStr">
        <is>
          <t>VOS</t>
        </is>
      </c>
      <c r="C179" s="361" t="inlineStr">
        <is>
          <t>Vận tải Bắc-Nam</t>
        </is>
      </c>
      <c r="D179" s="361" t="inlineStr">
        <is>
          <t>Vận tải</t>
        </is>
      </c>
      <c r="E179" s="327" t="n"/>
      <c r="F179" s="501" t="n"/>
      <c r="G179" s="327" t="n"/>
      <c r="H179" s="327" t="n"/>
      <c r="I179" s="327" t="n"/>
      <c r="J179" s="501" t="n"/>
      <c r="K179" s="501" t="n"/>
      <c r="L179" s="327" t="n"/>
      <c r="M179" s="327" t="n"/>
      <c r="N179" s="327" t="n"/>
      <c r="O179" s="327" t="n"/>
      <c r="P179" s="507" t="n"/>
      <c r="Q179" s="361" t="n"/>
      <c r="R179" s="1024">
        <f>IF(B179='🎯 SÓI v42 — TRA CỨU &amp; DEEP DIV'!$C$4,"⭐ ĐANG XEM","")</f>
        <v/>
      </c>
    </row>
    <row r="180" ht="15" customHeight="1" s="981">
      <c r="A180" s="1050" t="n"/>
      <c r="B180" s="503" t="inlineStr">
        <is>
          <t>GEX</t>
        </is>
      </c>
      <c r="C180" s="362" t="inlineStr">
        <is>
          <t>Gelex</t>
        </is>
      </c>
      <c r="D180" s="362" t="inlineStr">
        <is>
          <t>Đa ngành</t>
        </is>
      </c>
      <c r="E180" s="503" t="n"/>
      <c r="F180" s="504" t="n"/>
      <c r="G180" s="503" t="n"/>
      <c r="H180" s="503" t="n"/>
      <c r="I180" s="503" t="n"/>
      <c r="J180" s="504" t="n"/>
      <c r="K180" s="504" t="n"/>
      <c r="L180" s="503" t="n"/>
      <c r="M180" s="503" t="n"/>
      <c r="N180" s="503" t="n"/>
      <c r="O180" s="503" t="n"/>
      <c r="P180" s="507" t="n"/>
      <c r="Q180" s="362" t="n"/>
      <c r="R180" s="1024">
        <f>IF(B180='🎯 SÓI v42 — TRA CỨU &amp; DEEP DIV'!$C$4,"⭐ ĐANG XEM","")</f>
        <v/>
      </c>
    </row>
    <row r="181" ht="15" customHeight="1" s="981">
      <c r="A181" s="1050" t="n"/>
      <c r="B181" s="327" t="inlineStr">
        <is>
          <t>BVH</t>
        </is>
      </c>
      <c r="C181" s="361" t="inlineStr">
        <is>
          <t>Bảo Việt</t>
        </is>
      </c>
      <c r="D181" s="361" t="inlineStr">
        <is>
          <t>Bảo hiểm</t>
        </is>
      </c>
      <c r="E181" s="327" t="n"/>
      <c r="F181" s="501" t="n"/>
      <c r="G181" s="327" t="n"/>
      <c r="H181" s="327" t="n"/>
      <c r="I181" s="327" t="n"/>
      <c r="J181" s="501" t="n"/>
      <c r="K181" s="501" t="n"/>
      <c r="L181" s="327" t="n"/>
      <c r="M181" s="327" t="n"/>
      <c r="N181" s="327" t="n"/>
      <c r="O181" s="327" t="n"/>
      <c r="P181" s="507" t="n"/>
      <c r="Q181" s="361" t="n"/>
      <c r="R181" s="1024">
        <f>IF(B181='🎯 SÓI v42 — TRA CỨU &amp; DEEP DIV'!$C$4,"⭐ ĐANG XEM","")</f>
        <v/>
      </c>
    </row>
    <row r="182" ht="15" customHeight="1" s="981">
      <c r="A182" s="1050" t="n"/>
      <c r="B182" s="503" t="inlineStr">
        <is>
          <t>SBT</t>
        </is>
      </c>
      <c r="C182" s="362" t="inlineStr">
        <is>
          <t>Sài Gòn Sugar</t>
        </is>
      </c>
      <c r="D182" s="362" t="inlineStr">
        <is>
          <t>Đường</t>
        </is>
      </c>
      <c r="E182" s="503" t="n"/>
      <c r="F182" s="504" t="n"/>
      <c r="G182" s="503" t="n"/>
      <c r="H182" s="503" t="n"/>
      <c r="I182" s="503" t="n"/>
      <c r="J182" s="504" t="n"/>
      <c r="K182" s="504" t="n"/>
      <c r="L182" s="503" t="n"/>
      <c r="M182" s="503" t="n"/>
      <c r="N182" s="503" t="n"/>
      <c r="O182" s="503" t="n"/>
      <c r="P182" s="507" t="n"/>
      <c r="Q182" s="362" t="n"/>
      <c r="R182" s="1024">
        <f>IF(B182='🎯 SÓI v42 — TRA CỨU &amp; DEEP DIV'!$C$4,"⭐ ĐANG XEM","")</f>
        <v/>
      </c>
    </row>
    <row r="183" ht="15" customHeight="1" s="981">
      <c r="A183" s="1050" t="n"/>
      <c r="B183" s="327" t="inlineStr">
        <is>
          <t>GVR</t>
        </is>
      </c>
      <c r="C183" s="361" t="inlineStr">
        <is>
          <t>Cao su VN</t>
        </is>
      </c>
      <c r="D183" s="361" t="inlineStr">
        <is>
          <t>Cao su</t>
        </is>
      </c>
      <c r="E183" s="327" t="n"/>
      <c r="F183" s="501" t="n"/>
      <c r="G183" s="327" t="n"/>
      <c r="H183" s="327" t="n"/>
      <c r="I183" s="327" t="n"/>
      <c r="J183" s="501" t="n"/>
      <c r="K183" s="501" t="n"/>
      <c r="L183" s="327" t="n"/>
      <c r="M183" s="327" t="n"/>
      <c r="N183" s="327" t="n"/>
      <c r="O183" s="327" t="n"/>
      <c r="P183" s="507" t="n"/>
      <c r="Q183" s="361" t="n"/>
      <c r="R183" s="1024">
        <f>IF(B183='🎯 SÓI v42 — TRA CỨU &amp; DEEP DIV'!$C$4,"⭐ ĐANG XEM","")</f>
        <v/>
      </c>
    </row>
    <row r="184" ht="15" customHeight="1" s="981">
      <c r="A184" s="1050" t="n"/>
      <c r="B184" s="503" t="inlineStr">
        <is>
          <t>BHN</t>
        </is>
      </c>
      <c r="C184" s="362" t="inlineStr">
        <is>
          <t>Habeco</t>
        </is>
      </c>
      <c r="D184" s="362" t="inlineStr">
        <is>
          <t>Thực phẩm</t>
        </is>
      </c>
      <c r="E184" s="503" t="n"/>
      <c r="F184" s="504" t="n"/>
      <c r="G184" s="503" t="n"/>
      <c r="H184" s="503" t="n"/>
      <c r="I184" s="503" t="n"/>
      <c r="J184" s="504" t="n"/>
      <c r="K184" s="504" t="n"/>
      <c r="L184" s="503" t="n"/>
      <c r="M184" s="503" t="n"/>
      <c r="N184" s="503" t="n"/>
      <c r="O184" s="503" t="n"/>
      <c r="P184" s="507" t="n"/>
      <c r="Q184" s="362" t="n"/>
      <c r="R184" s="1024">
        <f>IF(B184='🎯 SÓI v42 — TRA CỨU &amp; DEEP DIV'!$C$4,"⭐ ĐANG XEM","")</f>
        <v/>
      </c>
    </row>
    <row r="185" ht="15" customHeight="1" s="981">
      <c r="A185" s="1050" t="n"/>
      <c r="B185" s="327" t="inlineStr">
        <is>
          <t>TIG</t>
        </is>
      </c>
      <c r="C185" s="361" t="inlineStr">
        <is>
          <t>TIG</t>
        </is>
      </c>
      <c r="D185" s="361" t="inlineStr">
        <is>
          <t>Đa ngành</t>
        </is>
      </c>
      <c r="E185" s="327" t="n"/>
      <c r="F185" s="501" t="n"/>
      <c r="G185" s="327" t="n"/>
      <c r="H185" s="327" t="n"/>
      <c r="I185" s="327" t="n"/>
      <c r="J185" s="501" t="n"/>
      <c r="K185" s="501" t="n"/>
      <c r="L185" s="327" t="n"/>
      <c r="M185" s="327" t="n"/>
      <c r="N185" s="327" t="n"/>
      <c r="O185" s="327" t="n"/>
      <c r="P185" s="507" t="n"/>
      <c r="Q185" s="361" t="n"/>
      <c r="R185" s="1024">
        <f>IF(B185='🎯 SÓI v42 — TRA CỨU &amp; DEEP DIV'!$C$4,"⭐ ĐANG XEM","")</f>
        <v/>
      </c>
    </row>
    <row r="186" ht="15" customHeight="1" s="981">
      <c r="A186" s="1050" t="n"/>
      <c r="B186" s="503" t="inlineStr">
        <is>
          <t>PC1</t>
        </is>
      </c>
      <c r="C186" s="362" t="inlineStr">
        <is>
          <t>PC1 Group</t>
        </is>
      </c>
      <c r="D186" s="362" t="inlineStr">
        <is>
          <t>Xây dựng</t>
        </is>
      </c>
      <c r="E186" s="503" t="n"/>
      <c r="F186" s="504" t="n"/>
      <c r="G186" s="503" t="n"/>
      <c r="H186" s="503" t="n"/>
      <c r="I186" s="503" t="n"/>
      <c r="J186" s="504" t="n"/>
      <c r="K186" s="504" t="n"/>
      <c r="L186" s="503" t="n"/>
      <c r="M186" s="503" t="n"/>
      <c r="N186" s="503" t="n"/>
      <c r="O186" s="503" t="n"/>
      <c r="P186" s="507" t="n"/>
      <c r="Q186" s="362" t="n"/>
      <c r="R186" s="1024">
        <f>IF(B186='🎯 SÓI v42 — TRA CỨU &amp; DEEP DIV'!$C$4,"⭐ ĐANG XEM","")</f>
        <v/>
      </c>
    </row>
    <row r="187" ht="15" customHeight="1" s="981">
      <c r="A187" s="1050" t="n"/>
      <c r="B187" s="327" t="inlineStr">
        <is>
          <t>PPC</t>
        </is>
      </c>
      <c r="C187" s="361" t="inlineStr">
        <is>
          <t>Nhiệt điện PP</t>
        </is>
      </c>
      <c r="D187" s="361" t="inlineStr">
        <is>
          <t>Điện</t>
        </is>
      </c>
      <c r="E187" s="327" t="n"/>
      <c r="F187" s="501" t="n"/>
      <c r="G187" s="327" t="n"/>
      <c r="H187" s="327" t="n"/>
      <c r="I187" s="327" t="n"/>
      <c r="J187" s="501" t="n"/>
      <c r="K187" s="501" t="n"/>
      <c r="L187" s="327" t="n"/>
      <c r="M187" s="327" t="n"/>
      <c r="N187" s="327" t="n"/>
      <c r="O187" s="327" t="n"/>
      <c r="P187" s="507" t="n"/>
      <c r="Q187" s="361" t="n"/>
      <c r="R187" s="1024">
        <f>IF(B187='🎯 SÓI v42 — TRA CỨU &amp; DEEP DIV'!$C$4,"⭐ ĐANG XEM","")</f>
        <v/>
      </c>
    </row>
    <row r="188" ht="15" customHeight="1" s="981">
      <c r="A188" s="1050" t="n"/>
      <c r="B188" s="503" t="inlineStr">
        <is>
          <t>VGI</t>
        </is>
      </c>
      <c r="C188" s="362" t="inlineStr">
        <is>
          <t>Viettel Global</t>
        </is>
      </c>
      <c r="D188" s="362" t="inlineStr">
        <is>
          <t>Công nghệ</t>
        </is>
      </c>
      <c r="E188" s="503" t="n"/>
      <c r="F188" s="504" t="n"/>
      <c r="G188" s="503" t="n"/>
      <c r="H188" s="503" t="n"/>
      <c r="I188" s="503" t="n"/>
      <c r="J188" s="504" t="n"/>
      <c r="K188" s="504" t="n"/>
      <c r="L188" s="503" t="n"/>
      <c r="M188" s="503" t="n"/>
      <c r="N188" s="503" t="n"/>
      <c r="O188" s="503" t="n"/>
      <c r="P188" s="507" t="n"/>
      <c r="Q188" s="362" t="n"/>
      <c r="R188" s="1024">
        <f>IF(B188='🎯 SÓI v42 — TRA CỨU &amp; DEEP DIV'!$C$4,"⭐ ĐANG XEM","")</f>
        <v/>
      </c>
    </row>
    <row r="189" ht="15" customHeight="1" s="981">
      <c r="A189" s="1050" t="n"/>
      <c r="B189" s="327" t="inlineStr">
        <is>
          <t>PDR</t>
        </is>
      </c>
      <c r="C189" s="361" t="inlineStr">
        <is>
          <t>Phát Đạt</t>
        </is>
      </c>
      <c r="D189" s="361" t="inlineStr">
        <is>
          <t>Bất động sản</t>
        </is>
      </c>
      <c r="E189" s="327" t="n"/>
      <c r="F189" s="501" t="n"/>
      <c r="G189" s="327" t="n"/>
      <c r="H189" s="327" t="n"/>
      <c r="I189" s="327" t="n"/>
      <c r="J189" s="501" t="n"/>
      <c r="K189" s="501" t="n"/>
      <c r="L189" s="327" t="n"/>
      <c r="M189" s="327" t="n"/>
      <c r="N189" s="327" t="n"/>
      <c r="O189" s="327" t="n"/>
      <c r="P189" s="507" t="n"/>
      <c r="Q189" s="361" t="n"/>
      <c r="R189" s="1024">
        <f>IF(B189='🎯 SÓI v42 — TRA CỨU &amp; DEEP DIV'!$C$4,"⭐ ĐANG XEM","")</f>
        <v/>
      </c>
    </row>
    <row r="190" ht="15" customHeight="1" s="981">
      <c r="A190" s="1050" t="n"/>
      <c r="B190" s="503" t="inlineStr">
        <is>
          <t>HUT</t>
        </is>
      </c>
      <c r="C190" s="362" t="inlineStr">
        <is>
          <t>Tasco</t>
        </is>
      </c>
      <c r="D190" s="362" t="inlineStr">
        <is>
          <t>Xây dựng</t>
        </is>
      </c>
      <c r="E190" s="503" t="n"/>
      <c r="F190" s="504" t="n"/>
      <c r="G190" s="503" t="n"/>
      <c r="H190" s="503" t="n"/>
      <c r="I190" s="503" t="n"/>
      <c r="J190" s="504" t="n"/>
      <c r="K190" s="504" t="n"/>
      <c r="L190" s="503" t="n"/>
      <c r="M190" s="503" t="n"/>
      <c r="N190" s="503" t="n"/>
      <c r="O190" s="503" t="n"/>
      <c r="P190" s="507" t="n"/>
      <c r="Q190" s="362" t="n"/>
      <c r="R190" s="1024">
        <f>IF(B190='🎯 SÓI v42 — TRA CỨU &amp; DEEP DIV'!$C$4,"⭐ ĐANG XEM","")</f>
        <v/>
      </c>
    </row>
    <row r="191" ht="15" customHeight="1" s="981">
      <c r="A191" s="1050" t="n"/>
      <c r="B191" s="327" t="inlineStr">
        <is>
          <t>HND</t>
        </is>
      </c>
      <c r="C191" s="361" t="inlineStr">
        <is>
          <t>Hải Nguyên</t>
        </is>
      </c>
      <c r="D191" s="361" t="inlineStr">
        <is>
          <t>Điện</t>
        </is>
      </c>
      <c r="E191" s="327" t="n"/>
      <c r="F191" s="501" t="n"/>
      <c r="G191" s="327" t="n"/>
      <c r="H191" s="327" t="n"/>
      <c r="I191" s="327" t="n"/>
      <c r="J191" s="501" t="n"/>
      <c r="K191" s="501" t="n"/>
      <c r="L191" s="327" t="n"/>
      <c r="M191" s="327" t="n"/>
      <c r="N191" s="327" t="n"/>
      <c r="O191" s="327" t="n"/>
      <c r="P191" s="507" t="n"/>
      <c r="Q191" s="361" t="n"/>
      <c r="R191" s="1024">
        <f>IF(B191='🎯 SÓI v42 — TRA CỨU &amp; DEEP DIV'!$C$4,"⭐ ĐANG XEM","")</f>
        <v/>
      </c>
    </row>
    <row r="192" ht="15" customHeight="1" s="981">
      <c r="A192" s="1050" t="n"/>
      <c r="B192" s="503" t="inlineStr">
        <is>
          <t>CEO</t>
        </is>
      </c>
      <c r="C192" s="362" t="inlineStr">
        <is>
          <t>CEO Group</t>
        </is>
      </c>
      <c r="D192" s="362" t="inlineStr">
        <is>
          <t>Bất động sản</t>
        </is>
      </c>
      <c r="E192" s="503" t="n"/>
      <c r="F192" s="504" t="n"/>
      <c r="G192" s="503" t="n"/>
      <c r="H192" s="503" t="n"/>
      <c r="I192" s="503" t="n"/>
      <c r="J192" s="504" t="n"/>
      <c r="K192" s="504" t="n"/>
      <c r="L192" s="503" t="n"/>
      <c r="M192" s="503" t="n"/>
      <c r="N192" s="503" t="n"/>
      <c r="O192" s="503" t="n"/>
      <c r="P192" s="507" t="n"/>
      <c r="Q192" s="362" t="n"/>
      <c r="R192" s="1024">
        <f>IF(B192='🎯 SÓI v42 — TRA CỨU &amp; DEEP DIV'!$C$4,"⭐ ĐANG XEM","")</f>
        <v/>
      </c>
    </row>
    <row r="193" ht="15" customHeight="1" s="981">
      <c r="A193" s="1050" t="n"/>
      <c r="B193" s="327" t="inlineStr">
        <is>
          <t>TYA</t>
        </is>
      </c>
      <c r="C193" s="361" t="inlineStr">
        <is>
          <t>Taya</t>
        </is>
      </c>
      <c r="D193" s="361" t="inlineStr">
        <is>
          <t>Công nghệ</t>
        </is>
      </c>
      <c r="E193" s="327" t="n"/>
      <c r="F193" s="501" t="n"/>
      <c r="G193" s="327" t="n"/>
      <c r="H193" s="327" t="n"/>
      <c r="I193" s="327" t="n"/>
      <c r="J193" s="501" t="n"/>
      <c r="K193" s="501" t="n"/>
      <c r="L193" s="327" t="n"/>
      <c r="M193" s="327" t="n"/>
      <c r="N193" s="327" t="n"/>
      <c r="O193" s="327" t="n"/>
      <c r="P193" s="507" t="n"/>
      <c r="Q193" s="361" t="n"/>
      <c r="R193" s="1024">
        <f>IF(B193='🎯 SÓI v42 — TRA CỨU &amp; DEEP DIV'!$C$4,"⭐ ĐANG XEM","")</f>
        <v/>
      </c>
    </row>
    <row r="194" ht="15" customHeight="1" s="981">
      <c r="A194" s="1050" t="n"/>
      <c r="B194" s="503" t="inlineStr">
        <is>
          <t>MML</t>
        </is>
      </c>
      <c r="C194" s="362" t="inlineStr">
        <is>
          <t>Masan MeatLife</t>
        </is>
      </c>
      <c r="D194" s="362" t="inlineStr">
        <is>
          <t>Thực phẩm</t>
        </is>
      </c>
      <c r="E194" s="503" t="n"/>
      <c r="F194" s="504" t="n"/>
      <c r="G194" s="503" t="n"/>
      <c r="H194" s="503" t="n"/>
      <c r="I194" s="503" t="n"/>
      <c r="J194" s="504" t="n"/>
      <c r="K194" s="504" t="n"/>
      <c r="L194" s="503" t="n"/>
      <c r="M194" s="503" t="n"/>
      <c r="N194" s="503" t="n"/>
      <c r="O194" s="503" t="n"/>
      <c r="P194" s="507" t="n"/>
      <c r="Q194" s="362" t="n"/>
      <c r="R194" s="1024">
        <f>IF(B194='🎯 SÓI v42 — TRA CỨU &amp; DEEP DIV'!$C$4,"⭐ ĐANG XEM","")</f>
        <v/>
      </c>
    </row>
    <row r="195" ht="15" customHeight="1" s="981">
      <c r="A195" s="1050" t="n"/>
      <c r="B195" s="327" t="inlineStr">
        <is>
          <t>PHN</t>
        </is>
      </c>
      <c r="C195" s="361" t="inlineStr">
        <is>
          <t>PHN</t>
        </is>
      </c>
      <c r="D195" s="361" t="inlineStr">
        <is>
          <t>Cơ khí</t>
        </is>
      </c>
      <c r="E195" s="327" t="n"/>
      <c r="F195" s="501" t="n"/>
      <c r="G195" s="327" t="n"/>
      <c r="H195" s="327" t="n"/>
      <c r="I195" s="327" t="n"/>
      <c r="J195" s="501" t="n"/>
      <c r="K195" s="501" t="n"/>
      <c r="L195" s="327" t="n"/>
      <c r="M195" s="327" t="n"/>
      <c r="N195" s="327" t="n"/>
      <c r="O195" s="327" t="n"/>
      <c r="P195" s="507" t="n"/>
      <c r="Q195" s="361" t="n"/>
      <c r="R195" s="1024">
        <f>IF(B195='🎯 SÓI v42 — TRA CỨU &amp; DEEP DIV'!$C$4,"⭐ ĐANG XEM","")</f>
        <v/>
      </c>
    </row>
    <row r="196" ht="15" customHeight="1" s="981">
      <c r="A196" s="1050" t="n"/>
      <c r="B196" s="503" t="inlineStr">
        <is>
          <t>MPC</t>
        </is>
      </c>
      <c r="C196" s="362" t="inlineStr">
        <is>
          <t>Minh Phú</t>
        </is>
      </c>
      <c r="D196" s="362" t="inlineStr">
        <is>
          <t>Thủy sản</t>
        </is>
      </c>
      <c r="E196" s="503" t="n"/>
      <c r="F196" s="504" t="n"/>
      <c r="G196" s="503" t="n"/>
      <c r="H196" s="503" t="n"/>
      <c r="I196" s="503" t="n"/>
      <c r="J196" s="504" t="n"/>
      <c r="K196" s="504" t="n"/>
      <c r="L196" s="503" t="n"/>
      <c r="M196" s="503" t="n"/>
      <c r="N196" s="503" t="n"/>
      <c r="O196" s="503" t="n"/>
      <c r="P196" s="507" t="n"/>
      <c r="Q196" s="362" t="n"/>
      <c r="R196" s="1024">
        <f>IF(B196='🎯 SÓI v42 — TRA CỨU &amp; DEEP DIV'!$C$4,"⭐ ĐANG XEM","")</f>
        <v/>
      </c>
    </row>
    <row r="197" ht="15" customHeight="1" s="981">
      <c r="A197" s="1050" t="n"/>
      <c r="B197" s="327" t="inlineStr">
        <is>
          <t>VHE</t>
        </is>
      </c>
      <c r="C197" s="361" t="inlineStr">
        <is>
          <t>VHE</t>
        </is>
      </c>
      <c r="D197" s="361" t="inlineStr">
        <is>
          <t>Hóa chất</t>
        </is>
      </c>
      <c r="E197" s="327" t="n"/>
      <c r="F197" s="501" t="n"/>
      <c r="G197" s="327" t="n"/>
      <c r="H197" s="327" t="n"/>
      <c r="I197" s="327" t="n"/>
      <c r="J197" s="501" t="n"/>
      <c r="K197" s="501" t="n"/>
      <c r="L197" s="327" t="n"/>
      <c r="M197" s="327" t="n"/>
      <c r="N197" s="327" t="n"/>
      <c r="O197" s="327" t="n"/>
      <c r="P197" s="507" t="n"/>
      <c r="Q197" s="361" t="n"/>
      <c r="R197" s="1024">
        <f>IF(B197='🎯 SÓI v42 — TRA CỨU &amp; DEEP DIV'!$C$4,"⭐ ĐANG XEM","")</f>
        <v/>
      </c>
    </row>
    <row r="198" ht="15" customHeight="1" s="981">
      <c r="A198" s="1050" t="n"/>
      <c r="B198" s="503" t="inlineStr">
        <is>
          <t>OIL</t>
        </is>
      </c>
      <c r="C198" s="362" t="inlineStr">
        <is>
          <t>PV Oil</t>
        </is>
      </c>
      <c r="D198" s="362" t="inlineStr">
        <is>
          <t>Dầu khí</t>
        </is>
      </c>
      <c r="E198" s="503" t="n"/>
      <c r="F198" s="504" t="n"/>
      <c r="G198" s="503" t="n"/>
      <c r="H198" s="503" t="n"/>
      <c r="I198" s="503" t="n"/>
      <c r="J198" s="504" t="n"/>
      <c r="K198" s="504" t="n"/>
      <c r="L198" s="503" t="n"/>
      <c r="M198" s="503" t="n"/>
      <c r="N198" s="503" t="n"/>
      <c r="O198" s="503" t="n"/>
      <c r="P198" s="507" t="n"/>
      <c r="Q198" s="362" t="n"/>
      <c r="R198" s="1024">
        <f>IF(B198='🎯 SÓI v42 — TRA CỨU &amp; DEEP DIV'!$C$4,"⭐ ĐANG XEM","")</f>
        <v/>
      </c>
    </row>
    <row r="199" ht="15" customHeight="1" s="981">
      <c r="A199" s="1050" t="n"/>
      <c r="B199" s="327" t="inlineStr">
        <is>
          <t>VPD</t>
        </is>
      </c>
      <c r="C199" s="361" t="inlineStr">
        <is>
          <t>VPD Power</t>
        </is>
      </c>
      <c r="D199" s="361" t="inlineStr">
        <is>
          <t>Điện</t>
        </is>
      </c>
      <c r="E199" s="327" t="n"/>
      <c r="F199" s="501" t="n"/>
      <c r="G199" s="327" t="n"/>
      <c r="H199" s="327" t="n"/>
      <c r="I199" s="327" t="n"/>
      <c r="J199" s="501" t="n"/>
      <c r="K199" s="501" t="n"/>
      <c r="L199" s="327" t="n"/>
      <c r="M199" s="327" t="n"/>
      <c r="N199" s="327" t="n"/>
      <c r="O199" s="327" t="n"/>
      <c r="P199" s="507" t="n"/>
      <c r="Q199" s="361" t="n"/>
      <c r="R199" s="1024">
        <f>IF(B199='🎯 SÓI v42 — TRA CỨU &amp; DEEP DIV'!$C$4,"⭐ ĐANG XEM","")</f>
        <v/>
      </c>
    </row>
    <row r="200" ht="15" customHeight="1" s="981">
      <c r="A200" s="1050" t="n"/>
      <c r="B200" s="503" t="inlineStr">
        <is>
          <t>PVD</t>
        </is>
      </c>
      <c r="C200" s="362" t="inlineStr">
        <is>
          <t>PV Drilling</t>
        </is>
      </c>
      <c r="D200" s="362" t="inlineStr">
        <is>
          <t>Dầu khí</t>
        </is>
      </c>
      <c r="E200" s="503" t="n"/>
      <c r="F200" s="504" t="n"/>
      <c r="G200" s="503" t="n"/>
      <c r="H200" s="503" t="n"/>
      <c r="I200" s="503" t="n"/>
      <c r="J200" s="504" t="n"/>
      <c r="K200" s="504" t="n"/>
      <c r="L200" s="503" t="n"/>
      <c r="M200" s="503" t="n"/>
      <c r="N200" s="503" t="n"/>
      <c r="O200" s="503" t="n"/>
      <c r="P200" s="507" t="n"/>
      <c r="Q200" s="362" t="n"/>
      <c r="R200" s="1024">
        <f>IF(B200='🎯 SÓI v42 — TRA CỨU &amp; DEEP DIV'!$C$4,"⭐ ĐANG XEM","")</f>
        <v/>
      </c>
    </row>
    <row r="201" ht="15" customHeight="1" s="981">
      <c r="A201" s="1050" t="n"/>
      <c r="B201" s="327" t="inlineStr">
        <is>
          <t>HBC</t>
        </is>
      </c>
      <c r="C201" s="361" t="inlineStr">
        <is>
          <t>Hòa Bình Group</t>
        </is>
      </c>
      <c r="D201" s="361" t="inlineStr">
        <is>
          <t>Xây dựng</t>
        </is>
      </c>
      <c r="E201" s="327" t="n"/>
      <c r="F201" s="501" t="n"/>
      <c r="G201" s="327" t="n"/>
      <c r="H201" s="327" t="n"/>
      <c r="I201" s="327" t="n"/>
      <c r="J201" s="501" t="n"/>
      <c r="K201" s="501" t="n"/>
      <c r="L201" s="327" t="n"/>
      <c r="M201" s="327" t="n"/>
      <c r="N201" s="327" t="n"/>
      <c r="O201" s="327" t="n"/>
      <c r="P201" s="507" t="n"/>
      <c r="Q201" s="361" t="n"/>
      <c r="R201" s="1024">
        <f>IF(B201='🎯 SÓI v42 — TRA CỨU &amp; DEEP DIV'!$C$4,"⭐ ĐANG XEM","")</f>
        <v/>
      </c>
    </row>
    <row r="202" ht="15" customHeight="1" s="981">
      <c r="A202" s="1050" t="n"/>
      <c r="B202" s="503" t="inlineStr">
        <is>
          <t>SCG</t>
        </is>
      </c>
      <c r="C202" s="362" t="inlineStr">
        <is>
          <t>SCG</t>
        </is>
      </c>
      <c r="D202" s="362" t="inlineStr">
        <is>
          <t>Đa ngành</t>
        </is>
      </c>
      <c r="E202" s="503" t="n"/>
      <c r="F202" s="504" t="n"/>
      <c r="G202" s="503" t="n"/>
      <c r="H202" s="503" t="n"/>
      <c r="I202" s="503" t="n"/>
      <c r="J202" s="504" t="n"/>
      <c r="K202" s="504" t="n"/>
      <c r="L202" s="503" t="n"/>
      <c r="M202" s="503" t="n"/>
      <c r="N202" s="503" t="n"/>
      <c r="O202" s="503" t="n"/>
      <c r="P202" s="507" t="n"/>
      <c r="Q202" s="362" t="n"/>
      <c r="R202" s="1024">
        <f>IF(B202='🎯 SÓI v42 — TRA CỨU &amp; DEEP DIV'!$C$4,"⭐ ĐANG XEM","")</f>
        <v/>
      </c>
    </row>
    <row r="203" ht="15" customHeight="1" s="981">
      <c r="A203" s="1050" t="n"/>
      <c r="B203" s="327" t="inlineStr">
        <is>
          <t>PVC</t>
        </is>
      </c>
      <c r="C203" s="361" t="inlineStr">
        <is>
          <t>PetroVietnam Coating</t>
        </is>
      </c>
      <c r="D203" s="361" t="inlineStr">
        <is>
          <t>Dầu khí</t>
        </is>
      </c>
      <c r="E203" s="327" t="n"/>
      <c r="F203" s="501" t="n"/>
      <c r="G203" s="327" t="n"/>
      <c r="H203" s="327" t="n"/>
      <c r="I203" s="327" t="n"/>
      <c r="J203" s="501" t="n"/>
      <c r="K203" s="501" t="n"/>
      <c r="L203" s="327" t="n"/>
      <c r="M203" s="327" t="n"/>
      <c r="N203" s="327" t="n"/>
      <c r="O203" s="327" t="n"/>
      <c r="P203" s="507" t="n"/>
      <c r="Q203" s="361" t="n"/>
      <c r="R203" s="1024">
        <f>IF(B203='🎯 SÓI v42 — TRA CỨU &amp; DEEP DIV'!$C$4,"⭐ ĐANG XEM","")</f>
        <v/>
      </c>
    </row>
    <row r="204" ht="15" customHeight="1" s="981">
      <c r="A204" s="1050" t="n"/>
      <c r="B204" s="503" t="inlineStr">
        <is>
          <t>AGG</t>
        </is>
      </c>
      <c r="C204" s="362" t="inlineStr">
        <is>
          <t>An Gia Group</t>
        </is>
      </c>
      <c r="D204" s="362" t="inlineStr">
        <is>
          <t>Bất động sản</t>
        </is>
      </c>
      <c r="E204" s="503" t="n"/>
      <c r="F204" s="504" t="n"/>
      <c r="G204" s="503" t="n"/>
      <c r="H204" s="503" t="n"/>
      <c r="I204" s="503" t="n"/>
      <c r="J204" s="504" t="n"/>
      <c r="K204" s="504" t="n"/>
      <c r="L204" s="503" t="n"/>
      <c r="M204" s="503" t="n"/>
      <c r="N204" s="503" t="n"/>
      <c r="O204" s="503" t="n"/>
      <c r="P204" s="507" t="n"/>
      <c r="Q204" s="362" t="n"/>
      <c r="R204" s="1024">
        <f>IF(B204='🎯 SÓI v42 — TRA CỨU &amp; DEEP DIV'!$C$4,"⭐ ĐANG XEM","")</f>
        <v/>
      </c>
    </row>
    <row r="205" ht="15" customHeight="1" s="981">
      <c r="A205" s="1050" t="n"/>
      <c r="B205" s="327" t="inlineStr">
        <is>
          <t>CRE</t>
        </is>
      </c>
      <c r="C205" s="361" t="inlineStr">
        <is>
          <t>Cenland</t>
        </is>
      </c>
      <c r="D205" s="361" t="inlineStr">
        <is>
          <t>Bất động sản</t>
        </is>
      </c>
      <c r="E205" s="327" t="n"/>
      <c r="F205" s="501" t="n"/>
      <c r="G205" s="327" t="n"/>
      <c r="H205" s="327" t="n"/>
      <c r="I205" s="327" t="n"/>
      <c r="J205" s="501" t="n"/>
      <c r="K205" s="501" t="n"/>
      <c r="L205" s="327" t="n"/>
      <c r="M205" s="327" t="n"/>
      <c r="N205" s="327" t="n"/>
      <c r="O205" s="327" t="n"/>
      <c r="P205" s="507" t="n"/>
      <c r="Q205" s="361" t="n"/>
      <c r="R205" s="1024">
        <f>IF(B205='🎯 SÓI v42 — TRA CỨU &amp; DEEP DIV'!$C$4,"⭐ ĐANG XEM","")</f>
        <v/>
      </c>
    </row>
    <row r="206" ht="15" customHeight="1" s="981">
      <c r="A206" s="1050" t="n"/>
      <c r="B206" s="503" t="inlineStr">
        <is>
          <t>LSS</t>
        </is>
      </c>
      <c r="C206" s="362" t="inlineStr">
        <is>
          <t>Lam Sơn Sugar</t>
        </is>
      </c>
      <c r="D206" s="362" t="inlineStr">
        <is>
          <t>Đường</t>
        </is>
      </c>
      <c r="E206" s="503" t="n"/>
      <c r="F206" s="504" t="n"/>
      <c r="G206" s="503" t="n"/>
      <c r="H206" s="503" t="n"/>
      <c r="I206" s="503" t="n"/>
      <c r="J206" s="504" t="n"/>
      <c r="K206" s="504" t="n"/>
      <c r="L206" s="503" t="n"/>
      <c r="M206" s="503" t="n"/>
      <c r="N206" s="503" t="n"/>
      <c r="O206" s="503" t="n"/>
      <c r="P206" s="507" t="n"/>
      <c r="Q206" s="362" t="n"/>
      <c r="R206" s="1024">
        <f>IF(B206='🎯 SÓI v42 — TRA CỨU &amp; DEEP DIV'!$C$4,"⭐ ĐANG XEM","")</f>
        <v/>
      </c>
    </row>
    <row r="207" ht="15" customHeight="1" s="981">
      <c r="A207" s="1050" t="n"/>
      <c r="B207" s="327" t="inlineStr">
        <is>
          <t>VLA</t>
        </is>
      </c>
      <c r="C207" s="361" t="inlineStr">
        <is>
          <t>Viễn Liên</t>
        </is>
      </c>
      <c r="D207" s="361" t="inlineStr">
        <is>
          <t>Công nghệ</t>
        </is>
      </c>
      <c r="E207" s="327" t="n"/>
      <c r="F207" s="501" t="n"/>
      <c r="G207" s="327" t="n"/>
      <c r="H207" s="327" t="n"/>
      <c r="I207" s="327" t="n"/>
      <c r="J207" s="501" t="n"/>
      <c r="K207" s="501" t="n"/>
      <c r="L207" s="327" t="n"/>
      <c r="M207" s="327" t="n"/>
      <c r="N207" s="327" t="n"/>
      <c r="O207" s="327" t="n"/>
      <c r="P207" s="507" t="n"/>
      <c r="Q207" s="361" t="n"/>
      <c r="R207" s="1024">
        <f>IF(B207='🎯 SÓI v42 — TRA CỨU &amp; DEEP DIV'!$C$4,"⭐ ĐANG XEM","")</f>
        <v/>
      </c>
    </row>
    <row r="208" ht="15" customHeight="1" s="981">
      <c r="A208" s="1050" t="n"/>
      <c r="B208" s="503" t="inlineStr">
        <is>
          <t>NBB</t>
        </is>
      </c>
      <c r="C208" s="362" t="inlineStr">
        <is>
          <t>Nam Bay Bay</t>
        </is>
      </c>
      <c r="D208" s="362" t="inlineStr">
        <is>
          <t>Bất động sản</t>
        </is>
      </c>
      <c r="E208" s="503" t="n"/>
      <c r="F208" s="504" t="n"/>
      <c r="G208" s="503" t="n"/>
      <c r="H208" s="503" t="n"/>
      <c r="I208" s="503" t="n"/>
      <c r="J208" s="504" t="n"/>
      <c r="K208" s="504" t="n"/>
      <c r="L208" s="503" t="n"/>
      <c r="M208" s="503" t="n"/>
      <c r="N208" s="503" t="n"/>
      <c r="O208" s="503" t="n"/>
      <c r="P208" s="507" t="n"/>
      <c r="Q208" s="362" t="n"/>
      <c r="R208" s="1024">
        <f>IF(B208='🎯 SÓI v42 — TRA CỨU &amp; DEEP DIV'!$C$4,"⭐ ĐANG XEM","")</f>
        <v/>
      </c>
    </row>
    <row r="209" ht="15" customHeight="1" s="981">
      <c r="A209" s="1050" t="n"/>
      <c r="B209" s="327" t="inlineStr">
        <is>
          <t>VGT</t>
        </is>
      </c>
      <c r="C209" s="361" t="inlineStr">
        <is>
          <t>Vinatex</t>
        </is>
      </c>
      <c r="D209" s="361" t="inlineStr">
        <is>
          <t>Dệt may</t>
        </is>
      </c>
      <c r="E209" s="327" t="n"/>
      <c r="F209" s="501" t="n"/>
      <c r="G209" s="327" t="n"/>
      <c r="H209" s="327" t="n"/>
      <c r="I209" s="327" t="n"/>
      <c r="J209" s="501" t="n"/>
      <c r="K209" s="501" t="n"/>
      <c r="L209" s="327" t="n"/>
      <c r="M209" s="327" t="n"/>
      <c r="N209" s="327" t="n"/>
      <c r="O209" s="327" t="n"/>
      <c r="P209" s="507" t="n"/>
      <c r="Q209" s="361" t="n"/>
      <c r="R209" s="1024">
        <f>IF(B209='🎯 SÓI v42 — TRA CỨU &amp; DEEP DIV'!$C$4,"⭐ ĐANG XEM","")</f>
        <v/>
      </c>
    </row>
    <row r="210" ht="15" customHeight="1" s="981">
      <c r="A210" s="1050" t="n"/>
      <c r="B210" s="503" t="inlineStr">
        <is>
          <t>LBM</t>
        </is>
      </c>
      <c r="C210" s="362" t="inlineStr">
        <is>
          <t>Lâm Đồng</t>
        </is>
      </c>
      <c r="D210" s="362" t="inlineStr">
        <is>
          <t>Bauxit</t>
        </is>
      </c>
      <c r="E210" s="503" t="n"/>
      <c r="F210" s="504" t="n"/>
      <c r="G210" s="503" t="n"/>
      <c r="H210" s="503" t="n"/>
      <c r="I210" s="503" t="n"/>
      <c r="J210" s="504" t="n"/>
      <c r="K210" s="504" t="n"/>
      <c r="L210" s="503" t="n"/>
      <c r="M210" s="503" t="n"/>
      <c r="N210" s="503" t="n"/>
      <c r="O210" s="503" t="n"/>
      <c r="P210" s="507" t="n"/>
      <c r="Q210" s="362" t="n"/>
      <c r="R210" s="1024">
        <f>IF(B210='🎯 SÓI v42 — TRA CỨU &amp; DEEP DIV'!$C$4,"⭐ ĐANG XEM","")</f>
        <v/>
      </c>
    </row>
    <row r="211" ht="15" customHeight="1" s="981">
      <c r="A211" s="1050" t="n"/>
      <c r="B211" s="327" t="inlineStr">
        <is>
          <t>VIC</t>
        </is>
      </c>
      <c r="C211" s="361" t="inlineStr">
        <is>
          <t>Vingroup</t>
        </is>
      </c>
      <c r="D211" s="361" t="inlineStr">
        <is>
          <t>Bất động sản</t>
        </is>
      </c>
      <c r="E211" s="327" t="n"/>
      <c r="F211" s="501" t="n"/>
      <c r="G211" s="327" t="n"/>
      <c r="H211" s="327" t="n"/>
      <c r="I211" s="327" t="n"/>
      <c r="J211" s="501" t="n"/>
      <c r="K211" s="501" t="n"/>
      <c r="L211" s="327" t="n"/>
      <c r="M211" s="327" t="n"/>
      <c r="N211" s="327" t="n"/>
      <c r="O211" s="327" t="n"/>
      <c r="P211" s="507" t="n"/>
      <c r="Q211" s="361" t="n"/>
      <c r="R211" s="1024">
        <f>IF(B211='🎯 SÓI v42 — TRA CỨU &amp; DEEP DIV'!$C$4,"⭐ ĐANG XEM","")</f>
        <v/>
      </c>
    </row>
    <row r="212" ht="15" customHeight="1" s="981">
      <c r="A212" s="1050" t="n"/>
      <c r="B212" s="503" t="inlineStr">
        <is>
          <t>CSM</t>
        </is>
      </c>
      <c r="C212" s="362" t="inlineStr">
        <is>
          <t>CSM</t>
        </is>
      </c>
      <c r="D212" s="362" t="inlineStr">
        <is>
          <t>Cao su</t>
        </is>
      </c>
      <c r="E212" s="503" t="n"/>
      <c r="F212" s="504" t="n"/>
      <c r="G212" s="503" t="n"/>
      <c r="H212" s="503" t="n"/>
      <c r="I212" s="503" t="n"/>
      <c r="J212" s="504" t="n"/>
      <c r="K212" s="504" t="n"/>
      <c r="L212" s="503" t="n"/>
      <c r="M212" s="503" t="n"/>
      <c r="N212" s="503" t="n"/>
      <c r="O212" s="503" t="n"/>
      <c r="P212" s="507" t="n"/>
      <c r="Q212" s="362" t="n"/>
      <c r="R212" s="1024">
        <f>IF(B212='🎯 SÓI v42 — TRA CỨU &amp; DEEP DIV'!$C$4,"⭐ ĐANG XEM","")</f>
        <v/>
      </c>
    </row>
    <row r="213" ht="15" customHeight="1" s="981">
      <c r="A213" s="1050" t="n"/>
      <c r="B213" s="327" t="inlineStr">
        <is>
          <t>TDC</t>
        </is>
      </c>
      <c r="C213" s="361" t="inlineStr">
        <is>
          <t>TDC</t>
        </is>
      </c>
      <c r="D213" s="361" t="inlineStr">
        <is>
          <t>Bất động sản</t>
        </is>
      </c>
      <c r="E213" s="327" t="n"/>
      <c r="F213" s="501" t="n"/>
      <c r="G213" s="327" t="n"/>
      <c r="H213" s="327" t="n"/>
      <c r="I213" s="327" t="n"/>
      <c r="J213" s="501" t="n"/>
      <c r="K213" s="501" t="n"/>
      <c r="L213" s="327" t="n"/>
      <c r="M213" s="327" t="n"/>
      <c r="N213" s="327" t="n"/>
      <c r="O213" s="327" t="n"/>
      <c r="P213" s="507" t="n"/>
      <c r="Q213" s="361" t="n"/>
      <c r="R213" s="1024">
        <f>IF(B213='🎯 SÓI v42 — TRA CỨU &amp; DEEP DIV'!$C$4,"⭐ ĐANG XEM","")</f>
        <v/>
      </c>
    </row>
    <row r="214" ht="15" customHeight="1" s="981">
      <c r="A214" s="1050" t="n"/>
      <c r="B214" s="503" t="inlineStr">
        <is>
          <t>SD5</t>
        </is>
      </c>
      <c r="C214" s="362" t="inlineStr">
        <is>
          <t>Sông Đà 5</t>
        </is>
      </c>
      <c r="D214" s="362" t="inlineStr">
        <is>
          <t>Xây dựng</t>
        </is>
      </c>
      <c r="E214" s="503" t="n"/>
      <c r="F214" s="504" t="n"/>
      <c r="G214" s="503" t="n"/>
      <c r="H214" s="503" t="n"/>
      <c r="I214" s="503" t="n"/>
      <c r="J214" s="504" t="n"/>
      <c r="K214" s="504" t="n"/>
      <c r="L214" s="503" t="n"/>
      <c r="M214" s="503" t="n"/>
      <c r="N214" s="503" t="n"/>
      <c r="O214" s="503" t="n"/>
      <c r="P214" s="507" t="n"/>
      <c r="Q214" s="362" t="n"/>
      <c r="R214" s="1024">
        <f>IF(B214='🎯 SÓI v42 — TRA CỨU &amp; DEEP DIV'!$C$4,"⭐ ĐANG XEM","")</f>
        <v/>
      </c>
    </row>
    <row r="215" ht="15" customHeight="1" s="981">
      <c r="A215" s="1050" t="n"/>
      <c r="B215" s="327" t="inlineStr">
        <is>
          <t>VEC</t>
        </is>
      </c>
      <c r="C215" s="361" t="inlineStr">
        <is>
          <t>VEC</t>
        </is>
      </c>
      <c r="D215" s="361" t="inlineStr">
        <is>
          <t>Hạ tầng</t>
        </is>
      </c>
      <c r="E215" s="327" t="n"/>
      <c r="F215" s="501" t="n"/>
      <c r="G215" s="327" t="n"/>
      <c r="H215" s="327" t="n"/>
      <c r="I215" s="327" t="n"/>
      <c r="J215" s="501" t="n"/>
      <c r="K215" s="501" t="n"/>
      <c r="L215" s="327" t="n"/>
      <c r="M215" s="327" t="n"/>
      <c r="N215" s="327" t="n"/>
      <c r="O215" s="327" t="n"/>
      <c r="P215" s="507" t="n"/>
      <c r="Q215" s="361" t="n"/>
      <c r="R215" s="1024">
        <f>IF(B215='🎯 SÓI v42 — TRA CỨU &amp; DEEP DIV'!$C$4,"⭐ ĐANG XEM","")</f>
        <v/>
      </c>
    </row>
    <row r="216" ht="15" customHeight="1" s="981">
      <c r="A216" s="1050" t="n"/>
      <c r="B216" s="503" t="inlineStr">
        <is>
          <t>MSN</t>
        </is>
      </c>
      <c r="C216" s="362" t="inlineStr">
        <is>
          <t>Masan Group</t>
        </is>
      </c>
      <c r="D216" s="362" t="inlineStr">
        <is>
          <t>Tiêu dùng</t>
        </is>
      </c>
      <c r="E216" s="503" t="n"/>
      <c r="F216" s="504" t="n"/>
      <c r="G216" s="503" t="n"/>
      <c r="H216" s="503" t="n"/>
      <c r="I216" s="503" t="n"/>
      <c r="J216" s="504" t="n"/>
      <c r="K216" s="504" t="n"/>
      <c r="L216" s="503" t="n"/>
      <c r="M216" s="503" t="n"/>
      <c r="N216" s="503" t="n"/>
      <c r="O216" s="503" t="n"/>
      <c r="P216" s="507" t="n"/>
      <c r="Q216" s="362" t="n"/>
      <c r="R216" s="1024">
        <f>IF(B216='🎯 SÓI v42 — TRA CỨU &amp; DEEP DIV'!$C$4,"⭐ ĐANG XEM","")</f>
        <v/>
      </c>
    </row>
    <row r="217" ht="15" customHeight="1" s="981">
      <c r="A217" s="1050" t="n"/>
      <c r="B217" s="327" t="inlineStr">
        <is>
          <t>DXS</t>
        </is>
      </c>
      <c r="C217" s="361" t="inlineStr">
        <is>
          <t>Đất Xanh Services</t>
        </is>
      </c>
      <c r="D217" s="361" t="inlineStr">
        <is>
          <t>Bất động sản</t>
        </is>
      </c>
      <c r="E217" s="327" t="n"/>
      <c r="F217" s="501" t="n"/>
      <c r="G217" s="327" t="n"/>
      <c r="H217" s="327" t="n"/>
      <c r="I217" s="327" t="n"/>
      <c r="J217" s="501" t="n"/>
      <c r="K217" s="501" t="n"/>
      <c r="L217" s="327" t="n"/>
      <c r="M217" s="327" t="n"/>
      <c r="N217" s="327" t="n"/>
      <c r="O217" s="327" t="n"/>
      <c r="P217" s="507" t="n"/>
      <c r="Q217" s="361" t="n"/>
      <c r="R217" s="1024">
        <f>IF(B217='🎯 SÓI v42 — TRA CỨU &amp; DEEP DIV'!$C$4,"⭐ ĐANG XEM","")</f>
        <v/>
      </c>
    </row>
    <row r="218" ht="15" customHeight="1" s="981">
      <c r="A218" s="1050" t="n"/>
      <c r="B218" s="503" t="inlineStr">
        <is>
          <t>TVN</t>
        </is>
      </c>
      <c r="C218" s="362" t="inlineStr">
        <is>
          <t>Vicasa</t>
        </is>
      </c>
      <c r="D218" s="362" t="inlineStr">
        <is>
          <t>Thép</t>
        </is>
      </c>
      <c r="E218" s="503" t="n"/>
      <c r="F218" s="504" t="n"/>
      <c r="G218" s="503" t="n"/>
      <c r="H218" s="503" t="n"/>
      <c r="I218" s="503" t="n"/>
      <c r="J218" s="504" t="n"/>
      <c r="K218" s="504" t="n"/>
      <c r="L218" s="503" t="n"/>
      <c r="M218" s="503" t="n"/>
      <c r="N218" s="503" t="n"/>
      <c r="O218" s="503" t="n"/>
      <c r="P218" s="507" t="n"/>
      <c r="Q218" s="362" t="n"/>
      <c r="R218" s="1024">
        <f>IF(B218='🎯 SÓI v42 — TRA CỨU &amp; DEEP DIV'!$C$4,"⭐ ĐANG XEM","")</f>
        <v/>
      </c>
    </row>
    <row r="219" ht="15" customHeight="1" s="981">
      <c r="A219" s="1050" t="n"/>
      <c r="B219" s="327" t="inlineStr">
        <is>
          <t>CII</t>
        </is>
      </c>
      <c r="C219" s="361" t="inlineStr">
        <is>
          <t>C.I.I</t>
        </is>
      </c>
      <c r="D219" s="361" t="inlineStr">
        <is>
          <t>Hạ tầng</t>
        </is>
      </c>
      <c r="E219" s="327" t="n"/>
      <c r="F219" s="501" t="n"/>
      <c r="G219" s="327" t="n"/>
      <c r="H219" s="327" t="n"/>
      <c r="I219" s="327" t="n"/>
      <c r="J219" s="501" t="n"/>
      <c r="K219" s="501" t="n"/>
      <c r="L219" s="327" t="n"/>
      <c r="M219" s="327" t="n"/>
      <c r="N219" s="327" t="n"/>
      <c r="O219" s="327" t="n"/>
      <c r="P219" s="507" t="n"/>
      <c r="Q219" s="361" t="n"/>
      <c r="R219" s="1024">
        <f>IF(B219='🎯 SÓI v42 — TRA CỨU &amp; DEEP DIV'!$C$4,"⭐ ĐANG XEM","")</f>
        <v/>
      </c>
    </row>
    <row r="220" ht="15" customHeight="1" s="981">
      <c r="A220" s="1050" t="n"/>
      <c r="B220" s="503" t="inlineStr">
        <is>
          <t>NDN</t>
        </is>
      </c>
      <c r="C220" s="362" t="inlineStr">
        <is>
          <t>NDN</t>
        </is>
      </c>
      <c r="D220" s="362" t="inlineStr">
        <is>
          <t>Bất động sản</t>
        </is>
      </c>
      <c r="E220" s="503" t="n"/>
      <c r="F220" s="504" t="n"/>
      <c r="G220" s="503" t="n"/>
      <c r="H220" s="503" t="n"/>
      <c r="I220" s="503" t="n"/>
      <c r="J220" s="504" t="n"/>
      <c r="K220" s="504" t="n"/>
      <c r="L220" s="503" t="n"/>
      <c r="M220" s="503" t="n"/>
      <c r="N220" s="503" t="n"/>
      <c r="O220" s="503" t="n"/>
      <c r="P220" s="507" t="n"/>
      <c r="Q220" s="362" t="n"/>
      <c r="R220" s="1024">
        <f>IF(B220='🎯 SÓI v42 — TRA CỨU &amp; DEEP DIV'!$C$4,"⭐ ĐANG XEM","")</f>
        <v/>
      </c>
    </row>
    <row r="221" ht="15" customHeight="1" s="981">
      <c r="A221" s="1050" t="n"/>
      <c r="B221" s="327" t="inlineStr">
        <is>
          <t>HT1</t>
        </is>
      </c>
      <c r="C221" s="361" t="inlineStr">
        <is>
          <t>Xi măng Hà Tiên</t>
        </is>
      </c>
      <c r="D221" s="361" t="inlineStr">
        <is>
          <t>Vật liệu XD</t>
        </is>
      </c>
      <c r="E221" s="327" t="n"/>
      <c r="F221" s="501" t="n"/>
      <c r="G221" s="327" t="n"/>
      <c r="H221" s="327" t="n"/>
      <c r="I221" s="327" t="n"/>
      <c r="J221" s="501" t="n"/>
      <c r="K221" s="501" t="n"/>
      <c r="L221" s="327" t="n"/>
      <c r="M221" s="327" t="n"/>
      <c r="N221" s="327" t="n"/>
      <c r="O221" s="327" t="n"/>
      <c r="P221" s="507" t="n"/>
      <c r="Q221" s="361" t="n"/>
      <c r="R221" s="1024">
        <f>IF(B221='🎯 SÓI v42 — TRA CỨU &amp; DEEP DIV'!$C$4,"⭐ ĐANG XEM","")</f>
        <v/>
      </c>
    </row>
    <row r="222" ht="15" customHeight="1" s="981">
      <c r="A222" s="1050" t="n"/>
      <c r="B222" s="503" t="inlineStr">
        <is>
          <t>DIG</t>
        </is>
      </c>
      <c r="C222" s="362" t="inlineStr">
        <is>
          <t>DIC Corp</t>
        </is>
      </c>
      <c r="D222" s="362" t="inlineStr">
        <is>
          <t>Bất động sản</t>
        </is>
      </c>
      <c r="E222" s="503" t="n"/>
      <c r="F222" s="504" t="n"/>
      <c r="G222" s="503" t="n"/>
      <c r="H222" s="503" t="n"/>
      <c r="I222" s="503" t="n"/>
      <c r="J222" s="504" t="n"/>
      <c r="K222" s="504" t="n"/>
      <c r="L222" s="503" t="n"/>
      <c r="M222" s="503" t="n"/>
      <c r="N222" s="503" t="n"/>
      <c r="O222" s="503" t="n"/>
      <c r="P222" s="507" t="n"/>
      <c r="Q222" s="362" t="n"/>
      <c r="R222" s="1024">
        <f>IF(B222='🎯 SÓI v42 — TRA CỨU &amp; DEEP DIV'!$C$4,"⭐ ĐANG XEM","")</f>
        <v/>
      </c>
    </row>
    <row r="223" ht="15" customHeight="1" s="981">
      <c r="A223" s="1050" t="n"/>
      <c r="B223" s="327" t="inlineStr">
        <is>
          <t>HAG</t>
        </is>
      </c>
      <c r="C223" s="361" t="inlineStr">
        <is>
          <t>Hoàng Anh Gia Lai</t>
        </is>
      </c>
      <c r="D223" s="361" t="inlineStr">
        <is>
          <t>Đa ngành</t>
        </is>
      </c>
      <c r="E223" s="327" t="n"/>
      <c r="F223" s="501" t="n"/>
      <c r="G223" s="327" t="n"/>
      <c r="H223" s="327" t="n"/>
      <c r="I223" s="327" t="n"/>
      <c r="J223" s="501" t="n"/>
      <c r="K223" s="501" t="n"/>
      <c r="L223" s="327" t="n"/>
      <c r="M223" s="327" t="n"/>
      <c r="N223" s="327" t="n"/>
      <c r="O223" s="327" t="n"/>
      <c r="P223" s="507" t="n"/>
      <c r="Q223" s="361" t="n"/>
      <c r="R223" s="1024">
        <f>IF(B223='🎯 SÓI v42 — TRA CỨU &amp; DEEP DIV'!$C$4,"⭐ ĐANG XEM","")</f>
        <v/>
      </c>
    </row>
    <row r="224" ht="15" customHeight="1" s="981">
      <c r="A224" s="1050" t="n"/>
      <c r="B224" s="503" t="inlineStr">
        <is>
          <t>SDA</t>
        </is>
      </c>
      <c r="C224" s="362" t="inlineStr">
        <is>
          <t>Sông Đà</t>
        </is>
      </c>
      <c r="D224" s="362" t="inlineStr">
        <is>
          <t>Xây dựng</t>
        </is>
      </c>
      <c r="E224" s="503" t="n"/>
      <c r="F224" s="504" t="n"/>
      <c r="G224" s="503" t="n"/>
      <c r="H224" s="503" t="n"/>
      <c r="I224" s="503" t="n"/>
      <c r="J224" s="504" t="n"/>
      <c r="K224" s="504" t="n"/>
      <c r="L224" s="503" t="n"/>
      <c r="M224" s="503" t="n"/>
      <c r="N224" s="503" t="n"/>
      <c r="O224" s="503" t="n"/>
      <c r="P224" s="507" t="n"/>
      <c r="Q224" s="362" t="n"/>
      <c r="R224" s="1024">
        <f>IF(B224='🎯 SÓI v42 — TRA CỨU &amp; DEEP DIV'!$C$4,"⭐ ĐANG XEM","")</f>
        <v/>
      </c>
    </row>
    <row r="225" ht="15" customHeight="1" s="981">
      <c r="A225" s="1050" t="n"/>
      <c r="B225" s="327" t="inlineStr">
        <is>
          <t>SCR</t>
        </is>
      </c>
      <c r="C225" s="361" t="inlineStr">
        <is>
          <t>Sudico</t>
        </is>
      </c>
      <c r="D225" s="361" t="inlineStr">
        <is>
          <t>Bất động sản</t>
        </is>
      </c>
      <c r="E225" s="327" t="n"/>
      <c r="F225" s="501" t="n"/>
      <c r="G225" s="327" t="n"/>
      <c r="H225" s="327" t="n"/>
      <c r="I225" s="327" t="n"/>
      <c r="J225" s="501" t="n"/>
      <c r="K225" s="501" t="n"/>
      <c r="L225" s="327" t="n"/>
      <c r="M225" s="327" t="n"/>
      <c r="N225" s="327" t="n"/>
      <c r="O225" s="327" t="n"/>
      <c r="P225" s="507" t="n"/>
      <c r="Q225" s="361" t="n"/>
      <c r="R225" s="1024">
        <f>IF(B225='🎯 SÓI v42 — TRA CỨU &amp; DEEP DIV'!$C$4,"⭐ ĐANG XEM","")</f>
        <v/>
      </c>
    </row>
    <row r="226" ht="15" customHeight="1" s="981">
      <c r="A226" s="1050" t="n"/>
      <c r="B226" s="503" t="inlineStr">
        <is>
          <t>TDH</t>
        </is>
      </c>
      <c r="C226" s="362" t="inlineStr">
        <is>
          <t>Thuduc House</t>
        </is>
      </c>
      <c r="D226" s="362" t="inlineStr">
        <is>
          <t>Bất động sản</t>
        </is>
      </c>
      <c r="E226" s="503" t="n"/>
      <c r="F226" s="504" t="n"/>
      <c r="G226" s="503" t="n"/>
      <c r="H226" s="503" t="n"/>
      <c r="I226" s="503" t="n"/>
      <c r="J226" s="504" t="n"/>
      <c r="K226" s="504" t="n"/>
      <c r="L226" s="503" t="n"/>
      <c r="M226" s="503" t="n"/>
      <c r="N226" s="503" t="n"/>
      <c r="O226" s="503" t="n"/>
      <c r="P226" s="507" t="n"/>
      <c r="Q226" s="362" t="n"/>
      <c r="R226" s="1024">
        <f>IF(B226='🎯 SÓI v42 — TRA CỨU &amp; DEEP DIV'!$C$4,"⭐ ĐANG XEM","")</f>
        <v/>
      </c>
    </row>
    <row r="227" ht="15" customHeight="1" s="981">
      <c r="A227" s="1050" t="n"/>
      <c r="B227" s="327" t="inlineStr">
        <is>
          <t>HQC</t>
        </is>
      </c>
      <c r="C227" s="361" t="inlineStr">
        <is>
          <t>HQC</t>
        </is>
      </c>
      <c r="D227" s="361" t="inlineStr">
        <is>
          <t>Bất động sản</t>
        </is>
      </c>
      <c r="E227" s="327" t="n"/>
      <c r="F227" s="501" t="n"/>
      <c r="G227" s="327" t="n"/>
      <c r="H227" s="327" t="n"/>
      <c r="I227" s="327" t="n"/>
      <c r="J227" s="501" t="n"/>
      <c r="K227" s="501" t="n"/>
      <c r="L227" s="327" t="n"/>
      <c r="M227" s="327" t="n"/>
      <c r="N227" s="327" t="n"/>
      <c r="O227" s="327" t="n"/>
      <c r="P227" s="507" t="n"/>
      <c r="Q227" s="361" t="n"/>
      <c r="R227" s="1024">
        <f>IF(B227='🎯 SÓI v42 — TRA CỨU &amp; DEEP DIV'!$C$4,"⭐ ĐANG XEM","")</f>
        <v/>
      </c>
    </row>
    <row r="228" ht="15" customHeight="1" s="981">
      <c r="A228" s="1050" t="n"/>
      <c r="B228" s="503" t="inlineStr">
        <is>
          <t>VNG</t>
        </is>
      </c>
      <c r="C228" s="362" t="inlineStr">
        <is>
          <t>VNG</t>
        </is>
      </c>
      <c r="D228" s="362" t="inlineStr">
        <is>
          <t>CN giải trí</t>
        </is>
      </c>
      <c r="E228" s="503" t="n"/>
      <c r="F228" s="504" t="n"/>
      <c r="G228" s="503" t="n"/>
      <c r="H228" s="503" t="n"/>
      <c r="I228" s="503" t="n"/>
      <c r="J228" s="504" t="n"/>
      <c r="K228" s="504" t="n"/>
      <c r="L228" s="503" t="n"/>
      <c r="M228" s="503" t="n"/>
      <c r="N228" s="503" t="n"/>
      <c r="O228" s="503" t="n"/>
      <c r="P228" s="507" t="n"/>
      <c r="Q228" s="362" t="n"/>
      <c r="R228" s="1024">
        <f>IF(B228='🎯 SÓI v42 — TRA CỨU &amp; DEEP DIV'!$C$4,"⭐ ĐANG XEM","")</f>
        <v/>
      </c>
    </row>
    <row r="229" ht="15" customHeight="1" s="981">
      <c r="A229" s="1050" t="n"/>
      <c r="B229" s="327" t="inlineStr">
        <is>
          <t>SMC</t>
        </is>
      </c>
      <c r="C229" s="361" t="inlineStr">
        <is>
          <t>SMC Steel</t>
        </is>
      </c>
      <c r="D229" s="361" t="inlineStr">
        <is>
          <t>Thép</t>
        </is>
      </c>
      <c r="E229" s="327" t="n"/>
      <c r="F229" s="501" t="n"/>
      <c r="G229" s="327" t="n"/>
      <c r="H229" s="327" t="n"/>
      <c r="I229" s="327" t="n"/>
      <c r="J229" s="501" t="n"/>
      <c r="K229" s="501" t="n"/>
      <c r="L229" s="327" t="n"/>
      <c r="M229" s="327" t="n"/>
      <c r="N229" s="327" t="n"/>
      <c r="O229" s="327" t="n"/>
      <c r="P229" s="507" t="n"/>
      <c r="Q229" s="361" t="n"/>
      <c r="R229" s="1024">
        <f>IF(B229='🎯 SÓI v42 — TRA CỨU &amp; DEEP DIV'!$C$4,"⭐ ĐANG XEM","")</f>
        <v/>
      </c>
    </row>
    <row r="230" ht="15" customHeight="1" s="981">
      <c r="A230" s="1050" t="n"/>
      <c r="B230" s="503" t="inlineStr">
        <is>
          <t>BCC</t>
        </is>
      </c>
      <c r="C230" s="362" t="inlineStr">
        <is>
          <t>Bỉm Sơn</t>
        </is>
      </c>
      <c r="D230" s="362" t="inlineStr">
        <is>
          <t>Vật liệu XD</t>
        </is>
      </c>
      <c r="E230" s="503" t="n"/>
      <c r="F230" s="504" t="n"/>
      <c r="G230" s="503" t="n"/>
      <c r="H230" s="503" t="n"/>
      <c r="I230" s="503" t="n"/>
      <c r="J230" s="504" t="n"/>
      <c r="K230" s="504" t="n"/>
      <c r="L230" s="503" t="n"/>
      <c r="M230" s="503" t="n"/>
      <c r="N230" s="503" t="n"/>
      <c r="O230" s="503" t="n"/>
      <c r="P230" s="507" t="n"/>
      <c r="Q230" s="362" t="n"/>
      <c r="R230" s="1024">
        <f>IF(B230='🎯 SÓI v42 — TRA CỨU &amp; DEEP DIV'!$C$4,"⭐ ĐANG XEM","")</f>
        <v/>
      </c>
    </row>
    <row r="231" ht="15" customHeight="1" s="981">
      <c r="A231" s="1050" t="n"/>
      <c r="B231" s="327" t="inlineStr">
        <is>
          <t>HOM</t>
        </is>
      </c>
      <c r="C231" s="361" t="inlineStr">
        <is>
          <t>Hoàng Mai</t>
        </is>
      </c>
      <c r="D231" s="361" t="inlineStr">
        <is>
          <t>Vật liệu XD</t>
        </is>
      </c>
      <c r="E231" s="327" t="n"/>
      <c r="F231" s="501" t="n"/>
      <c r="G231" s="327" t="n"/>
      <c r="H231" s="327" t="n"/>
      <c r="I231" s="327" t="n"/>
      <c r="J231" s="501" t="n"/>
      <c r="K231" s="501" t="n"/>
      <c r="L231" s="327" t="n"/>
      <c r="M231" s="327" t="n"/>
      <c r="N231" s="327" t="n"/>
      <c r="O231" s="327" t="n"/>
      <c r="P231" s="507" t="n"/>
      <c r="Q231" s="361" t="n"/>
      <c r="R231" s="1024">
        <f>IF(B231='🎯 SÓI v42 — TRA CỨU &amp; DEEP DIV'!$C$4,"⭐ ĐANG XEM","")</f>
        <v/>
      </c>
    </row>
    <row r="232" ht="15" customHeight="1" s="981">
      <c r="A232" s="1050" t="n"/>
      <c r="B232" s="503" t="inlineStr">
        <is>
          <t>ROS</t>
        </is>
      </c>
      <c r="C232" s="362" t="inlineStr">
        <is>
          <t>FLC Faros</t>
        </is>
      </c>
      <c r="D232" s="362" t="inlineStr">
        <is>
          <t>Xây dựng</t>
        </is>
      </c>
      <c r="E232" s="503" t="n"/>
      <c r="F232" s="504" t="n"/>
      <c r="G232" s="503" t="n"/>
      <c r="H232" s="503" t="n"/>
      <c r="I232" s="503" t="n"/>
      <c r="J232" s="504" t="n"/>
      <c r="K232" s="504" t="n"/>
      <c r="L232" s="503" t="n"/>
      <c r="M232" s="503" t="n"/>
      <c r="N232" s="503" t="n"/>
      <c r="O232" s="503" t="n"/>
      <c r="P232" s="507" t="n"/>
      <c r="Q232" s="362" t="n"/>
      <c r="R232" s="1024">
        <f>IF(B232='🎯 SÓI v42 — TRA CỨU &amp; DEEP DIV'!$C$4,"⭐ ĐANG XEM","")</f>
        <v/>
      </c>
    </row>
    <row r="233" ht="15" customHeight="1" s="981">
      <c r="A233" s="1050" t="n"/>
      <c r="B233" s="327" t="inlineStr">
        <is>
          <t>LDG</t>
        </is>
      </c>
      <c r="C233" s="361" t="inlineStr">
        <is>
          <t>LDG</t>
        </is>
      </c>
      <c r="D233" s="361" t="inlineStr">
        <is>
          <t>Đa ngành</t>
        </is>
      </c>
      <c r="E233" s="327" t="n"/>
      <c r="F233" s="501" t="n"/>
      <c r="G233" s="327" t="n"/>
      <c r="H233" s="327" t="n"/>
      <c r="I233" s="327" t="n"/>
      <c r="J233" s="501" t="n"/>
      <c r="K233" s="501" t="n"/>
      <c r="L233" s="327" t="n"/>
      <c r="M233" s="327" t="n"/>
      <c r="N233" s="327" t="n"/>
      <c r="O233" s="327" t="n"/>
      <c r="P233" s="507" t="n"/>
      <c r="Q233" s="361" t="n"/>
      <c r="R233" s="1024">
        <f>IF(B233='🎯 SÓI v42 — TRA CỨU &amp; DEEP DIV'!$C$4,"⭐ ĐANG XEM","")</f>
        <v/>
      </c>
    </row>
    <row r="234" ht="15" customHeight="1" s="981">
      <c r="A234" s="1050" t="n"/>
      <c r="B234" s="503" t="inlineStr">
        <is>
          <t>YEG</t>
        </is>
      </c>
      <c r="C234" s="362" t="inlineStr">
        <is>
          <t>Yeah1</t>
        </is>
      </c>
      <c r="D234" s="362" t="inlineStr">
        <is>
          <t>Truyền thông</t>
        </is>
      </c>
      <c r="E234" s="503" t="n"/>
      <c r="F234" s="504" t="n"/>
      <c r="G234" s="503" t="n"/>
      <c r="H234" s="503" t="n"/>
      <c r="I234" s="503" t="n"/>
      <c r="J234" s="504" t="n"/>
      <c r="K234" s="504" t="n"/>
      <c r="L234" s="503" t="n"/>
      <c r="M234" s="503" t="n"/>
      <c r="N234" s="503" t="n"/>
      <c r="O234" s="503" t="n"/>
      <c r="P234" s="507" t="n"/>
      <c r="Q234" s="362" t="n"/>
      <c r="R234" s="1024">
        <f>IF(B234='🎯 SÓI v42 — TRA CỨU &amp; DEEP DIV'!$C$4,"⭐ ĐANG XEM","")</f>
        <v/>
      </c>
    </row>
    <row r="235" ht="15" customHeight="1" s="981">
      <c r="A235" s="1050" t="n"/>
      <c r="B235" s="327" t="inlineStr">
        <is>
          <t>NVL</t>
        </is>
      </c>
      <c r="C235" s="361" t="inlineStr">
        <is>
          <t>Novaland</t>
        </is>
      </c>
      <c r="D235" s="361" t="inlineStr">
        <is>
          <t>Bất động sản</t>
        </is>
      </c>
      <c r="E235" s="327" t="n"/>
      <c r="F235" s="501" t="n"/>
      <c r="G235" s="327" t="n"/>
      <c r="H235" s="327" t="n"/>
      <c r="I235" s="327" t="n"/>
      <c r="J235" s="501" t="n"/>
      <c r="K235" s="501" t="n"/>
      <c r="L235" s="327" t="n"/>
      <c r="M235" s="327" t="n"/>
      <c r="N235" s="327" t="n"/>
      <c r="O235" s="327" t="n"/>
      <c r="P235" s="507" t="n"/>
      <c r="Q235" s="361" t="n"/>
      <c r="R235" s="1024">
        <f>IF(B235='🎯 SÓI v42 — TRA CỨU &amp; DEEP DIV'!$C$4,"⭐ ĐANG XEM","")</f>
        <v/>
      </c>
    </row>
    <row r="236" ht="15" customHeight="1" s="981">
      <c r="A236" s="1050" t="n"/>
      <c r="B236" s="503" t="inlineStr">
        <is>
          <t>HNG</t>
        </is>
      </c>
      <c r="C236" s="362" t="inlineStr">
        <is>
          <t>HAG Nông Nghiệp</t>
        </is>
      </c>
      <c r="D236" s="362" t="inlineStr">
        <is>
          <t>Nông nghiệp</t>
        </is>
      </c>
      <c r="E236" s="503" t="n"/>
      <c r="F236" s="504" t="n"/>
      <c r="G236" s="503" t="n"/>
      <c r="H236" s="503" t="n"/>
      <c r="I236" s="503" t="n"/>
      <c r="J236" s="504" t="n"/>
      <c r="K236" s="504" t="n"/>
      <c r="L236" s="503" t="n"/>
      <c r="M236" s="503" t="n"/>
      <c r="N236" s="503" t="n"/>
      <c r="O236" s="503" t="n"/>
      <c r="P236" s="507" t="n"/>
      <c r="Q236" s="362" t="n"/>
      <c r="R236" s="1024">
        <f>IF(B236='🎯 SÓI v42 — TRA CỨU &amp; DEEP DIV'!$C$4,"⭐ ĐANG XEM","")</f>
        <v/>
      </c>
    </row>
    <row r="237" ht="15" customHeight="1" s="981">
      <c r="A237" s="1050" t="n"/>
      <c r="B237" s="327" t="inlineStr">
        <is>
          <t>HVN</t>
        </is>
      </c>
      <c r="C237" s="361" t="inlineStr">
        <is>
          <t>Vietnam Airlines</t>
        </is>
      </c>
      <c r="D237" s="361" t="inlineStr">
        <is>
          <t>Vận tải</t>
        </is>
      </c>
      <c r="E237" s="327" t="n"/>
      <c r="F237" s="501" t="n"/>
      <c r="G237" s="327" t="n"/>
      <c r="H237" s="327" t="n"/>
      <c r="I237" s="327" t="n"/>
      <c r="J237" s="501" t="n"/>
      <c r="K237" s="501" t="n"/>
      <c r="L237" s="327" t="n"/>
      <c r="M237" s="327" t="n"/>
      <c r="N237" s="327" t="n"/>
      <c r="O237" s="327" t="n"/>
      <c r="P237" s="507" t="n"/>
      <c r="Q237" s="361" t="n"/>
      <c r="R237" s="1024">
        <f>IF(B237='🎯 SÓI v42 — TRA CỨU &amp; DEEP DIV'!$C$4,"⭐ ĐANG XEM","")</f>
        <v/>
      </c>
    </row>
  </sheetData>
  <autoFilter ref="B3:Q237"/>
  <mergeCells count="2">
    <mergeCell ref="B2:Q2"/>
    <mergeCell ref="B1:Q1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981" min="1" max="1"/>
    <col width="32" customWidth="1" style="981" min="2" max="2"/>
    <col width="18" customWidth="1" style="981" min="3" max="3"/>
    <col width="14" customWidth="1" style="981" min="4" max="5"/>
    <col width="12" customWidth="1" style="981" min="6" max="7"/>
    <col width="8" customWidth="1" style="981" min="8" max="9"/>
    <col width="28" customWidth="1" style="981" min="10" max="10"/>
  </cols>
  <sheetData>
    <row r="1" ht="33.75" customHeight="1" s="981">
      <c r="A1" s="508" t="inlineStr">
        <is>
          <t>? LIVE PRICE FEED - 29/05/2026 | Q2 2026 | VN: 222/224 | TG: 115/128 | BCTC Q1/2026</t>
        </is>
      </c>
    </row>
    <row r="2" ht="19.5" customHeight="1" s="981">
      <c r="A2" s="509" t="inlineStr">
        <is>
          <t>🟢 LIVE 19:46 28/05/2026 | v56 INJECT MASTER | OK: 8 ma</t>
        </is>
      </c>
    </row>
    <row r="3" ht="21.75" customHeight="1" s="981">
      <c r="A3" s="510" t="inlineStr">
        <is>
          <t>Mã CP</t>
        </is>
      </c>
      <c r="B3" s="510" t="inlineStr">
        <is>
          <t>Tên Công Ty</t>
        </is>
      </c>
      <c r="C3" s="510" t="inlineStr">
        <is>
          <t>Ngành</t>
        </is>
      </c>
      <c r="D3" s="510" t="inlineStr">
        <is>
          <t>Giá Đóng (₫)</t>
        </is>
      </c>
      <c r="E3" s="510" t="inlineStr">
        <is>
          <t>Thay Đổi (₫)</t>
        </is>
      </c>
      <c r="F3" s="510" t="inlineStr">
        <is>
          <t>% Thay Đổi</t>
        </is>
      </c>
      <c r="G3" s="510" t="inlineStr">
        <is>
          <t>Volume</t>
        </is>
      </c>
      <c r="H3" s="510" t="inlineStr">
        <is>
          <t>P/E</t>
        </is>
      </c>
      <c r="I3" s="510" t="inlineStr">
        <is>
          <t>P/B</t>
        </is>
      </c>
      <c r="J3" s="510" t="inlineStr">
        <is>
          <t>⏰ Cập Nhật</t>
        </is>
      </c>
      <c r="K3" s="506" t="inlineStr">
        <is>
          <t>🔗 Match C4</t>
        </is>
      </c>
    </row>
    <row r="4" ht="24" customHeight="1" s="981">
      <c r="A4" s="511" t="inlineStr">
        <is>
          <t>FPT</t>
        </is>
      </c>
      <c r="B4" s="511" t="inlineStr">
        <is>
          <t>FPT Corp</t>
        </is>
      </c>
      <c r="C4" s="511" t="inlineStr">
        <is>
          <t>Công nghệ</t>
        </is>
      </c>
      <c r="D4" s="512" t="n">
        <v>71200</v>
      </c>
      <c r="E4" s="511" t="n">
        <v>-1400</v>
      </c>
      <c r="F4" s="511" t="n">
        <v>-1.83</v>
      </c>
      <c r="G4" s="511" t="n">
        <v>10646900</v>
      </c>
      <c r="H4" s="511" t="n">
        <v>24.5</v>
      </c>
      <c r="I4" s="511" t="n">
        <v>6.2</v>
      </c>
      <c r="J4" s="511" t="inlineStr">
        <is>
          <t>vnstock 19:46 28/05/2026</t>
        </is>
      </c>
      <c r="K4" s="1024">
        <f>IF(A4='🎯 SÓI v42 — TRA CỨU &amp; DEEP DIV'!$C$4,"⭐ ĐANG XEM","")</f>
        <v/>
      </c>
    </row>
    <row r="5" ht="24" customHeight="1" s="981">
      <c r="A5" s="511" t="inlineStr">
        <is>
          <t>MBB</t>
        </is>
      </c>
      <c r="B5" s="511" t="inlineStr">
        <is>
          <t>MB Bank</t>
        </is>
      </c>
      <c r="C5" s="511" t="inlineStr">
        <is>
          <t>Ngân hàng</t>
        </is>
      </c>
      <c r="D5" s="512" t="n">
        <v>25000</v>
      </c>
      <c r="E5" s="511" t="n">
        <v>-150</v>
      </c>
      <c r="F5" s="511" t="n">
        <v>-0.6</v>
      </c>
      <c r="G5" s="511" t="n">
        <v>9614600</v>
      </c>
      <c r="H5" s="511" t="n">
        <v>6.5</v>
      </c>
      <c r="I5" s="511" t="n">
        <v>1.35</v>
      </c>
      <c r="J5" s="511" t="inlineStr">
        <is>
          <t>vnstock 19:46 28/05/2026</t>
        </is>
      </c>
      <c r="K5" s="1024">
        <f>IF(A5='🎯 SÓI v42 — TRA CỨU &amp; DEEP DIV'!$C$4,"⭐ ĐANG XEM","")</f>
        <v/>
      </c>
    </row>
    <row r="6" ht="24" customHeight="1" s="981">
      <c r="A6" s="511" t="inlineStr">
        <is>
          <t>VCB</t>
        </is>
      </c>
      <c r="B6" s="511" t="inlineStr">
        <is>
          <t>Vietcombank</t>
        </is>
      </c>
      <c r="C6" s="511" t="inlineStr">
        <is>
          <t>Ngân hàng</t>
        </is>
      </c>
      <c r="D6" s="512" t="n">
        <v>62800</v>
      </c>
      <c r="E6" s="511" t="n">
        <v>-1400</v>
      </c>
      <c r="F6" s="511" t="n">
        <v>-2.16</v>
      </c>
      <c r="G6" s="511" t="n">
        <v>4972400</v>
      </c>
      <c r="H6" s="511" t="n">
        <v>16.5</v>
      </c>
      <c r="I6" s="511" t="n">
        <v>3.2</v>
      </c>
      <c r="J6" s="511" t="inlineStr">
        <is>
          <t>vnstock 19:46 28/05/2026</t>
        </is>
      </c>
      <c r="K6" s="1024">
        <f>IF(A6='🎯 SÓI v42 — TRA CỨU &amp; DEEP DIV'!$C$4,"⭐ ĐANG XEM","")</f>
        <v/>
      </c>
    </row>
    <row r="7" ht="24" customHeight="1" s="981">
      <c r="A7" s="511" t="inlineStr">
        <is>
          <t>CTR</t>
        </is>
      </c>
      <c r="B7" s="511" t="inlineStr">
        <is>
          <t>Viettel Construction</t>
        </is>
      </c>
      <c r="C7" s="511" t="inlineStr">
        <is>
          <t>Hạ tầng</t>
        </is>
      </c>
      <c r="D7" s="512" t="n">
        <v>90000</v>
      </c>
      <c r="E7" s="511" t="n"/>
      <c r="F7" s="511" t="n"/>
      <c r="G7" s="511" t="n">
        <v>489500</v>
      </c>
      <c r="H7" s="511" t="n">
        <v>26.5</v>
      </c>
      <c r="I7" s="511" t="n">
        <v>4.5</v>
      </c>
      <c r="J7" s="511" t="inlineStr">
        <is>
          <t>vnstock 19:46 28/05/2026</t>
        </is>
      </c>
      <c r="K7" s="1024">
        <f>IF(A7='🎯 SÓI v42 — TRA CỨU &amp; DEEP DIV'!$C$4,"⭐ ĐANG XEM","")</f>
        <v/>
      </c>
    </row>
    <row r="8" ht="24" customHeight="1" s="981">
      <c r="A8" s="511" t="inlineStr">
        <is>
          <t>MWG</t>
        </is>
      </c>
      <c r="B8" s="511" t="inlineStr">
        <is>
          <t>Mobile World</t>
        </is>
      </c>
      <c r="C8" s="511" t="inlineStr">
        <is>
          <t>Bán lẻ</t>
        </is>
      </c>
      <c r="D8" s="512" t="n">
        <v>77700</v>
      </c>
      <c r="E8" s="511" t="n">
        <v>-100</v>
      </c>
      <c r="F8" s="511" t="n">
        <v>-0.13</v>
      </c>
      <c r="G8" s="511" t="n">
        <v>4026400</v>
      </c>
      <c r="H8" s="511" t="n">
        <v>17.3</v>
      </c>
      <c r="I8" s="511" t="n">
        <v>3.2</v>
      </c>
      <c r="J8" s="511" t="inlineStr">
        <is>
          <t>vnstock 19:46 28/05/2026</t>
        </is>
      </c>
      <c r="K8" s="1024">
        <f>IF(A8='🎯 SÓI v42 — TRA CỨU &amp; DEEP DIV'!$C$4,"⭐ ĐANG XEM","")</f>
        <v/>
      </c>
    </row>
    <row r="9" ht="24" customHeight="1" s="981">
      <c r="A9" s="511" t="inlineStr">
        <is>
          <t>HPG</t>
        </is>
      </c>
      <c r="B9" s="511" t="inlineStr">
        <is>
          <t>Hòa Phát</t>
        </is>
      </c>
      <c r="C9" s="511" t="inlineStr">
        <is>
          <t>Thép</t>
        </is>
      </c>
      <c r="D9" s="512" t="n">
        <v>24000</v>
      </c>
      <c r="E9" s="511" t="n">
        <v>-200</v>
      </c>
      <c r="F9" s="511" t="n">
        <v>-0.75</v>
      </c>
      <c r="G9" s="511" t="n">
        <v>15668300</v>
      </c>
      <c r="H9" s="511" t="n">
        <v>14.2</v>
      </c>
      <c r="I9" s="511" t="n">
        <v>1.6</v>
      </c>
      <c r="J9" s="511" t="inlineStr">
        <is>
          <t>vnstock 19:46 28/05/2026</t>
        </is>
      </c>
      <c r="K9" s="1024">
        <f>IF(A9='🎯 SÓI v42 — TRA CỨU &amp; DEEP DIV'!$C$4,"⭐ ĐANG XEM","")</f>
        <v/>
      </c>
    </row>
    <row r="10" ht="24" customHeight="1" s="981">
      <c r="A10" s="511" t="inlineStr">
        <is>
          <t>VNM</t>
        </is>
      </c>
      <c r="B10" s="511" t="inlineStr">
        <is>
          <t>Vinamilk</t>
        </is>
      </c>
      <c r="C10" s="511" t="inlineStr">
        <is>
          <t>Tiêu dùng</t>
        </is>
      </c>
      <c r="D10" s="512" t="n">
        <v>59000</v>
      </c>
      <c r="E10" s="511" t="n">
        <v>500</v>
      </c>
      <c r="F10" s="511" t="n">
        <v>0.85</v>
      </c>
      <c r="G10" s="511" t="n">
        <v>3798600</v>
      </c>
      <c r="H10" s="511" t="n">
        <v>14.6</v>
      </c>
      <c r="I10" s="511" t="n">
        <v>3.4</v>
      </c>
      <c r="J10" s="511" t="inlineStr">
        <is>
          <t>vnstock 19:46 28/05/2026</t>
        </is>
      </c>
      <c r="K10" s="1024">
        <f>IF(A10='🎯 SÓI v42 — TRA CỨU &amp; DEEP DIV'!$C$4,"⭐ ĐANG XEM","")</f>
        <v/>
      </c>
    </row>
    <row r="11" ht="24" customHeight="1" s="981">
      <c r="A11" s="511" t="inlineStr">
        <is>
          <t>VIX</t>
        </is>
      </c>
      <c r="B11" s="511" t="inlineStr">
        <is>
          <t>VIX Securities</t>
        </is>
      </c>
      <c r="C11" s="511" t="inlineStr">
        <is>
          <t>Chứng khoán</t>
        </is>
      </c>
      <c r="D11" s="512" t="n">
        <v>17600</v>
      </c>
      <c r="E11" s="511" t="n">
        <v>-550</v>
      </c>
      <c r="F11" s="511" t="n">
        <v>-2.88</v>
      </c>
      <c r="G11" s="511" t="n">
        <v>60299500</v>
      </c>
      <c r="H11" s="511" t="n">
        <v>17.5</v>
      </c>
      <c r="I11" s="511" t="n">
        <v>1.5</v>
      </c>
      <c r="J11" s="511" t="inlineStr">
        <is>
          <t>vnstock 19:46 28/05/2026</t>
        </is>
      </c>
      <c r="K11" s="1024">
        <f>IF(A11='🎯 SÓI v42 — TRA CỨU &amp; DEEP DIV'!$C$4,"⭐ ĐANG XEM","")</f>
        <v/>
      </c>
    </row>
    <row r="12" ht="18" customHeight="1" s="981">
      <c r="A12" s="513" t="inlineStr">
        <is>
          <t>BID</t>
        </is>
      </c>
      <c r="B12" s="514" t="inlineStr">
        <is>
          <t>BIDV</t>
        </is>
      </c>
      <c r="C12" s="514" t="inlineStr">
        <is>
          <t>Ngân hàng</t>
        </is>
      </c>
      <c r="D12" s="515" t="n">
        <v>43000</v>
      </c>
      <c r="E12" s="514" t="n">
        <v>-800</v>
      </c>
      <c r="F12" s="514" t="n">
        <v>-1.83</v>
      </c>
      <c r="G12" s="514" t="n">
        <v>6357600</v>
      </c>
      <c r="H12" s="514" t="n">
        <v>10.2</v>
      </c>
      <c r="I12" s="514" t="n">
        <v>2.1</v>
      </c>
      <c r="J12" s="514" t="inlineStr">
        <is>
          <t>🟢 LIVE 21:26 22/05/2026</t>
        </is>
      </c>
      <c r="K12" s="1024">
        <f>IF(A12='🎯 SÓI v42 — TRA CỨU &amp; DEEP DIV'!$C$4,"⭐ ĐANG XEM","")</f>
        <v/>
      </c>
    </row>
    <row r="13" ht="15" customHeight="1" s="981">
      <c r="A13" s="513" t="inlineStr">
        <is>
          <t>CTG</t>
        </is>
      </c>
      <c r="B13" s="513" t="inlineStr">
        <is>
          <t>VietinBank</t>
        </is>
      </c>
      <c r="C13" s="513" t="inlineStr">
        <is>
          <t>Ngân hàng</t>
        </is>
      </c>
      <c r="D13" s="516" t="n">
        <v>34800</v>
      </c>
      <c r="E13" s="513" t="n">
        <v>-150</v>
      </c>
      <c r="F13" s="513" t="n">
        <v>-0.43</v>
      </c>
      <c r="G13" s="513" t="n">
        <v>8751400</v>
      </c>
      <c r="H13" s="513" t="n">
        <v>9.5</v>
      </c>
      <c r="I13" s="513" t="n">
        <v>1.6</v>
      </c>
      <c r="J13" s="513" t="inlineStr">
        <is>
          <t>🟢 LIVE 21:26 22/05/2026</t>
        </is>
      </c>
      <c r="K13" s="1024">
        <f>IF(A13='🎯 SÓI v42 — TRA CỨU &amp; DEEP DIV'!$C$4,"⭐ ĐANG XEM","")</f>
        <v/>
      </c>
    </row>
    <row r="14" ht="15" customHeight="1" s="981">
      <c r="A14" s="513" t="inlineStr">
        <is>
          <t>TCB</t>
        </is>
      </c>
      <c r="B14" s="513" t="inlineStr">
        <is>
          <t>Techcombank</t>
        </is>
      </c>
      <c r="C14" s="513" t="inlineStr">
        <is>
          <t>Ngân hàng</t>
        </is>
      </c>
      <c r="D14" s="516" t="n">
        <v>32200</v>
      </c>
      <c r="E14" s="513" t="n">
        <v>-50</v>
      </c>
      <c r="F14" s="513" t="n">
        <v>-0.16</v>
      </c>
      <c r="G14" s="513" t="n">
        <v>7157000</v>
      </c>
      <c r="H14" s="513" t="n">
        <v>7.8</v>
      </c>
      <c r="I14" s="513" t="n">
        <v>1.25</v>
      </c>
      <c r="J14" s="513" t="inlineStr">
        <is>
          <t>🟢 LIVE 21:26 22/05/2026</t>
        </is>
      </c>
      <c r="K14" s="1024">
        <f>IF(A14='🎯 SÓI v42 — TRA CỨU &amp; DEEP DIV'!$C$4,"⭐ ĐANG XEM","")</f>
        <v/>
      </c>
    </row>
    <row r="15" ht="15" customHeight="1" s="981">
      <c r="A15" s="513" t="inlineStr">
        <is>
          <t>ACB</t>
        </is>
      </c>
      <c r="B15" s="513" t="inlineStr">
        <is>
          <t>ACB Bank</t>
        </is>
      </c>
      <c r="C15" s="513" t="inlineStr">
        <is>
          <t>Ngân hàng</t>
        </is>
      </c>
      <c r="D15" s="516" t="n">
        <v>22850</v>
      </c>
      <c r="E15" s="513" t="n">
        <v>50</v>
      </c>
      <c r="F15" s="513" t="n">
        <v>0.22</v>
      </c>
      <c r="G15" s="513" t="n">
        <v>10675400</v>
      </c>
      <c r="H15" s="513" t="n">
        <v>6.8</v>
      </c>
      <c r="I15" s="513" t="n">
        <v>1.55</v>
      </c>
      <c r="J15" s="513" t="inlineStr">
        <is>
          <t>🟢 LIVE 21:26 22/05/2026</t>
        </is>
      </c>
      <c r="K15" s="1024">
        <f>IF(A15='🎯 SÓI v42 — TRA CỨU &amp; DEEP DIV'!$C$4,"⭐ ĐANG XEM","")</f>
        <v/>
      </c>
    </row>
    <row r="16" ht="15" customHeight="1" s="981">
      <c r="A16" s="513" t="inlineStr">
        <is>
          <t>VPB</t>
        </is>
      </c>
      <c r="B16" s="513" t="inlineStr">
        <is>
          <t>VPBank</t>
        </is>
      </c>
      <c r="C16" s="513" t="inlineStr">
        <is>
          <t>Ngân hàng</t>
        </is>
      </c>
      <c r="D16" s="516" t="n">
        <v>26800</v>
      </c>
      <c r="E16" s="513" t="n">
        <v>-200</v>
      </c>
      <c r="F16" s="513" t="n">
        <v>-0.74</v>
      </c>
      <c r="G16" s="513" t="n">
        <v>7815500</v>
      </c>
      <c r="H16" s="513" t="n">
        <v>9.199999999999999</v>
      </c>
      <c r="I16" s="513" t="n">
        <v>1.4</v>
      </c>
      <c r="J16" s="513" t="inlineStr">
        <is>
          <t>🟢 LIVE 21:26 22/05/2026</t>
        </is>
      </c>
      <c r="K16" s="1024">
        <f>IF(A16='🎯 SÓI v42 — TRA CỨU &amp; DEEP DIV'!$C$4,"⭐ ĐANG XEM","")</f>
        <v/>
      </c>
    </row>
    <row r="17" ht="15" customHeight="1" s="981">
      <c r="A17" s="513" t="inlineStr">
        <is>
          <t>HDB</t>
        </is>
      </c>
      <c r="B17" s="513" t="inlineStr">
        <is>
          <t>HDBank</t>
        </is>
      </c>
      <c r="C17" s="513" t="inlineStr">
        <is>
          <t>Ngân hàng</t>
        </is>
      </c>
      <c r="D17" s="516" t="n">
        <v>25850</v>
      </c>
      <c r="E17" s="513" t="n">
        <v>0</v>
      </c>
      <c r="F17" s="513" t="n">
        <v>0</v>
      </c>
      <c r="G17" s="513" t="n">
        <v>7651700</v>
      </c>
      <c r="H17" s="513" t="n">
        <v>6.4</v>
      </c>
      <c r="I17" s="513" t="n">
        <v>1.5</v>
      </c>
      <c r="J17" s="513" t="inlineStr">
        <is>
          <t>🟢 LIVE 21:26 22/05/2026</t>
        </is>
      </c>
      <c r="K17" s="1024">
        <f>IF(A17='🎯 SÓI v42 — TRA CỨU &amp; DEEP DIV'!$C$4,"⭐ ĐANG XEM","")</f>
        <v/>
      </c>
    </row>
    <row r="18" ht="37.5" customHeight="1" s="981">
      <c r="A18" s="513" t="inlineStr">
        <is>
          <t>STB</t>
        </is>
      </c>
      <c r="B18" s="513" t="inlineStr">
        <is>
          <t>Sacombank</t>
        </is>
      </c>
      <c r="C18" s="513" t="inlineStr">
        <is>
          <t>Ngân hàng</t>
        </is>
      </c>
      <c r="D18" s="516" t="n">
        <v>71200</v>
      </c>
      <c r="E18" s="513" t="n">
        <v>400</v>
      </c>
      <c r="F18" s="513" t="n">
        <v>0.5600000000000001</v>
      </c>
      <c r="G18" s="513" t="n">
        <v>4564100</v>
      </c>
      <c r="H18" s="513" t="n">
        <v>8.6</v>
      </c>
      <c r="I18" s="513" t="n">
        <v>1.2</v>
      </c>
      <c r="J18" s="513" t="inlineStr">
        <is>
          <t>🟢 LIVE 21:26 22/05/2026</t>
        </is>
      </c>
      <c r="K18" s="1024">
        <f>IF(A18='🎯 SÓI v42 — TRA CỨU &amp; DEEP DIV'!$C$4,"⭐ ĐANG XEM","")</f>
        <v/>
      </c>
    </row>
    <row r="19" ht="37.5" customHeight="1" s="981">
      <c r="A19" s="513" t="inlineStr">
        <is>
          <t>VIB</t>
        </is>
      </c>
      <c r="B19" s="513" t="inlineStr">
        <is>
          <t>VIB Bank</t>
        </is>
      </c>
      <c r="C19" s="513" t="inlineStr">
        <is>
          <t>Ngân hàng</t>
        </is>
      </c>
      <c r="D19" s="516" t="n">
        <v>15700</v>
      </c>
      <c r="E19" s="513" t="n">
        <v>-200</v>
      </c>
      <c r="F19" s="513" t="n">
        <v>-1.26</v>
      </c>
      <c r="G19" s="513" t="n">
        <v>2513700</v>
      </c>
      <c r="H19" s="513" t="n">
        <v>5.9</v>
      </c>
      <c r="I19" s="513" t="n">
        <v>1.4</v>
      </c>
      <c r="J19" s="513" t="inlineStr">
        <is>
          <t>🟢 LIVE 21:26 22/05/2026</t>
        </is>
      </c>
      <c r="K19" s="1024">
        <f>IF(A19='🎯 SÓI v42 — TRA CỨU &amp; DEEP DIV'!$C$4,"⭐ ĐANG XEM","")</f>
        <v/>
      </c>
    </row>
    <row r="20" ht="37.5" customHeight="1" s="981">
      <c r="A20" s="513" t="inlineStr">
        <is>
          <t>TPB</t>
        </is>
      </c>
      <c r="B20" s="513" t="inlineStr">
        <is>
          <t>TPBank</t>
        </is>
      </c>
      <c r="C20" s="513" t="inlineStr">
        <is>
          <t>Ngân hàng</t>
        </is>
      </c>
      <c r="D20" s="516" t="n">
        <v>15550</v>
      </c>
      <c r="E20" s="513" t="n">
        <v>-50</v>
      </c>
      <c r="F20" s="513" t="n">
        <v>-0.32</v>
      </c>
      <c r="G20" s="513" t="n">
        <v>4716400</v>
      </c>
      <c r="H20" s="513" t="n">
        <v>7.2</v>
      </c>
      <c r="I20" s="513" t="n">
        <v>1.3</v>
      </c>
      <c r="J20" s="513" t="inlineStr">
        <is>
          <t>🟢 LIVE 21:26 22/05/2026</t>
        </is>
      </c>
      <c r="K20" s="1024">
        <f>IF(A20='🎯 SÓI v42 — TRA CỨU &amp; DEEP DIV'!$C$4,"⭐ ĐANG XEM","")</f>
        <v/>
      </c>
    </row>
    <row r="21" ht="15" customHeight="1" s="981">
      <c r="A21" s="514" t="inlineStr">
        <is>
          <t>SHB</t>
        </is>
      </c>
      <c r="B21" s="514" t="inlineStr">
        <is>
          <t>SHB</t>
        </is>
      </c>
      <c r="C21" s="514" t="inlineStr">
        <is>
          <t>Ngân hàng</t>
        </is>
      </c>
      <c r="D21" s="515" t="n">
        <v>13550</v>
      </c>
      <c r="E21" s="514" t="n">
        <v>-50</v>
      </c>
      <c r="F21" s="514" t="n">
        <v>-0.37</v>
      </c>
      <c r="G21" s="514" t="n">
        <v>41369900</v>
      </c>
      <c r="H21" s="514" t="n">
        <v>5.2</v>
      </c>
      <c r="I21" s="514" t="n">
        <v>0.95</v>
      </c>
      <c r="J21" s="514" t="inlineStr">
        <is>
          <t>🟢 LIVE 21:26 22/05/2026</t>
        </is>
      </c>
      <c r="K21" s="1024">
        <f>IF(A21='🎯 SÓI v42 — TRA CỨU &amp; DEEP DIV'!$C$4,"⭐ ĐANG XEM","")</f>
        <v/>
      </c>
    </row>
    <row r="22" ht="15" customHeight="1" s="981">
      <c r="A22" s="514" t="inlineStr">
        <is>
          <t>EIB</t>
        </is>
      </c>
      <c r="B22" s="514" t="inlineStr">
        <is>
          <t>Eximbank</t>
        </is>
      </c>
      <c r="C22" s="514" t="inlineStr">
        <is>
          <t>Ngân hàng</t>
        </is>
      </c>
      <c r="D22" s="515" t="n">
        <v>21200</v>
      </c>
      <c r="E22" s="514" t="n">
        <v>-200</v>
      </c>
      <c r="F22" s="514" t="n">
        <v>-0.93</v>
      </c>
      <c r="G22" s="514" t="n">
        <v>5693300</v>
      </c>
      <c r="H22" s="514" t="n">
        <v>12.4</v>
      </c>
      <c r="I22" s="514" t="n">
        <v>1.5</v>
      </c>
      <c r="J22" s="514" t="inlineStr">
        <is>
          <t>🟢 LIVE 21:26 22/05/2026</t>
        </is>
      </c>
      <c r="K22" s="1024">
        <f>IF(A22='🎯 SÓI v42 — TRA CỨU &amp; DEEP DIV'!$C$4,"⭐ ĐANG XEM","")</f>
        <v/>
      </c>
    </row>
    <row r="23" ht="15" customHeight="1" s="981">
      <c r="A23" s="514" t="inlineStr">
        <is>
          <t>MSB</t>
        </is>
      </c>
      <c r="B23" s="514" t="inlineStr">
        <is>
          <t>MSB Bank</t>
        </is>
      </c>
      <c r="C23" s="514" t="inlineStr">
        <is>
          <t>Ngân hàng</t>
        </is>
      </c>
      <c r="D23" s="515" t="n">
        <v>14400</v>
      </c>
      <c r="E23" s="514" t="n">
        <v>-50</v>
      </c>
      <c r="F23" s="514" t="n">
        <v>-0.35</v>
      </c>
      <c r="G23" s="514" t="n">
        <v>17598200</v>
      </c>
      <c r="H23" s="514" t="n">
        <v>5.7</v>
      </c>
      <c r="I23" s="514" t="n">
        <v>0.95</v>
      </c>
      <c r="J23" s="514" t="inlineStr">
        <is>
          <t>🟢 LIVE 21:26 22/05/2026</t>
        </is>
      </c>
      <c r="K23" s="1024">
        <f>IF(A23='🎯 SÓI v42 — TRA CỨU &amp; DEEP DIV'!$C$4,"⭐ ĐANG XEM","")</f>
        <v/>
      </c>
    </row>
    <row r="24" ht="15" customHeight="1" s="981">
      <c r="A24" s="514" t="inlineStr">
        <is>
          <t>OCB</t>
        </is>
      </c>
      <c r="B24" s="514" t="inlineStr">
        <is>
          <t>OCB Bank</t>
        </is>
      </c>
      <c r="C24" s="514" t="inlineStr">
        <is>
          <t>Ngân hàng</t>
        </is>
      </c>
      <c r="D24" s="515" t="n">
        <v>11100</v>
      </c>
      <c r="E24" s="514" t="n">
        <v>50</v>
      </c>
      <c r="F24" s="514" t="n">
        <v>0.45</v>
      </c>
      <c r="G24" s="514" t="n">
        <v>970800</v>
      </c>
      <c r="H24" s="514" t="n">
        <v>7.5</v>
      </c>
      <c r="I24" s="514" t="n">
        <v>1</v>
      </c>
      <c r="J24" s="514" t="inlineStr">
        <is>
          <t>🟢 LIVE 21:26 22/05/2026</t>
        </is>
      </c>
      <c r="K24" s="1024">
        <f>IF(A24='🎯 SÓI v42 — TRA CỨU &amp; DEEP DIV'!$C$4,"⭐ ĐANG XEM","")</f>
        <v/>
      </c>
    </row>
    <row r="25" ht="15" customHeight="1" s="981">
      <c r="A25" s="514" t="inlineStr">
        <is>
          <t>LPB</t>
        </is>
      </c>
      <c r="B25" s="514" t="inlineStr">
        <is>
          <t>LienVietPostBank</t>
        </is>
      </c>
      <c r="C25" s="514" t="inlineStr">
        <is>
          <t>Ngân hàng</t>
        </is>
      </c>
      <c r="D25" s="515" t="n">
        <v>53200</v>
      </c>
      <c r="E25" s="514" t="n">
        <v>0</v>
      </c>
      <c r="F25" s="514" t="n">
        <v>0</v>
      </c>
      <c r="G25" s="514" t="n">
        <v>565600</v>
      </c>
      <c r="H25" s="514" t="n">
        <v>6.8</v>
      </c>
      <c r="I25" s="514" t="n">
        <v>1.5</v>
      </c>
      <c r="J25" s="514" t="inlineStr">
        <is>
          <t>🟢 LIVE 21:26 22/05/2026</t>
        </is>
      </c>
      <c r="K25" s="1024">
        <f>IF(A25='🎯 SÓI v42 — TRA CỨU &amp; DEEP DIV'!$C$4,"⭐ ĐANG XEM","")</f>
        <v/>
      </c>
    </row>
    <row r="26" ht="15" customHeight="1" s="981">
      <c r="A26" s="514" t="inlineStr">
        <is>
          <t>VIC</t>
        </is>
      </c>
      <c r="B26" s="514" t="inlineStr">
        <is>
          <t>Vingroup</t>
        </is>
      </c>
      <c r="C26" s="514" t="inlineStr">
        <is>
          <t>Bất động sản</t>
        </is>
      </c>
      <c r="D26" s="515" t="n">
        <v>216500</v>
      </c>
      <c r="E26" s="514" t="n">
        <v>-2200</v>
      </c>
      <c r="F26" s="514" t="n">
        <v>-1.01</v>
      </c>
      <c r="G26" s="514" t="n">
        <v>4167600</v>
      </c>
      <c r="H26" s="514" t="n">
        <v>28.4</v>
      </c>
      <c r="I26" s="514" t="n">
        <v>1.2</v>
      </c>
      <c r="J26" s="514" t="inlineStr">
        <is>
          <t>🟢 LIVE 21:26 22/05/2026</t>
        </is>
      </c>
      <c r="K26" s="1024">
        <f>IF(A26='🎯 SÓI v42 — TRA CỨU &amp; DEEP DIV'!$C$4,"⭐ ĐANG XEM","")</f>
        <v/>
      </c>
    </row>
    <row r="27" ht="15" customHeight="1" s="981">
      <c r="A27" s="514" t="inlineStr">
        <is>
          <t>VHM</t>
        </is>
      </c>
      <c r="B27" s="514" t="inlineStr">
        <is>
          <t>Vinhomes</t>
        </is>
      </c>
      <c r="C27" s="514" t="inlineStr">
        <is>
          <t>Bất động sản</t>
        </is>
      </c>
      <c r="D27" s="515" t="n">
        <v>153800</v>
      </c>
      <c r="E27" s="514" t="n">
        <v>-6000</v>
      </c>
      <c r="F27" s="514" t="n">
        <v>-3.75</v>
      </c>
      <c r="G27" s="514" t="n">
        <v>6965000</v>
      </c>
      <c r="H27" s="514" t="n">
        <v>12.3</v>
      </c>
      <c r="I27" s="514" t="n">
        <v>0.95</v>
      </c>
      <c r="J27" s="514" t="inlineStr">
        <is>
          <t>🟢 LIVE 21:26 22/05/2026</t>
        </is>
      </c>
      <c r="K27" s="1024">
        <f>IF(A27='🎯 SÓI v42 — TRA CỨU &amp; DEEP DIV'!$C$4,"⭐ ĐANG XEM","")</f>
        <v/>
      </c>
    </row>
    <row r="28" ht="15" customHeight="1" s="981">
      <c r="A28" s="514" t="inlineStr">
        <is>
          <t>VRE</t>
        </is>
      </c>
      <c r="B28" s="514" t="inlineStr">
        <is>
          <t>Vincom Retail</t>
        </is>
      </c>
      <c r="C28" s="514" t="inlineStr">
        <is>
          <t>Bất động sản</t>
        </is>
      </c>
      <c r="D28" s="515" t="n">
        <v>31700</v>
      </c>
      <c r="E28" s="514" t="n">
        <v>-1100</v>
      </c>
      <c r="F28" s="514" t="n">
        <v>-3.35</v>
      </c>
      <c r="G28" s="514" t="n">
        <v>7363200</v>
      </c>
      <c r="H28" s="514" t="n">
        <v>15.6</v>
      </c>
      <c r="I28" s="514" t="n">
        <v>1.3</v>
      </c>
      <c r="J28" s="514" t="inlineStr">
        <is>
          <t>🟢 LIVE 21:26 22/05/2026</t>
        </is>
      </c>
      <c r="K28" s="1024">
        <f>IF(A28='🎯 SÓI v42 — TRA CỨU &amp; DEEP DIV'!$C$4,"⭐ ĐANG XEM","")</f>
        <v/>
      </c>
    </row>
    <row r="29" ht="15" customHeight="1" s="981">
      <c r="A29" s="514" t="inlineStr">
        <is>
          <t>NVL</t>
        </is>
      </c>
      <c r="B29" s="514" t="inlineStr">
        <is>
          <t>Novaland</t>
        </is>
      </c>
      <c r="C29" s="514" t="inlineStr">
        <is>
          <t>Bất động sản</t>
        </is>
      </c>
      <c r="D29" s="515" t="n">
        <v>15500</v>
      </c>
      <c r="E29" s="514" t="n">
        <v>200</v>
      </c>
      <c r="F29" s="514" t="n">
        <v>1.31</v>
      </c>
      <c r="G29" s="514" t="n">
        <v>13227600</v>
      </c>
      <c r="H29" s="514" t="n"/>
      <c r="I29" s="514" t="n">
        <v>0.5</v>
      </c>
      <c r="J29" s="514" t="inlineStr">
        <is>
          <t>🟢 LIVE 21:26 22/05/2026</t>
        </is>
      </c>
      <c r="K29" s="1024">
        <f>IF(A29='🎯 SÓI v42 — TRA CỨU &amp; DEEP DIV'!$C$4,"⭐ ĐANG XEM","")</f>
        <v/>
      </c>
    </row>
    <row r="30" ht="15" customHeight="1" s="981">
      <c r="A30" s="514" t="inlineStr">
        <is>
          <t>PDR</t>
        </is>
      </c>
      <c r="B30" s="514" t="inlineStr">
        <is>
          <t>Phát Đạt</t>
        </is>
      </c>
      <c r="C30" s="514" t="inlineStr">
        <is>
          <t>Bất động sản</t>
        </is>
      </c>
      <c r="D30" s="515" t="n">
        <v>15800</v>
      </c>
      <c r="E30" s="514" t="n">
        <v>-250</v>
      </c>
      <c r="F30" s="514" t="n">
        <v>-1.56</v>
      </c>
      <c r="G30" s="514" t="n">
        <v>9864600</v>
      </c>
      <c r="H30" s="514" t="n">
        <v>22.5</v>
      </c>
      <c r="I30" s="514" t="n">
        <v>1.5</v>
      </c>
      <c r="J30" s="514" t="inlineStr">
        <is>
          <t>🟢 LIVE 21:26 22/05/2026</t>
        </is>
      </c>
      <c r="K30" s="1024">
        <f>IF(A30='🎯 SÓI v42 — TRA CỨU &amp; DEEP DIV'!$C$4,"⭐ ĐANG XEM","")</f>
        <v/>
      </c>
    </row>
    <row r="31" ht="15" customHeight="1" s="981">
      <c r="A31" s="514" t="inlineStr">
        <is>
          <t>DXG</t>
        </is>
      </c>
      <c r="B31" s="514" t="inlineStr">
        <is>
          <t>Đất Xanh</t>
        </is>
      </c>
      <c r="C31" s="514" t="inlineStr">
        <is>
          <t>Bất động sản</t>
        </is>
      </c>
      <c r="D31" s="515" t="n">
        <v>14750</v>
      </c>
      <c r="E31" s="514" t="n">
        <v>200</v>
      </c>
      <c r="F31" s="514" t="n">
        <v>1.37</v>
      </c>
      <c r="G31" s="514" t="n">
        <v>11876700</v>
      </c>
      <c r="H31" s="514" t="n">
        <v>24.7</v>
      </c>
      <c r="I31" s="514" t="n">
        <v>1.1</v>
      </c>
      <c r="J31" s="514" t="inlineStr">
        <is>
          <t>🟢 LIVE 21:26 22/05/2026</t>
        </is>
      </c>
      <c r="K31" s="1024">
        <f>IF(A31='🎯 SÓI v42 — TRA CỨU &amp; DEEP DIV'!$C$4,"⭐ ĐANG XEM","")</f>
        <v/>
      </c>
    </row>
    <row r="32" ht="15" customHeight="1" s="981">
      <c r="A32" s="514" t="inlineStr">
        <is>
          <t>KDH</t>
        </is>
      </c>
      <c r="B32" s="514" t="inlineStr">
        <is>
          <t>Khang Điền</t>
        </is>
      </c>
      <c r="C32" s="514" t="inlineStr">
        <is>
          <t>Bất động sản</t>
        </is>
      </c>
      <c r="D32" s="515" t="n">
        <v>22200</v>
      </c>
      <c r="E32" s="514" t="n">
        <v>-150</v>
      </c>
      <c r="F32" s="514" t="n">
        <v>-0.67</v>
      </c>
      <c r="G32" s="514" t="n">
        <v>4640100</v>
      </c>
      <c r="H32" s="514" t="n">
        <v>17.2</v>
      </c>
      <c r="I32" s="514" t="n">
        <v>1.5</v>
      </c>
      <c r="J32" s="514" t="inlineStr">
        <is>
          <t>🟢 LIVE 21:26 22/05/2026</t>
        </is>
      </c>
      <c r="K32" s="1024">
        <f>IF(A32='🎯 SÓI v42 — TRA CỨU &amp; DEEP DIV'!$C$4,"⭐ ĐANG XEM","")</f>
        <v/>
      </c>
    </row>
    <row r="33" ht="15" customHeight="1" s="981">
      <c r="A33" s="514" t="inlineStr">
        <is>
          <t>NLG</t>
        </is>
      </c>
      <c r="B33" s="514" t="inlineStr">
        <is>
          <t>Nam Long</t>
        </is>
      </c>
      <c r="C33" s="514" t="inlineStr">
        <is>
          <t>Bất động sản</t>
        </is>
      </c>
      <c r="D33" s="515" t="n">
        <v>25500</v>
      </c>
      <c r="E33" s="514" t="n">
        <v>250</v>
      </c>
      <c r="F33" s="514" t="n">
        <v>0.99</v>
      </c>
      <c r="G33" s="514" t="n">
        <v>1772800</v>
      </c>
      <c r="H33" s="514" t="n">
        <v>22.5</v>
      </c>
      <c r="I33" s="514" t="n">
        <v>1.4</v>
      </c>
      <c r="J33" s="514" t="inlineStr">
        <is>
          <t>🟢 LIVE 21:26 22/05/2026</t>
        </is>
      </c>
      <c r="K33" s="1024">
        <f>IF(A33='🎯 SÓI v42 — TRA CỨU &amp; DEEP DIV'!$C$4,"⭐ ĐANG XEM","")</f>
        <v/>
      </c>
    </row>
    <row r="34" ht="15" customHeight="1" s="981">
      <c r="A34" s="514" t="inlineStr">
        <is>
          <t>HDG</t>
        </is>
      </c>
      <c r="B34" s="514" t="inlineStr">
        <is>
          <t>Hà Đô</t>
        </is>
      </c>
      <c r="C34" s="514" t="inlineStr">
        <is>
          <t>Bất động sản</t>
        </is>
      </c>
      <c r="D34" s="515" t="n">
        <v>23800</v>
      </c>
      <c r="E34" s="514" t="n"/>
      <c r="F34" s="514" t="n"/>
      <c r="G34" s="514" t="n"/>
      <c r="H34" s="514" t="n">
        <v>12.5</v>
      </c>
      <c r="I34" s="514" t="n">
        <v>1.3</v>
      </c>
      <c r="J34" s="514" t="inlineStr">
        <is>
          <t>vnstock 19:52 28/05/2026</t>
        </is>
      </c>
      <c r="K34" s="1024">
        <f>IF(A34='🎯 SÓI v42 — TRA CỨU &amp; DEEP DIV'!$C$4,"⭐ ĐANG XEM","")</f>
        <v/>
      </c>
    </row>
    <row r="35" ht="15" customHeight="1" s="981">
      <c r="A35" s="514" t="inlineStr">
        <is>
          <t>IJC</t>
        </is>
      </c>
      <c r="B35" s="514" t="inlineStr">
        <is>
          <t>Becamex IJC</t>
        </is>
      </c>
      <c r="C35" s="514" t="inlineStr">
        <is>
          <t>Bất động sản</t>
        </is>
      </c>
      <c r="D35" s="515" t="n">
        <v>9730</v>
      </c>
      <c r="E35" s="514" t="n">
        <v>120</v>
      </c>
      <c r="F35" s="514" t="n">
        <v>1.25</v>
      </c>
      <c r="G35" s="514" t="n">
        <v>2972000</v>
      </c>
      <c r="H35" s="514" t="n">
        <v>13.6</v>
      </c>
      <c r="I35" s="514" t="n">
        <v>1.1</v>
      </c>
      <c r="J35" s="514" t="inlineStr">
        <is>
          <t>🟢 LIVE 21:26 22/05/2026</t>
        </is>
      </c>
      <c r="K35" s="1024">
        <f>IF(A35='🎯 SÓI v42 — TRA CỨU &amp; DEEP DIV'!$C$4,"⭐ ĐANG XEM","")</f>
        <v/>
      </c>
    </row>
    <row r="36" ht="15" customHeight="1" s="981">
      <c r="A36" s="514" t="inlineStr">
        <is>
          <t>MSN</t>
        </is>
      </c>
      <c r="B36" s="514" t="inlineStr">
        <is>
          <t>Masan Group</t>
        </is>
      </c>
      <c r="C36" s="514" t="inlineStr">
        <is>
          <t>Tiêu dùng</t>
        </is>
      </c>
      <c r="D36" s="515" t="n">
        <v>76000</v>
      </c>
      <c r="E36" s="514" t="n">
        <v>-200</v>
      </c>
      <c r="F36" s="514" t="n">
        <v>-0.26</v>
      </c>
      <c r="G36" s="514" t="n">
        <v>2603200</v>
      </c>
      <c r="H36" s="514" t="n">
        <v>32.5</v>
      </c>
      <c r="I36" s="514" t="n">
        <v>2</v>
      </c>
      <c r="J36" s="514" t="inlineStr">
        <is>
          <t>🟢 LIVE 21:26 22/05/2026</t>
        </is>
      </c>
      <c r="K36" s="1024">
        <f>IF(A36='🎯 SÓI v42 — TRA CỨU &amp; DEEP DIV'!$C$4,"⭐ ĐANG XEM","")</f>
        <v/>
      </c>
    </row>
    <row r="37" ht="15" customHeight="1" s="981">
      <c r="A37" s="514" t="inlineStr">
        <is>
          <t>SAB</t>
        </is>
      </c>
      <c r="B37" s="514" t="inlineStr">
        <is>
          <t>Sabeco</t>
        </is>
      </c>
      <c r="C37" s="514" t="inlineStr">
        <is>
          <t>Tiêu dùng</t>
        </is>
      </c>
      <c r="D37" s="515" t="n">
        <v>48100</v>
      </c>
      <c r="E37" s="514" t="n">
        <v>100</v>
      </c>
      <c r="F37" s="514" t="n">
        <v>0.21</v>
      </c>
      <c r="G37" s="514" t="n">
        <v>917600</v>
      </c>
      <c r="H37" s="514" t="n">
        <v>21.4</v>
      </c>
      <c r="I37" s="514" t="n">
        <v>3.5</v>
      </c>
      <c r="J37" s="514" t="inlineStr">
        <is>
          <t>🟢 LIVE 21:26 22/05/2026</t>
        </is>
      </c>
      <c r="K37" s="1024">
        <f>IF(A37='🎯 SÓI v42 — TRA CỨU &amp; DEEP DIV'!$C$4,"⭐ ĐANG XEM","")</f>
        <v/>
      </c>
    </row>
    <row r="38" ht="15" customHeight="1" s="981">
      <c r="A38" s="514" t="inlineStr">
        <is>
          <t>PNJ</t>
        </is>
      </c>
      <c r="B38" s="514" t="inlineStr">
        <is>
          <t>PNJ Vàng</t>
        </is>
      </c>
      <c r="C38" s="514" t="inlineStr">
        <is>
          <t>Trang sức</t>
        </is>
      </c>
      <c r="D38" s="515" t="n">
        <v>65500</v>
      </c>
      <c r="E38" s="514" t="n">
        <v>200</v>
      </c>
      <c r="F38" s="514" t="n">
        <v>0.31</v>
      </c>
      <c r="G38" s="514" t="n">
        <v>952100</v>
      </c>
      <c r="H38" s="514" t="n">
        <v>16.8</v>
      </c>
      <c r="I38" s="514" t="n">
        <v>3.6</v>
      </c>
      <c r="J38" s="514" t="inlineStr">
        <is>
          <t>🟢 LIVE 21:26 22/05/2026</t>
        </is>
      </c>
      <c r="K38" s="1024">
        <f>IF(A38='🎯 SÓI v42 — TRA CỨU &amp; DEEP DIV'!$C$4,"⭐ ĐANG XEM","")</f>
        <v/>
      </c>
    </row>
    <row r="39" ht="15" customHeight="1" s="981">
      <c r="A39" s="514" t="inlineStr">
        <is>
          <t>DGW</t>
        </is>
      </c>
      <c r="B39" s="514" t="inlineStr">
        <is>
          <t>Digiworld</t>
        </is>
      </c>
      <c r="C39" s="514" t="inlineStr">
        <is>
          <t>Phân phối CN</t>
        </is>
      </c>
      <c r="D39" s="515" t="n">
        <v>41250</v>
      </c>
      <c r="E39" s="514" t="n">
        <v>-450</v>
      </c>
      <c r="F39" s="514" t="n">
        <v>-1.08</v>
      </c>
      <c r="G39" s="514" t="n">
        <v>866100</v>
      </c>
      <c r="H39" s="514" t="n">
        <v>14.5</v>
      </c>
      <c r="I39" s="514" t="n">
        <v>2.2</v>
      </c>
      <c r="J39" s="514" t="inlineStr">
        <is>
          <t>🟢 LIVE 21:26 22/05/2026</t>
        </is>
      </c>
      <c r="K39" s="1024">
        <f>IF(A39='🎯 SÓI v42 — TRA CỨU &amp; DEEP DIV'!$C$4,"⭐ ĐANG XEM","")</f>
        <v/>
      </c>
    </row>
    <row r="40" ht="15" customHeight="1" s="981">
      <c r="A40" s="514" t="inlineStr">
        <is>
          <t>FRT</t>
        </is>
      </c>
      <c r="B40" s="514" t="inlineStr">
        <is>
          <t>FPT Retail</t>
        </is>
      </c>
      <c r="C40" s="514" t="inlineStr">
        <is>
          <t>Bán lẻ</t>
        </is>
      </c>
      <c r="D40" s="515" t="n">
        <v>129300</v>
      </c>
      <c r="E40" s="514" t="n">
        <v>-2100</v>
      </c>
      <c r="F40" s="514" t="n">
        <v>-1.6</v>
      </c>
      <c r="G40" s="514" t="n">
        <v>213800</v>
      </c>
      <c r="H40" s="514" t="n">
        <v>24.6</v>
      </c>
      <c r="I40" s="514" t="n">
        <v>3.4</v>
      </c>
      <c r="J40" s="514" t="inlineStr">
        <is>
          <t>🟢 LIVE 21:26 22/05/2026</t>
        </is>
      </c>
      <c r="K40" s="1024">
        <f>IF(A40='🎯 SÓI v42 — TRA CỨU &amp; DEEP DIV'!$C$4,"⭐ ĐANG XEM","")</f>
        <v/>
      </c>
    </row>
    <row r="41" ht="15" customHeight="1" s="981">
      <c r="A41" s="514" t="inlineStr">
        <is>
          <t>VHC</t>
        </is>
      </c>
      <c r="B41" s="514" t="inlineStr">
        <is>
          <t>Vĩnh Hoàn</t>
        </is>
      </c>
      <c r="C41" s="514" t="inlineStr">
        <is>
          <t>Thủy sản</t>
        </is>
      </c>
      <c r="D41" s="515" t="n">
        <v>59000</v>
      </c>
      <c r="E41" s="514" t="n">
        <v>200</v>
      </c>
      <c r="F41" s="514" t="n">
        <v>0.34</v>
      </c>
      <c r="G41" s="514" t="n">
        <v>158700</v>
      </c>
      <c r="H41" s="514" t="n">
        <v>9.300000000000001</v>
      </c>
      <c r="I41" s="514" t="n">
        <v>1.4</v>
      </c>
      <c r="J41" s="514" t="inlineStr">
        <is>
          <t>🟢 LIVE 21:26 22/05/2026</t>
        </is>
      </c>
      <c r="K41" s="1024">
        <f>IF(A41='🎯 SÓI v42 — TRA CỨU &amp; DEEP DIV'!$C$4,"⭐ ĐANG XEM","")</f>
        <v/>
      </c>
    </row>
    <row r="42" ht="15" customHeight="1" s="981">
      <c r="A42" s="514" t="inlineStr">
        <is>
          <t>ANV</t>
        </is>
      </c>
      <c r="B42" s="514" t="inlineStr">
        <is>
          <t>Nam Việt</t>
        </is>
      </c>
      <c r="C42" s="514" t="inlineStr">
        <is>
          <t>Thực phẩm</t>
        </is>
      </c>
      <c r="D42" s="515" t="n">
        <v>22350</v>
      </c>
      <c r="E42" s="514" t="n">
        <v>-150</v>
      </c>
      <c r="F42" s="514" t="n">
        <v>-0.67</v>
      </c>
      <c r="G42" s="514" t="n">
        <v>394000</v>
      </c>
      <c r="H42" s="514" t="n">
        <v>12.5</v>
      </c>
      <c r="I42" s="514" t="n">
        <v>1.1</v>
      </c>
      <c r="J42" s="514" t="inlineStr">
        <is>
          <t>🟢 LIVE 21:26 22/05/2026</t>
        </is>
      </c>
      <c r="K42" s="1024">
        <f>IF(A42='🎯 SÓI v42 — TRA CỨU &amp; DEEP DIV'!$C$4,"⭐ ĐANG XEM","")</f>
        <v/>
      </c>
    </row>
    <row r="43" ht="15" customHeight="1" s="981">
      <c r="A43" s="514" t="inlineStr">
        <is>
          <t>MML</t>
        </is>
      </c>
      <c r="B43" s="514" t="inlineStr">
        <is>
          <t>Masan MeatLife</t>
        </is>
      </c>
      <c r="C43" s="514" t="inlineStr">
        <is>
          <t>Thực phẩm</t>
        </is>
      </c>
      <c r="D43" s="515" t="n">
        <v>30800</v>
      </c>
      <c r="E43" s="514" t="n">
        <v>-100</v>
      </c>
      <c r="F43" s="514" t="n">
        <v>-0.32</v>
      </c>
      <c r="G43" s="514" t="n">
        <v>28300</v>
      </c>
      <c r="H43" s="514" t="n">
        <v>18.5</v>
      </c>
      <c r="I43" s="514" t="n">
        <v>2.1</v>
      </c>
      <c r="J43" s="514" t="inlineStr">
        <is>
          <t>🟢 LIVE 21:26 22/05/2026</t>
        </is>
      </c>
      <c r="K43" s="1024">
        <f>IF(A43='🎯 SÓI v42 — TRA CỨU &amp; DEEP DIV'!$C$4,"⭐ ĐANG XEM","")</f>
        <v/>
      </c>
    </row>
    <row r="44" ht="15" customHeight="1" s="981">
      <c r="A44" s="514" t="inlineStr">
        <is>
          <t>KDC</t>
        </is>
      </c>
      <c r="B44" s="514" t="inlineStr">
        <is>
          <t>Kido</t>
        </is>
      </c>
      <c r="C44" s="514" t="inlineStr">
        <is>
          <t>Thực phẩm</t>
        </is>
      </c>
      <c r="D44" s="515" t="n">
        <v>48400</v>
      </c>
      <c r="E44" s="514" t="n">
        <v>-100</v>
      </c>
      <c r="F44" s="514" t="n">
        <v>-0.21</v>
      </c>
      <c r="G44" s="514" t="n">
        <v>237500</v>
      </c>
      <c r="H44" s="514" t="n">
        <v>22.4</v>
      </c>
      <c r="I44" s="514" t="n">
        <v>1.5</v>
      </c>
      <c r="J44" s="514" t="inlineStr">
        <is>
          <t>🟢 LIVE 21:26 22/05/2026</t>
        </is>
      </c>
      <c r="K44" s="1024">
        <f>IF(A44='🎯 SÓI v42 — TRA CỨU &amp; DEEP DIV'!$C$4,"⭐ ĐANG XEM","")</f>
        <v/>
      </c>
    </row>
    <row r="45" ht="15" customHeight="1" s="981">
      <c r="A45" s="514" t="inlineStr">
        <is>
          <t>FOX</t>
        </is>
      </c>
      <c r="B45" s="514" t="inlineStr">
        <is>
          <t>FPT Online</t>
        </is>
      </c>
      <c r="C45" s="514" t="inlineStr">
        <is>
          <t>Internet</t>
        </is>
      </c>
      <c r="D45" s="515" t="n">
        <v>80200</v>
      </c>
      <c r="E45" s="514" t="n"/>
      <c r="F45" s="514" t="n"/>
      <c r="G45" s="514" t="n"/>
      <c r="H45" s="514" t="n">
        <v>32.5</v>
      </c>
      <c r="I45" s="514" t="n">
        <v>4.2</v>
      </c>
      <c r="J45" s="514" t="inlineStr">
        <is>
          <t>vnstock 19:52 28/05/2026</t>
        </is>
      </c>
      <c r="K45" s="1024">
        <f>IF(A45='🎯 SÓI v42 — TRA CỨU &amp; DEEP DIV'!$C$4,"⭐ ĐANG XEM","")</f>
        <v/>
      </c>
    </row>
    <row r="46" ht="15" customHeight="1" s="981">
      <c r="A46" s="514" t="inlineStr">
        <is>
          <t>CMG</t>
        </is>
      </c>
      <c r="B46" s="514" t="inlineStr">
        <is>
          <t>CMC Corp</t>
        </is>
      </c>
      <c r="C46" s="514" t="inlineStr">
        <is>
          <t>Công nghệ</t>
        </is>
      </c>
      <c r="D46" s="515" t="n">
        <v>28150</v>
      </c>
      <c r="E46" s="514" t="n">
        <v>250</v>
      </c>
      <c r="F46" s="514" t="n">
        <v>0.9</v>
      </c>
      <c r="G46" s="514" t="n">
        <v>400300</v>
      </c>
      <c r="H46" s="514" t="n">
        <v>22.4</v>
      </c>
      <c r="I46" s="514" t="n">
        <v>3.8</v>
      </c>
      <c r="J46" s="514" t="inlineStr">
        <is>
          <t>🟢 LIVE 21:26 22/05/2026</t>
        </is>
      </c>
      <c r="K46" s="1024">
        <f>IF(A46='🎯 SÓI v42 — TRA CỨU &amp; DEEP DIV'!$C$4,"⭐ ĐANG XEM","")</f>
        <v/>
      </c>
    </row>
    <row r="47" ht="15" customHeight="1" s="981">
      <c r="A47" s="514" t="inlineStr">
        <is>
          <t>ELC</t>
        </is>
      </c>
      <c r="B47" s="514" t="inlineStr">
        <is>
          <t>Elcom</t>
        </is>
      </c>
      <c r="C47" s="514" t="inlineStr">
        <is>
          <t>CN viễn thông</t>
        </is>
      </c>
      <c r="D47" s="515" t="n">
        <v>16500</v>
      </c>
      <c r="E47" s="514" t="n">
        <v>-100</v>
      </c>
      <c r="F47" s="514" t="n">
        <v>-0.6</v>
      </c>
      <c r="G47" s="514" t="n">
        <v>474900</v>
      </c>
      <c r="H47" s="514" t="n">
        <v>18.5</v>
      </c>
      <c r="I47" s="514" t="n">
        <v>2.1</v>
      </c>
      <c r="J47" s="514" t="inlineStr">
        <is>
          <t>🟢 LIVE 21:26 22/05/2026</t>
        </is>
      </c>
      <c r="K47" s="1024">
        <f>IF(A47='🎯 SÓI v42 — TRA CỨU &amp; DEEP DIV'!$C$4,"⭐ ĐANG XEM","")</f>
        <v/>
      </c>
    </row>
    <row r="48" ht="15" customHeight="1" s="981">
      <c r="A48" s="514" t="inlineStr">
        <is>
          <t>ICT</t>
        </is>
      </c>
      <c r="B48" s="514" t="inlineStr">
        <is>
          <t>Viettel Pay</t>
        </is>
      </c>
      <c r="C48" s="514" t="inlineStr">
        <is>
          <t>CN viễn thông</t>
        </is>
      </c>
      <c r="D48" s="515" t="n">
        <v>17300</v>
      </c>
      <c r="E48" s="514" t="n"/>
      <c r="F48" s="514" t="n"/>
      <c r="G48" s="514" t="n"/>
      <c r="H48" s="514" t="n">
        <v>14.5</v>
      </c>
      <c r="I48" s="514" t="n">
        <v>1.8</v>
      </c>
      <c r="J48" s="514" t="inlineStr">
        <is>
          <t>vnstock 19:52 28/05/2026</t>
        </is>
      </c>
      <c r="K48" s="1024">
        <f>IF(A48='🎯 SÓI v42 — TRA CỨU &amp; DEEP DIV'!$C$4,"⭐ ĐANG XEM","")</f>
        <v/>
      </c>
    </row>
    <row r="49" ht="15" customHeight="1" s="981">
      <c r="A49" s="514" t="inlineStr">
        <is>
          <t>HBC</t>
        </is>
      </c>
      <c r="B49" s="514" t="inlineStr">
        <is>
          <t>Hòa Bình Group</t>
        </is>
      </c>
      <c r="C49" s="514" t="inlineStr">
        <is>
          <t>Xây dựng</t>
        </is>
      </c>
      <c r="D49" s="515" t="n">
        <v>5100</v>
      </c>
      <c r="E49" s="514" t="n">
        <v>0</v>
      </c>
      <c r="F49" s="514" t="n">
        <v>0</v>
      </c>
      <c r="G49" s="514" t="n">
        <v>741400</v>
      </c>
      <c r="H49" s="514" t="n"/>
      <c r="I49" s="514" t="n">
        <v>0.65</v>
      </c>
      <c r="J49" s="514" t="inlineStr">
        <is>
          <t>🟢 LIVE 21:26 22/05/2026</t>
        </is>
      </c>
      <c r="K49" s="1024">
        <f>IF(A49='🎯 SÓI v42 — TRA CỨU &amp; DEEP DIV'!$C$4,"⭐ ĐANG XEM","")</f>
        <v/>
      </c>
    </row>
    <row r="50" ht="15" customHeight="1" s="981">
      <c r="A50" s="514" t="inlineStr">
        <is>
          <t>CTD</t>
        </is>
      </c>
      <c r="B50" s="514" t="inlineStr">
        <is>
          <t>Coteccons</t>
        </is>
      </c>
      <c r="C50" s="514" t="inlineStr">
        <is>
          <t>Xây dựng</t>
        </is>
      </c>
      <c r="D50" s="515" t="n">
        <v>73800</v>
      </c>
      <c r="E50" s="514" t="n">
        <v>-600</v>
      </c>
      <c r="F50" s="514" t="n">
        <v>-0.8100000000000001</v>
      </c>
      <c r="G50" s="514" t="n">
        <v>557400</v>
      </c>
      <c r="H50" s="514" t="n">
        <v>15.4</v>
      </c>
      <c r="I50" s="514" t="n">
        <v>0.95</v>
      </c>
      <c r="J50" s="514" t="inlineStr">
        <is>
          <t>🟢 LIVE 21:26 22/05/2026</t>
        </is>
      </c>
      <c r="K50" s="1024">
        <f>IF(A50='🎯 SÓI v42 — TRA CỨU &amp; DEEP DIV'!$C$4,"⭐ ĐANG XEM","")</f>
        <v/>
      </c>
    </row>
    <row r="51" ht="15" customHeight="1" s="981">
      <c r="A51" s="514" t="inlineStr">
        <is>
          <t>VCG</t>
        </is>
      </c>
      <c r="B51" s="514" t="inlineStr">
        <is>
          <t>Vinaconex</t>
        </is>
      </c>
      <c r="C51" s="514" t="inlineStr">
        <is>
          <t>Xây dựng</t>
        </is>
      </c>
      <c r="D51" s="515" t="n">
        <v>21000</v>
      </c>
      <c r="E51" s="514" t="n">
        <v>200</v>
      </c>
      <c r="F51" s="514" t="n">
        <v>0.96</v>
      </c>
      <c r="G51" s="514" t="n">
        <v>3189400</v>
      </c>
      <c r="H51" s="514" t="n">
        <v>14.6</v>
      </c>
      <c r="I51" s="514" t="n">
        <v>1.4</v>
      </c>
      <c r="J51" s="514" t="inlineStr">
        <is>
          <t>🟢 LIVE 21:26 22/05/2026</t>
        </is>
      </c>
      <c r="K51" s="1024">
        <f>IF(A51='🎯 SÓI v42 — TRA CỨU &amp; DEEP DIV'!$C$4,"⭐ ĐANG XEM","")</f>
        <v/>
      </c>
    </row>
    <row r="52" ht="15" customHeight="1" s="981">
      <c r="A52" s="514" t="inlineStr">
        <is>
          <t>HHV</t>
        </is>
      </c>
      <c r="B52" s="514" t="inlineStr">
        <is>
          <t>Đèo Cả</t>
        </is>
      </c>
      <c r="C52" s="514" t="inlineStr">
        <is>
          <t>Hạ tầng</t>
        </is>
      </c>
      <c r="D52" s="515" t="n">
        <v>11950</v>
      </c>
      <c r="E52" s="514" t="n">
        <v>200</v>
      </c>
      <c r="F52" s="514" t="n">
        <v>1.7</v>
      </c>
      <c r="G52" s="514" t="n">
        <v>2952700</v>
      </c>
      <c r="H52" s="514" t="n">
        <v>15.5</v>
      </c>
      <c r="I52" s="514" t="n">
        <v>1.2</v>
      </c>
      <c r="J52" s="514" t="inlineStr">
        <is>
          <t>🟢 LIVE 21:26 22/05/2026</t>
        </is>
      </c>
      <c r="K52" s="1024">
        <f>IF(A52='🎯 SÓI v42 — TRA CỨU &amp; DEEP DIV'!$C$4,"⭐ ĐANG XEM","")</f>
        <v/>
      </c>
    </row>
    <row r="53" ht="15" customHeight="1" s="981">
      <c r="A53" s="514" t="inlineStr">
        <is>
          <t>LCG</t>
        </is>
      </c>
      <c r="B53" s="514" t="inlineStr">
        <is>
          <t>Licogi 16</t>
        </is>
      </c>
      <c r="C53" s="514" t="inlineStr">
        <is>
          <t>Xây dựng</t>
        </is>
      </c>
      <c r="D53" s="515" t="n">
        <v>9210</v>
      </c>
      <c r="E53" s="514" t="n">
        <v>-30</v>
      </c>
      <c r="F53" s="514" t="n">
        <v>-0.32</v>
      </c>
      <c r="G53" s="514" t="n">
        <v>944700</v>
      </c>
      <c r="H53" s="514" t="n">
        <v>18.4</v>
      </c>
      <c r="I53" s="514" t="n">
        <v>1.2</v>
      </c>
      <c r="J53" s="514" t="inlineStr">
        <is>
          <t>🟢 LIVE 21:26 22/05/2026</t>
        </is>
      </c>
      <c r="K53" s="1024">
        <f>IF(A53='🎯 SÓI v42 — TRA CỨU &amp; DEEP DIV'!$C$4,"⭐ ĐANG XEM","")</f>
        <v/>
      </c>
    </row>
    <row r="54" ht="15" customHeight="1" s="981">
      <c r="A54" s="514" t="inlineStr">
        <is>
          <t>PC1</t>
        </is>
      </c>
      <c r="B54" s="514" t="inlineStr">
        <is>
          <t>PC1 Group</t>
        </is>
      </c>
      <c r="C54" s="514" t="inlineStr">
        <is>
          <t>Xây dựng</t>
        </is>
      </c>
      <c r="D54" s="517" t="n">
        <v>20600</v>
      </c>
      <c r="E54" s="514" t="n">
        <v>300</v>
      </c>
      <c r="F54" s="514" t="n">
        <v>1.48</v>
      </c>
      <c r="G54" s="514" t="n">
        <v>12932700</v>
      </c>
      <c r="H54" s="514" t="n">
        <v>13.5</v>
      </c>
      <c r="I54" s="514" t="n">
        <v>1.5</v>
      </c>
      <c r="J54" s="514" t="inlineStr">
        <is>
          <t>🟢 LIVE 21:26 22/05/2026</t>
        </is>
      </c>
      <c r="K54" s="1024">
        <f>IF(A54='🎯 SÓI v42 — TRA CỨU &amp; DEEP DIV'!$C$4,"⭐ ĐANG XEM","")</f>
        <v/>
      </c>
    </row>
    <row r="55" ht="15" customHeight="1" s="981">
      <c r="A55" s="514" t="inlineStr">
        <is>
          <t>REE</t>
        </is>
      </c>
      <c r="B55" s="514" t="inlineStr">
        <is>
          <t>REE</t>
        </is>
      </c>
      <c r="C55" s="514" t="inlineStr">
        <is>
          <t>Điện + Cơ điện</t>
        </is>
      </c>
      <c r="D55" s="515" t="n">
        <v>52600</v>
      </c>
      <c r="E55" s="514" t="n">
        <v>-700</v>
      </c>
      <c r="F55" s="514" t="n">
        <v>-1.31</v>
      </c>
      <c r="G55" s="514" t="n">
        <v>630000</v>
      </c>
      <c r="H55" s="514" t="n">
        <v>12.4</v>
      </c>
      <c r="I55" s="514" t="n">
        <v>1.4</v>
      </c>
      <c r="J55" s="514" t="inlineStr">
        <is>
          <t>🟢 LIVE 21:26 22/05/2026</t>
        </is>
      </c>
      <c r="K55" s="1024">
        <f>IF(A55='🎯 SÓI v42 — TRA CỨU &amp; DEEP DIV'!$C$4,"⭐ ĐANG XEM","")</f>
        <v/>
      </c>
    </row>
    <row r="56" ht="15" customHeight="1" s="981">
      <c r="A56" s="514" t="inlineStr">
        <is>
          <t>ROS</t>
        </is>
      </c>
      <c r="B56" s="514" t="inlineStr">
        <is>
          <t>FLC Faros</t>
        </is>
      </c>
      <c r="C56" s="514" t="inlineStr">
        <is>
          <t>Xây dựng</t>
        </is>
      </c>
      <c r="D56" s="515" t="n">
        <v>2510</v>
      </c>
      <c r="E56" s="514" t="n"/>
      <c r="F56" s="514" t="n"/>
      <c r="G56" s="514" t="n"/>
      <c r="H56" s="514" t="n"/>
      <c r="I56" s="514" t="n">
        <v>0.1</v>
      </c>
      <c r="J56" s="514" t="inlineStr">
        <is>
          <t>vnstock 19:52 28/05/2026</t>
        </is>
      </c>
      <c r="K56" s="1024">
        <f>IF(A56='🎯 SÓI v42 — TRA CỨU &amp; DEEP DIV'!$C$4,"⭐ ĐANG XEM","")</f>
        <v/>
      </c>
    </row>
    <row r="57" ht="15" customHeight="1" s="981">
      <c r="A57" s="514" t="inlineStr">
        <is>
          <t>GAS</t>
        </is>
      </c>
      <c r="B57" s="514" t="inlineStr">
        <is>
          <t>PV Gas</t>
        </is>
      </c>
      <c r="C57" s="514" t="inlineStr">
        <is>
          <t>Dầu khí</t>
        </is>
      </c>
      <c r="D57" s="515" t="n">
        <v>84900</v>
      </c>
      <c r="E57" s="514" t="n">
        <v>-2400</v>
      </c>
      <c r="F57" s="514" t="n">
        <v>-2.75</v>
      </c>
      <c r="G57" s="514" t="n">
        <v>1642900</v>
      </c>
      <c r="H57" s="514" t="n">
        <v>14.8</v>
      </c>
      <c r="I57" s="514" t="n">
        <v>2.6</v>
      </c>
      <c r="J57" s="514" t="inlineStr">
        <is>
          <t>🟢 LIVE 21:26 22/05/2026</t>
        </is>
      </c>
      <c r="K57" s="1024">
        <f>IF(A57='🎯 SÓI v42 — TRA CỨU &amp; DEEP DIV'!$C$4,"⭐ ĐANG XEM","")</f>
        <v/>
      </c>
    </row>
    <row r="58" ht="15" customHeight="1" s="981">
      <c r="A58" s="514" t="inlineStr">
        <is>
          <t>PLX</t>
        </is>
      </c>
      <c r="B58" s="514" t="inlineStr">
        <is>
          <t>Petrolimex</t>
        </is>
      </c>
      <c r="C58" s="514" t="inlineStr">
        <is>
          <t>Dầu khí</t>
        </is>
      </c>
      <c r="D58" s="515" t="n">
        <v>41950</v>
      </c>
      <c r="E58" s="514" t="n">
        <v>-1000</v>
      </c>
      <c r="F58" s="514" t="n">
        <v>-2.33</v>
      </c>
      <c r="G58" s="514" t="n">
        <v>4139200</v>
      </c>
      <c r="H58" s="514" t="n">
        <v>17.5</v>
      </c>
      <c r="I58" s="514" t="n">
        <v>2.1</v>
      </c>
      <c r="J58" s="514" t="inlineStr">
        <is>
          <t>🟢 LIVE 21:26 22/05/2026</t>
        </is>
      </c>
      <c r="K58" s="1024">
        <f>IF(A58='🎯 SÓI v42 — TRA CỨU &amp; DEEP DIV'!$C$4,"⭐ ĐANG XEM","")</f>
        <v/>
      </c>
    </row>
    <row r="59" ht="15" customHeight="1" s="981">
      <c r="A59" s="514" t="inlineStr">
        <is>
          <t>PVD</t>
        </is>
      </c>
      <c r="B59" s="514" t="inlineStr">
        <is>
          <t>PV Drilling</t>
        </is>
      </c>
      <c r="C59" s="514" t="inlineStr">
        <is>
          <t>Dầu khí</t>
        </is>
      </c>
      <c r="D59" s="515" t="n">
        <v>31550</v>
      </c>
      <c r="E59" s="514" t="n">
        <v>-1200</v>
      </c>
      <c r="F59" s="514" t="n">
        <v>-3.66</v>
      </c>
      <c r="G59" s="514" t="n">
        <v>4005400</v>
      </c>
      <c r="H59" s="514" t="n">
        <v>15.8</v>
      </c>
      <c r="I59" s="514" t="n">
        <v>0.95</v>
      </c>
      <c r="J59" s="514" t="inlineStr">
        <is>
          <t>🟢 LIVE 21:26 22/05/2026</t>
        </is>
      </c>
      <c r="K59" s="1024">
        <f>IF(A59='🎯 SÓI v42 — TRA CỨU &amp; DEEP DIV'!$C$4,"⭐ ĐANG XEM","")</f>
        <v/>
      </c>
    </row>
    <row r="60" ht="15" customHeight="1" s="981">
      <c r="A60" s="514" t="inlineStr">
        <is>
          <t>PVS</t>
        </is>
      </c>
      <c r="B60" s="514" t="inlineStr">
        <is>
          <t>PTSC</t>
        </is>
      </c>
      <c r="C60" s="514" t="inlineStr">
        <is>
          <t>Dầu khí</t>
        </is>
      </c>
      <c r="D60" s="515" t="n">
        <v>39900</v>
      </c>
      <c r="E60" s="514" t="n">
        <v>-500</v>
      </c>
      <c r="F60" s="514" t="n">
        <v>-1.24</v>
      </c>
      <c r="G60" s="514" t="n">
        <v>2735100</v>
      </c>
      <c r="H60" s="514" t="n">
        <v>12.4</v>
      </c>
      <c r="I60" s="514" t="n">
        <v>1.3</v>
      </c>
      <c r="J60" s="514" t="inlineStr">
        <is>
          <t>🟢 LIVE 21:26 22/05/2026</t>
        </is>
      </c>
      <c r="K60" s="1024">
        <f>IF(A60='🎯 SÓI v42 — TRA CỨU &amp; DEEP DIV'!$C$4,"⭐ ĐANG XEM","")</f>
        <v/>
      </c>
    </row>
    <row r="61" ht="15" customHeight="1" s="981">
      <c r="A61" s="514" t="inlineStr">
        <is>
          <t>BSR</t>
        </is>
      </c>
      <c r="B61" s="514" t="inlineStr">
        <is>
          <t>BSR</t>
        </is>
      </c>
      <c r="C61" s="514" t="inlineStr">
        <is>
          <t>Lọc dầu</t>
        </is>
      </c>
      <c r="D61" s="515" t="n">
        <v>28500</v>
      </c>
      <c r="E61" s="514" t="n"/>
      <c r="F61" s="514" t="n"/>
      <c r="G61" s="514" t="n"/>
      <c r="H61" s="514" t="n">
        <v>7.8</v>
      </c>
      <c r="I61" s="514" t="n">
        <v>1.05</v>
      </c>
      <c r="J61" s="514" t="inlineStr">
        <is>
          <t>vnstock 19:52 28/05/2026</t>
        </is>
      </c>
      <c r="K61" s="1024">
        <f>IF(A61='🎯 SÓI v42 — TRA CỨU &amp; DEEP DIV'!$C$4,"⭐ ĐANG XEM","")</f>
        <v/>
      </c>
    </row>
    <row r="62" ht="15" customHeight="1" s="981">
      <c r="A62" s="514" t="inlineStr">
        <is>
          <t>OIL</t>
        </is>
      </c>
      <c r="B62" s="514" t="inlineStr">
        <is>
          <t>PV Oil</t>
        </is>
      </c>
      <c r="C62" s="514" t="inlineStr">
        <is>
          <t>Dầu khí</t>
        </is>
      </c>
      <c r="D62" s="515" t="n">
        <v>15600</v>
      </c>
      <c r="E62" s="514" t="n">
        <v>0</v>
      </c>
      <c r="F62" s="514" t="n">
        <v>0</v>
      </c>
      <c r="G62" s="514" t="n">
        <v>2516100</v>
      </c>
      <c r="H62" s="514" t="n">
        <v>11.4</v>
      </c>
      <c r="I62" s="514" t="n">
        <v>1.2</v>
      </c>
      <c r="J62" s="514" t="inlineStr">
        <is>
          <t>🟢 LIVE 21:26 22/05/2026</t>
        </is>
      </c>
      <c r="K62" s="1024">
        <f>IF(A62='🎯 SÓI v42 — TRA CỨU &amp; DEEP DIV'!$C$4,"⭐ ĐANG XEM","")</f>
        <v/>
      </c>
    </row>
    <row r="63" ht="15" customHeight="1" s="981">
      <c r="A63" s="514" t="inlineStr">
        <is>
          <t>POW</t>
        </is>
      </c>
      <c r="B63" s="514" t="inlineStr">
        <is>
          <t>PV Power</t>
        </is>
      </c>
      <c r="C63" s="514" t="inlineStr">
        <is>
          <t>Điện</t>
        </is>
      </c>
      <c r="D63" s="515" t="n">
        <v>13600</v>
      </c>
      <c r="E63" s="514" t="n">
        <v>100</v>
      </c>
      <c r="F63" s="514" t="n">
        <v>0.74</v>
      </c>
      <c r="G63" s="514" t="n">
        <v>6882400</v>
      </c>
      <c r="H63" s="514" t="n">
        <v>15.7</v>
      </c>
      <c r="I63" s="514" t="n">
        <v>1</v>
      </c>
      <c r="J63" s="514" t="inlineStr">
        <is>
          <t>🟢 LIVE 21:26 22/05/2026</t>
        </is>
      </c>
      <c r="K63" s="1024">
        <f>IF(A63='🎯 SÓI v42 — TRA CỨU &amp; DEEP DIV'!$C$4,"⭐ ĐANG XEM","")</f>
        <v/>
      </c>
    </row>
    <row r="64" ht="15" customHeight="1" s="981">
      <c r="A64" s="514" t="inlineStr">
        <is>
          <t>HSG</t>
        </is>
      </c>
      <c r="B64" s="514" t="inlineStr">
        <is>
          <t>Tôn Hoa Sen</t>
        </is>
      </c>
      <c r="C64" s="514" t="inlineStr">
        <is>
          <t>Thép</t>
        </is>
      </c>
      <c r="D64" s="515" t="n">
        <v>12600</v>
      </c>
      <c r="E64" s="514" t="n">
        <v>400</v>
      </c>
      <c r="F64" s="514" t="n">
        <v>3.28</v>
      </c>
      <c r="G64" s="514" t="n">
        <v>8184700</v>
      </c>
      <c r="H64" s="514" t="n">
        <v>16.5</v>
      </c>
      <c r="I64" s="514" t="n">
        <v>1.1</v>
      </c>
      <c r="J64" s="514" t="inlineStr">
        <is>
          <t>🟢 LIVE 21:26 22/05/2026</t>
        </is>
      </c>
      <c r="K64" s="1024">
        <f>IF(A64='🎯 SÓI v42 — TRA CỨU &amp; DEEP DIV'!$C$4,"⭐ ĐANG XEM","")</f>
        <v/>
      </c>
    </row>
    <row r="65" ht="15" customHeight="1" s="981">
      <c r="A65" s="514" t="inlineStr">
        <is>
          <t>NKG</t>
        </is>
      </c>
      <c r="B65" s="514" t="inlineStr">
        <is>
          <t>Thép Nam Kim</t>
        </is>
      </c>
      <c r="C65" s="514" t="inlineStr">
        <is>
          <t>Thép</t>
        </is>
      </c>
      <c r="D65" s="515" t="n">
        <v>13900</v>
      </c>
      <c r="E65" s="514" t="n">
        <v>200</v>
      </c>
      <c r="F65" s="514" t="n">
        <v>1.46</v>
      </c>
      <c r="G65" s="514" t="n">
        <v>4069000</v>
      </c>
      <c r="H65" s="514" t="n">
        <v>18.3</v>
      </c>
      <c r="I65" s="514" t="n">
        <v>1.2</v>
      </c>
      <c r="J65" s="514" t="inlineStr">
        <is>
          <t>🟢 LIVE 21:26 22/05/2026</t>
        </is>
      </c>
      <c r="K65" s="1024">
        <f>IF(A65='🎯 SÓI v42 — TRA CỨU &amp; DEEP DIV'!$C$4,"⭐ ĐANG XEM","")</f>
        <v/>
      </c>
    </row>
    <row r="66" ht="15" customHeight="1" s="981">
      <c r="A66" s="514" t="inlineStr">
        <is>
          <t>TVN</t>
        </is>
      </c>
      <c r="B66" s="514" t="inlineStr">
        <is>
          <t>Vicasa</t>
        </is>
      </c>
      <c r="C66" s="514" t="inlineStr">
        <is>
          <t>Thép</t>
        </is>
      </c>
      <c r="D66" s="515" t="n">
        <v>10600</v>
      </c>
      <c r="E66" s="514" t="n">
        <v>1300</v>
      </c>
      <c r="F66" s="514" t="n">
        <v>13.98</v>
      </c>
      <c r="G66" s="514" t="n">
        <v>4708300</v>
      </c>
      <c r="H66" s="514" t="n">
        <v>12.4</v>
      </c>
      <c r="I66" s="514" t="n">
        <v>0.85</v>
      </c>
      <c r="J66" s="514" t="inlineStr">
        <is>
          <t>🟢 LIVE 21:26 22/05/2026</t>
        </is>
      </c>
      <c r="K66" s="1024">
        <f>IF(A66='🎯 SÓI v42 — TRA CỨU &amp; DEEP DIV'!$C$4,"⭐ ĐANG XEM","")</f>
        <v/>
      </c>
    </row>
    <row r="67" ht="15" customHeight="1" s="981">
      <c r="A67" s="514" t="inlineStr">
        <is>
          <t>SMC</t>
        </is>
      </c>
      <c r="B67" s="514" t="inlineStr">
        <is>
          <t>SMC Steel</t>
        </is>
      </c>
      <c r="C67" s="514" t="inlineStr">
        <is>
          <t>Thép</t>
        </is>
      </c>
      <c r="D67" s="515" t="n">
        <v>11600</v>
      </c>
      <c r="E67" s="514" t="n">
        <v>100</v>
      </c>
      <c r="F67" s="514" t="n">
        <v>0.87</v>
      </c>
      <c r="G67" s="514" t="n">
        <v>286100</v>
      </c>
      <c r="H67" s="514" t="n">
        <v>24.5</v>
      </c>
      <c r="I67" s="514" t="n">
        <v>0.85</v>
      </c>
      <c r="J67" s="514" t="inlineStr">
        <is>
          <t>🟢 LIVE 21:26 22/05/2026</t>
        </is>
      </c>
      <c r="K67" s="1024">
        <f>IF(A67='🎯 SÓI v42 — TRA CỨU &amp; DEEP DIV'!$C$4,"⭐ ĐANG XEM","")</f>
        <v/>
      </c>
    </row>
    <row r="68" ht="15" customHeight="1" s="981">
      <c r="A68" s="514" t="inlineStr">
        <is>
          <t>DGC</t>
        </is>
      </c>
      <c r="B68" s="514" t="inlineStr">
        <is>
          <t>Đức Giang</t>
        </is>
      </c>
      <c r="C68" s="514" t="inlineStr">
        <is>
          <t>Hóa chất</t>
        </is>
      </c>
      <c r="D68" s="515" t="n">
        <v>47600</v>
      </c>
      <c r="E68" s="514" t="n"/>
      <c r="F68" s="514" t="n"/>
      <c r="G68" s="514" t="n"/>
      <c r="H68" s="514" t="n">
        <v>12.4</v>
      </c>
      <c r="I68" s="514" t="n">
        <v>2.1</v>
      </c>
      <c r="J68" s="514" t="inlineStr">
        <is>
          <t>vnstock 19:52 28/05/2026</t>
        </is>
      </c>
      <c r="K68" s="1024">
        <f>IF(A68='🎯 SÓI v42 — TRA CỨU &amp; DEEP DIV'!$C$4,"⭐ ĐANG XEM","")</f>
        <v/>
      </c>
    </row>
    <row r="69" ht="15" customHeight="1" s="981">
      <c r="A69" s="514" t="inlineStr">
        <is>
          <t>DPM</t>
        </is>
      </c>
      <c r="B69" s="514" t="inlineStr">
        <is>
          <t>Đạm Phú Mỹ</t>
        </is>
      </c>
      <c r="C69" s="514" t="inlineStr">
        <is>
          <t>Phân bón</t>
        </is>
      </c>
      <c r="D69" s="515" t="n">
        <v>26450</v>
      </c>
      <c r="E69" s="514" t="n">
        <v>150</v>
      </c>
      <c r="F69" s="514" t="n">
        <v>0.57</v>
      </c>
      <c r="G69" s="514" t="n">
        <v>2609600</v>
      </c>
      <c r="H69" s="514" t="n">
        <v>12.5</v>
      </c>
      <c r="I69" s="514" t="n">
        <v>1.5</v>
      </c>
      <c r="J69" s="514" t="inlineStr">
        <is>
          <t>🟢 LIVE 21:26 22/05/2026</t>
        </is>
      </c>
      <c r="K69" s="1024">
        <f>IF(A69='🎯 SÓI v42 — TRA CỨU &amp; DEEP DIV'!$C$4,"⭐ ĐANG XEM","")</f>
        <v/>
      </c>
    </row>
    <row r="70" ht="15" customHeight="1" s="981">
      <c r="A70" s="514" t="inlineStr">
        <is>
          <t>DCM</t>
        </is>
      </c>
      <c r="B70" s="514" t="inlineStr">
        <is>
          <t>Đạm Cà Mau</t>
        </is>
      </c>
      <c r="C70" s="514" t="inlineStr">
        <is>
          <t>Phân bón</t>
        </is>
      </c>
      <c r="D70" s="515" t="n">
        <v>41600</v>
      </c>
      <c r="E70" s="514" t="n">
        <v>150</v>
      </c>
      <c r="F70" s="514" t="n">
        <v>0.36</v>
      </c>
      <c r="G70" s="514" t="n">
        <v>1277100</v>
      </c>
      <c r="H70" s="514" t="n">
        <v>10.5</v>
      </c>
      <c r="I70" s="514" t="n">
        <v>1.4</v>
      </c>
      <c r="J70" s="514" t="inlineStr">
        <is>
          <t>🟢 LIVE 21:26 22/05/2026</t>
        </is>
      </c>
      <c r="K70" s="1024">
        <f>IF(A70='🎯 SÓI v42 — TRA CỨU &amp; DEEP DIV'!$C$4,"⭐ ĐANG XEM","")</f>
        <v/>
      </c>
    </row>
    <row r="71" ht="15" customHeight="1" s="981">
      <c r="A71" s="514" t="inlineStr">
        <is>
          <t>LAS</t>
        </is>
      </c>
      <c r="B71" s="514" t="inlineStr">
        <is>
          <t>LAS Group</t>
        </is>
      </c>
      <c r="C71" s="514" t="inlineStr">
        <is>
          <t>Hóa chất</t>
        </is>
      </c>
      <c r="D71" s="515" t="n">
        <v>15300</v>
      </c>
      <c r="E71" s="514" t="n">
        <v>-100</v>
      </c>
      <c r="F71" s="514" t="n">
        <v>-0.65</v>
      </c>
      <c r="G71" s="514" t="n">
        <v>303900</v>
      </c>
      <c r="H71" s="514" t="n">
        <v>12.5</v>
      </c>
      <c r="I71" s="514" t="n">
        <v>1.2</v>
      </c>
      <c r="J71" s="514" t="inlineStr">
        <is>
          <t>🟢 LIVE 21:26 22/05/2026</t>
        </is>
      </c>
      <c r="K71" s="1024">
        <f>IF(A71='🎯 SÓI v42 — TRA CỨU &amp; DEEP DIV'!$C$4,"⭐ ĐANG XEM","")</f>
        <v/>
      </c>
    </row>
    <row r="72" ht="15" customHeight="1" s="981">
      <c r="A72" s="514" t="inlineStr">
        <is>
          <t>VHE</t>
        </is>
      </c>
      <c r="B72" s="514" t="inlineStr">
        <is>
          <t>VHE</t>
        </is>
      </c>
      <c r="C72" s="514" t="inlineStr">
        <is>
          <t>Hóa chất</t>
        </is>
      </c>
      <c r="D72" s="515" t="n">
        <v>3200</v>
      </c>
      <c r="E72" s="514" t="n"/>
      <c r="F72" s="514" t="n"/>
      <c r="G72" s="514" t="n"/>
      <c r="H72" s="514" t="n">
        <v>15.4</v>
      </c>
      <c r="I72" s="514" t="n">
        <v>1.4</v>
      </c>
      <c r="J72" s="514" t="inlineStr">
        <is>
          <t>vnstock 19:52 28/05/2026</t>
        </is>
      </c>
      <c r="K72" s="1024">
        <f>IF(A72='🎯 SÓI v42 — TRA CỨU &amp; DEEP DIV'!$C$4,"⭐ ĐANG XEM","")</f>
        <v/>
      </c>
    </row>
    <row r="73" ht="15" customHeight="1" s="981">
      <c r="A73" s="514" t="inlineStr">
        <is>
          <t>GEX</t>
        </is>
      </c>
      <c r="B73" s="514" t="inlineStr">
        <is>
          <t>Gelex</t>
        </is>
      </c>
      <c r="C73" s="514" t="inlineStr">
        <is>
          <t>Đa ngành</t>
        </is>
      </c>
      <c r="D73" s="515" t="n">
        <v>32800</v>
      </c>
      <c r="E73" s="514" t="n">
        <v>-2200</v>
      </c>
      <c r="F73" s="514" t="n">
        <v>-6.29</v>
      </c>
      <c r="G73" s="514" t="n">
        <v>25828800</v>
      </c>
      <c r="H73" s="514" t="n">
        <v>16.4</v>
      </c>
      <c r="I73" s="514" t="n">
        <v>1.3</v>
      </c>
      <c r="J73" s="514" t="inlineStr">
        <is>
          <t>🟢 LIVE 21:26 22/05/2026</t>
        </is>
      </c>
      <c r="K73" s="1024">
        <f>IF(A73='🎯 SÓI v42 — TRA CỨU &amp; DEEP DIV'!$C$4,"⭐ ĐANG XEM","")</f>
        <v/>
      </c>
    </row>
    <row r="74" ht="15" customHeight="1" s="981">
      <c r="A74" s="514" t="inlineStr">
        <is>
          <t>PPC</t>
        </is>
      </c>
      <c r="B74" s="514" t="inlineStr">
        <is>
          <t>Nhiệt điện PP</t>
        </is>
      </c>
      <c r="C74" s="514" t="inlineStr">
        <is>
          <t>Điện</t>
        </is>
      </c>
      <c r="D74" s="515" t="n">
        <v>9670</v>
      </c>
      <c r="E74" s="514" t="n">
        <v>-30</v>
      </c>
      <c r="F74" s="514" t="n">
        <v>-0.31</v>
      </c>
      <c r="G74" s="514" t="n">
        <v>112700</v>
      </c>
      <c r="H74" s="514" t="n">
        <v>8.199999999999999</v>
      </c>
      <c r="I74" s="514" t="n">
        <v>1.05</v>
      </c>
      <c r="J74" s="514" t="inlineStr">
        <is>
          <t>🟢 LIVE 21:26 22/05/2026</t>
        </is>
      </c>
      <c r="K74" s="1024">
        <f>IF(A74='🎯 SÓI v42 — TRA CỨU &amp; DEEP DIV'!$C$4,"⭐ ĐANG XEM","")</f>
        <v/>
      </c>
    </row>
    <row r="75" ht="15" customHeight="1" s="981">
      <c r="A75" s="514" t="inlineStr">
        <is>
          <t>NT2</t>
        </is>
      </c>
      <c r="B75" s="514" t="inlineStr">
        <is>
          <t>Nhơn Trạch 2</t>
        </is>
      </c>
      <c r="C75" s="514" t="inlineStr">
        <is>
          <t>Điện</t>
        </is>
      </c>
      <c r="D75" s="517" t="n">
        <v>22750</v>
      </c>
      <c r="E75" s="514" t="n">
        <v>-250</v>
      </c>
      <c r="F75" s="514" t="n">
        <v>-1.09</v>
      </c>
      <c r="G75" s="514" t="n">
        <v>498600</v>
      </c>
      <c r="H75" s="514" t="n">
        <v>9.6</v>
      </c>
      <c r="I75" s="514" t="n">
        <v>1.7</v>
      </c>
      <c r="J75" s="514" t="inlineStr">
        <is>
          <t>🟢 LIVE 21:26 22/05/2026</t>
        </is>
      </c>
      <c r="K75" s="1024">
        <f>IF(A75='🎯 SÓI v42 — TRA CỨU &amp; DEEP DIV'!$C$4,"⭐ ĐANG XEM","")</f>
        <v/>
      </c>
    </row>
    <row r="76" ht="15" customHeight="1" s="981">
      <c r="A76" s="514" t="inlineStr">
        <is>
          <t>VSH</t>
        </is>
      </c>
      <c r="B76" s="514" t="inlineStr">
        <is>
          <t>Vĩnh Sơn</t>
        </is>
      </c>
      <c r="C76" s="514" t="inlineStr">
        <is>
          <t>Điện</t>
        </is>
      </c>
      <c r="D76" s="515" t="n">
        <v>42350</v>
      </c>
      <c r="E76" s="514" t="n">
        <v>-50</v>
      </c>
      <c r="F76" s="514" t="n">
        <v>-0.12</v>
      </c>
      <c r="G76" s="514" t="n">
        <v>700</v>
      </c>
      <c r="H76" s="514" t="n">
        <v>10.5</v>
      </c>
      <c r="I76" s="514" t="n">
        <v>1.2</v>
      </c>
      <c r="J76" s="514" t="inlineStr">
        <is>
          <t>🟢 LIVE 21:26 22/05/2026</t>
        </is>
      </c>
      <c r="K76" s="1024">
        <f>IF(A76='🎯 SÓI v42 — TRA CỨU &amp; DEEP DIV'!$C$4,"⭐ ĐANG XEM","")</f>
        <v/>
      </c>
    </row>
    <row r="77" ht="15" customHeight="1" s="981">
      <c r="A77" s="514" t="inlineStr">
        <is>
          <t>TBC</t>
        </is>
      </c>
      <c r="B77" s="514" t="inlineStr">
        <is>
          <t>Thác Bà</t>
        </is>
      </c>
      <c r="C77" s="514" t="inlineStr">
        <is>
          <t>Điện</t>
        </is>
      </c>
      <c r="D77" s="515" t="n">
        <v>32000</v>
      </c>
      <c r="E77" s="514" t="n">
        <v>-100</v>
      </c>
      <c r="F77" s="514" t="n">
        <v>-0.31</v>
      </c>
      <c r="G77" s="514" t="n">
        <v>1700</v>
      </c>
      <c r="H77" s="514" t="n">
        <v>11.5</v>
      </c>
      <c r="I77" s="514" t="n">
        <v>1.3</v>
      </c>
      <c r="J77" s="514" t="inlineStr">
        <is>
          <t>🟢 LIVE 21:26 22/05/2026</t>
        </is>
      </c>
      <c r="K77" s="1024">
        <f>IF(A77='🎯 SÓI v42 — TRA CỨU &amp; DEEP DIV'!$C$4,"⭐ ĐANG XEM","")</f>
        <v/>
      </c>
    </row>
    <row r="78" ht="15" customHeight="1" s="981">
      <c r="A78" s="514" t="inlineStr">
        <is>
          <t>GEG</t>
        </is>
      </c>
      <c r="B78" s="514" t="inlineStr">
        <is>
          <t>GIA LAI</t>
        </is>
      </c>
      <c r="C78" s="514" t="inlineStr">
        <is>
          <t>Điện</t>
        </is>
      </c>
      <c r="D78" s="515" t="n">
        <v>14100</v>
      </c>
      <c r="E78" s="514" t="n">
        <v>-50</v>
      </c>
      <c r="F78" s="514" t="n">
        <v>-0.35</v>
      </c>
      <c r="G78" s="514" t="n">
        <v>246200</v>
      </c>
      <c r="H78" s="514" t="n">
        <v>15.4</v>
      </c>
      <c r="I78" s="514" t="n">
        <v>1.1</v>
      </c>
      <c r="J78" s="514" t="inlineStr">
        <is>
          <t>🟢 LIVE 21:26 22/05/2026</t>
        </is>
      </c>
      <c r="K78" s="1024">
        <f>IF(A78='🎯 SÓI v42 — TRA CỨU &amp; DEEP DIV'!$C$4,"⭐ ĐANG XEM","")</f>
        <v/>
      </c>
    </row>
    <row r="79" ht="15" customHeight="1" s="981">
      <c r="A79" s="514" t="inlineStr">
        <is>
          <t>VPD</t>
        </is>
      </c>
      <c r="B79" s="514" t="inlineStr">
        <is>
          <t>VPD Power</t>
        </is>
      </c>
      <c r="C79" s="514" t="inlineStr">
        <is>
          <t>Điện</t>
        </is>
      </c>
      <c r="D79" s="515" t="n">
        <v>25400</v>
      </c>
      <c r="E79" s="514" t="n"/>
      <c r="F79" s="514" t="n"/>
      <c r="G79" s="514" t="n"/>
      <c r="H79" s="514" t="n">
        <v>14.5</v>
      </c>
      <c r="I79" s="514" t="n">
        <v>1.2</v>
      </c>
      <c r="J79" s="514" t="inlineStr">
        <is>
          <t>vnstock 19:52 28/05/2026</t>
        </is>
      </c>
      <c r="K79" s="1024">
        <f>IF(A79='🎯 SÓI v42 — TRA CỨU &amp; DEEP DIV'!$C$4,"⭐ ĐANG XEM","")</f>
        <v/>
      </c>
    </row>
    <row r="80" ht="15" customHeight="1" s="981">
      <c r="A80" s="514" t="inlineStr">
        <is>
          <t>SSI</t>
        </is>
      </c>
      <c r="B80" s="514" t="inlineStr">
        <is>
          <t>SSI Securities</t>
        </is>
      </c>
      <c r="C80" s="514" t="inlineStr">
        <is>
          <t>Chứng khoán</t>
        </is>
      </c>
      <c r="D80" s="515" t="n">
        <v>27550</v>
      </c>
      <c r="E80" s="514" t="n">
        <v>450</v>
      </c>
      <c r="F80" s="514" t="n">
        <v>1.66</v>
      </c>
      <c r="G80" s="514" t="n">
        <v>23547100</v>
      </c>
      <c r="H80" s="514" t="n">
        <v>14.5</v>
      </c>
      <c r="I80" s="514" t="n">
        <v>1.8</v>
      </c>
      <c r="J80" s="514" t="inlineStr">
        <is>
          <t>🟢 LIVE 21:26 22/05/2026</t>
        </is>
      </c>
      <c r="K80" s="1024">
        <f>IF(A80='🎯 SÓI v42 — TRA CỨU &amp; DEEP DIV'!$C$4,"⭐ ĐANG XEM","")</f>
        <v/>
      </c>
    </row>
    <row r="81" ht="15" customHeight="1" s="981">
      <c r="A81" s="514" t="inlineStr">
        <is>
          <t>VND</t>
        </is>
      </c>
      <c r="B81" s="514" t="inlineStr">
        <is>
          <t>VNDirect</t>
        </is>
      </c>
      <c r="C81" s="514" t="inlineStr">
        <is>
          <t>Chứng khoán</t>
        </is>
      </c>
      <c r="D81" s="515" t="n">
        <v>17450</v>
      </c>
      <c r="E81" s="514" t="n">
        <v>1100</v>
      </c>
      <c r="F81" s="514" t="n">
        <v>6.73</v>
      </c>
      <c r="G81" s="514" t="n">
        <v>45467800</v>
      </c>
      <c r="H81" s="514" t="n">
        <v>16.7</v>
      </c>
      <c r="I81" s="514" t="n">
        <v>1.7</v>
      </c>
      <c r="J81" s="514" t="inlineStr">
        <is>
          <t>🟢 LIVE 21:26 22/05/2026</t>
        </is>
      </c>
      <c r="K81" s="1024">
        <f>IF(A81='🎯 SÓI v42 — TRA CỨU &amp; DEEP DIV'!$C$4,"⭐ ĐANG XEM","")</f>
        <v/>
      </c>
    </row>
    <row r="82" ht="15" customHeight="1" s="981">
      <c r="A82" s="514" t="inlineStr">
        <is>
          <t>HCM</t>
        </is>
      </c>
      <c r="B82" s="514" t="inlineStr">
        <is>
          <t>HSC</t>
        </is>
      </c>
      <c r="C82" s="514" t="inlineStr">
        <is>
          <t>Chứng khoán</t>
        </is>
      </c>
      <c r="D82" s="515" t="n">
        <v>28500</v>
      </c>
      <c r="E82" s="514" t="n">
        <v>-400</v>
      </c>
      <c r="F82" s="514" t="n">
        <v>-1.38</v>
      </c>
      <c r="G82" s="514" t="n">
        <v>9990400</v>
      </c>
      <c r="H82" s="514" t="n">
        <v>15.8</v>
      </c>
      <c r="I82" s="514" t="n">
        <v>1.7</v>
      </c>
      <c r="J82" s="514" t="inlineStr">
        <is>
          <t>🟢 LIVE 21:26 22/05/2026</t>
        </is>
      </c>
      <c r="K82" s="1024">
        <f>IF(A82='🎯 SÓI v42 — TRA CỨU &amp; DEEP DIV'!$C$4,"⭐ ĐANG XEM","")</f>
        <v/>
      </c>
    </row>
    <row r="83" ht="15" customHeight="1" s="981">
      <c r="A83" s="514" t="inlineStr">
        <is>
          <t>VCI</t>
        </is>
      </c>
      <c r="B83" s="514" t="inlineStr">
        <is>
          <t>Vietcap</t>
        </is>
      </c>
      <c r="C83" s="514" t="inlineStr">
        <is>
          <t>Chứng khoán</t>
        </is>
      </c>
      <c r="D83" s="515" t="n">
        <v>25000</v>
      </c>
      <c r="E83" s="514" t="n">
        <v>400</v>
      </c>
      <c r="F83" s="514" t="n">
        <v>1.63</v>
      </c>
      <c r="G83" s="514" t="n">
        <v>10250000</v>
      </c>
      <c r="H83" s="514" t="n">
        <v>13.4</v>
      </c>
      <c r="I83" s="514" t="n">
        <v>2.1</v>
      </c>
      <c r="J83" s="514" t="inlineStr">
        <is>
          <t>🟢 LIVE 21:26 22/05/2026</t>
        </is>
      </c>
      <c r="K83" s="1024">
        <f>IF(A83='🎯 SÓI v42 — TRA CỨU &amp; DEEP DIV'!$C$4,"⭐ ĐANG XEM","")</f>
        <v/>
      </c>
    </row>
    <row r="84" ht="15" customHeight="1" s="981">
      <c r="A84" s="514" t="inlineStr">
        <is>
          <t>SHS</t>
        </is>
      </c>
      <c r="B84" s="514" t="inlineStr">
        <is>
          <t>SHS</t>
        </is>
      </c>
      <c r="C84" s="514" t="inlineStr">
        <is>
          <t>Chứng khoán</t>
        </is>
      </c>
      <c r="D84" s="515" t="n">
        <v>17700</v>
      </c>
      <c r="E84" s="514" t="n">
        <v>600</v>
      </c>
      <c r="F84" s="514" t="n">
        <v>3.51</v>
      </c>
      <c r="G84" s="514" t="n">
        <v>17698700</v>
      </c>
      <c r="H84" s="514" t="n">
        <v>12.6</v>
      </c>
      <c r="I84" s="514" t="n">
        <v>1.1</v>
      </c>
      <c r="J84" s="514" t="inlineStr">
        <is>
          <t>🟢 LIVE 21:26 22/05/2026</t>
        </is>
      </c>
      <c r="K84" s="1024">
        <f>IF(A84='🎯 SÓI v42 — TRA CỨU &amp; DEEP DIV'!$C$4,"⭐ ĐANG XEM","")</f>
        <v/>
      </c>
    </row>
    <row r="85" ht="15" customHeight="1" s="981">
      <c r="A85" s="514" t="inlineStr">
        <is>
          <t>FTS</t>
        </is>
      </c>
      <c r="B85" s="514" t="inlineStr">
        <is>
          <t>FPT Securities</t>
        </is>
      </c>
      <c r="C85" s="514" t="inlineStr">
        <is>
          <t>Chứng khoán</t>
        </is>
      </c>
      <c r="D85" s="515" t="n">
        <v>24350</v>
      </c>
      <c r="E85" s="514" t="n">
        <v>800</v>
      </c>
      <c r="F85" s="514" t="n">
        <v>3.4</v>
      </c>
      <c r="G85" s="514" t="n">
        <v>818700</v>
      </c>
      <c r="H85" s="514" t="n">
        <v>16.4</v>
      </c>
      <c r="I85" s="514" t="n">
        <v>1.6</v>
      </c>
      <c r="J85" s="514" t="inlineStr">
        <is>
          <t>🟢 LIVE 21:26 22/05/2026</t>
        </is>
      </c>
      <c r="K85" s="1024">
        <f>IF(A85='🎯 SÓI v42 — TRA CỨU &amp; DEEP DIV'!$C$4,"⭐ ĐANG XEM","")</f>
        <v/>
      </c>
    </row>
    <row r="86" ht="15" customHeight="1" s="981">
      <c r="A86" s="514" t="inlineStr">
        <is>
          <t>MBS</t>
        </is>
      </c>
      <c r="B86" s="514" t="inlineStr">
        <is>
          <t>MB Securities</t>
        </is>
      </c>
      <c r="C86" s="514" t="inlineStr">
        <is>
          <t>Chứng khoán</t>
        </is>
      </c>
      <c r="D86" s="515" t="n">
        <v>19700</v>
      </c>
      <c r="E86" s="514" t="n">
        <v>400</v>
      </c>
      <c r="F86" s="514" t="n">
        <v>2.07</v>
      </c>
      <c r="G86" s="514" t="n">
        <v>4134300</v>
      </c>
      <c r="H86" s="514" t="n">
        <v>15.6</v>
      </c>
      <c r="I86" s="514" t="n">
        <v>1.8</v>
      </c>
      <c r="J86" s="514" t="inlineStr">
        <is>
          <t>🟢 LIVE 21:26 22/05/2026</t>
        </is>
      </c>
      <c r="K86" s="1024">
        <f>IF(A86='🎯 SÓI v42 — TRA CỨU &amp; DEEP DIV'!$C$4,"⭐ ĐANG XEM","")</f>
        <v/>
      </c>
    </row>
    <row r="87" ht="15" customHeight="1" s="981">
      <c r="A87" s="514" t="inlineStr">
        <is>
          <t>CTS</t>
        </is>
      </c>
      <c r="B87" s="514" t="inlineStr">
        <is>
          <t>VietinBank Sec</t>
        </is>
      </c>
      <c r="C87" s="514" t="inlineStr">
        <is>
          <t>Chứng khoán</t>
        </is>
      </c>
      <c r="D87" s="515" t="n">
        <v>28150</v>
      </c>
      <c r="E87" s="514" t="n">
        <v>850</v>
      </c>
      <c r="F87" s="514" t="n">
        <v>3.11</v>
      </c>
      <c r="G87" s="514" t="n">
        <v>1224600</v>
      </c>
      <c r="H87" s="514" t="n">
        <v>18.5</v>
      </c>
      <c r="I87" s="514" t="n">
        <v>1.4</v>
      </c>
      <c r="J87" s="514" t="inlineStr">
        <is>
          <t>🟢 LIVE 21:26 22/05/2026</t>
        </is>
      </c>
      <c r="K87" s="1024">
        <f>IF(A87='🎯 SÓI v42 — TRA CỨU &amp; DEEP DIV'!$C$4,"⭐ ĐANG XEM","")</f>
        <v/>
      </c>
    </row>
    <row r="88" ht="15" customHeight="1" s="981">
      <c r="A88" s="514" t="inlineStr">
        <is>
          <t>VFS</t>
        </is>
      </c>
      <c r="B88" s="514" t="inlineStr">
        <is>
          <t>VFS</t>
        </is>
      </c>
      <c r="C88" s="514" t="inlineStr">
        <is>
          <t>Chứng khoán</t>
        </is>
      </c>
      <c r="D88" s="515" t="n">
        <v>12100</v>
      </c>
      <c r="E88" s="514" t="n"/>
      <c r="F88" s="514" t="n"/>
      <c r="G88" s="514" t="n"/>
      <c r="H88" s="514" t="n"/>
      <c r="I88" s="514" t="n"/>
      <c r="J88" s="514" t="inlineStr">
        <is>
          <t>vnstock 19:52 28/05/2026</t>
        </is>
      </c>
      <c r="K88" s="1024">
        <f>IF(A88='🎯 SÓI v42 — TRA CỨU &amp; DEEP DIV'!$C$4,"⭐ ĐANG XEM","")</f>
        <v/>
      </c>
    </row>
    <row r="89" ht="15" customHeight="1" s="981">
      <c r="A89" s="514" t="inlineStr">
        <is>
          <t>TCBS</t>
        </is>
      </c>
      <c r="B89" s="514" t="inlineStr">
        <is>
          <t>Techcom Securities</t>
        </is>
      </c>
      <c r="C89" s="514" t="inlineStr">
        <is>
          <t>Chứng khoán</t>
        </is>
      </c>
      <c r="D89" s="517" t="n"/>
      <c r="E89" s="514" t="n"/>
      <c r="F89" s="514" t="n"/>
      <c r="G89" s="514" t="n"/>
      <c r="H89" s="514" t="n"/>
      <c r="I89" s="514" t="n"/>
      <c r="J89" s="514" t="inlineStr">
        <is>
          <t>⏳ Chờ Python</t>
        </is>
      </c>
      <c r="K89" s="1024">
        <f>IF(A89='🎯 SÓI v42 — TRA CỨU &amp; DEEP DIV'!$C$4,"⭐ ĐANG XEM","")</f>
        <v/>
      </c>
    </row>
    <row r="90" ht="15" customHeight="1" s="981">
      <c r="A90" s="514" t="inlineStr">
        <is>
          <t>BVH</t>
        </is>
      </c>
      <c r="B90" s="514" t="inlineStr">
        <is>
          <t>Bảo Việt</t>
        </is>
      </c>
      <c r="C90" s="514" t="inlineStr">
        <is>
          <t>Bảo hiểm</t>
        </is>
      </c>
      <c r="D90" s="515" t="n">
        <v>72000</v>
      </c>
      <c r="E90" s="514" t="n">
        <v>-200</v>
      </c>
      <c r="F90" s="514" t="n">
        <v>-0.28</v>
      </c>
      <c r="G90" s="514" t="n">
        <v>525900</v>
      </c>
      <c r="H90" s="514" t="n">
        <v>22.5</v>
      </c>
      <c r="I90" s="514" t="n">
        <v>1.5</v>
      </c>
      <c r="J90" s="514" t="inlineStr">
        <is>
          <t>🟢 LIVE 21:26 22/05/2026</t>
        </is>
      </c>
      <c r="K90" s="1024">
        <f>IF(A90='🎯 SÓI v42 — TRA CỨU &amp; DEEP DIV'!$C$4,"⭐ ĐANG XEM","")</f>
        <v/>
      </c>
    </row>
    <row r="91" ht="15" customHeight="1" s="981">
      <c r="A91" s="514" t="inlineStr">
        <is>
          <t>BMI</t>
        </is>
      </c>
      <c r="B91" s="514" t="inlineStr">
        <is>
          <t>Bảo Minh</t>
        </is>
      </c>
      <c r="C91" s="514" t="inlineStr">
        <is>
          <t>Bảo hiểm</t>
        </is>
      </c>
      <c r="D91" s="515" t="n">
        <v>14600</v>
      </c>
      <c r="E91" s="514" t="n">
        <v>150</v>
      </c>
      <c r="F91" s="514" t="n">
        <v>1.04</v>
      </c>
      <c r="G91" s="514" t="n">
        <v>174600</v>
      </c>
      <c r="H91" s="514" t="n">
        <v>14.5</v>
      </c>
      <c r="I91" s="514" t="n">
        <v>1</v>
      </c>
      <c r="J91" s="514" t="inlineStr">
        <is>
          <t>🟢 LIVE 21:26 22/05/2026</t>
        </is>
      </c>
      <c r="K91" s="1024">
        <f>IF(A91='🎯 SÓI v42 — TRA CỨU &amp; DEEP DIV'!$C$4,"⭐ ĐANG XEM","")</f>
        <v/>
      </c>
    </row>
    <row r="92" ht="15" customHeight="1" s="981">
      <c r="A92" s="514" t="inlineStr">
        <is>
          <t>PVI</t>
        </is>
      </c>
      <c r="B92" s="514" t="inlineStr">
        <is>
          <t>PVI</t>
        </is>
      </c>
      <c r="C92" s="514" t="inlineStr">
        <is>
          <t>Bảo hiểm</t>
        </is>
      </c>
      <c r="D92" s="515" t="n">
        <v>78500</v>
      </c>
      <c r="E92" s="514" t="n">
        <v>0</v>
      </c>
      <c r="F92" s="514" t="n">
        <v>0</v>
      </c>
      <c r="G92" s="514" t="n">
        <v>40400</v>
      </c>
      <c r="H92" s="514" t="n">
        <v>12.5</v>
      </c>
      <c r="I92" s="514" t="n">
        <v>1.3</v>
      </c>
      <c r="J92" s="514" t="inlineStr">
        <is>
          <t>🟢 LIVE 21:26 22/05/2026</t>
        </is>
      </c>
      <c r="K92" s="1024">
        <f>IF(A92='🎯 SÓI v42 — TRA CỨU &amp; DEEP DIV'!$C$4,"⭐ ĐANG XEM","")</f>
        <v/>
      </c>
    </row>
    <row r="93" ht="15" customHeight="1" s="981">
      <c r="A93" s="514" t="inlineStr">
        <is>
          <t>PGI</t>
        </is>
      </c>
      <c r="B93" s="514" t="inlineStr">
        <is>
          <t>PGI</t>
        </is>
      </c>
      <c r="C93" s="514" t="inlineStr">
        <is>
          <t>Bảo hiểm</t>
        </is>
      </c>
      <c r="D93" s="515" t="n">
        <v>18100</v>
      </c>
      <c r="E93" s="514" t="n"/>
      <c r="F93" s="514" t="n"/>
      <c r="G93" s="514" t="n"/>
      <c r="H93" s="514" t="n">
        <v>14.5</v>
      </c>
      <c r="I93" s="514" t="n">
        <v>1.2</v>
      </c>
      <c r="J93" s="514" t="inlineStr">
        <is>
          <t>vnstock 19:52 28/05/2026</t>
        </is>
      </c>
      <c r="K93" s="1024">
        <f>IF(A93='🎯 SÓI v42 — TRA CỨU &amp; DEEP DIV'!$C$4,"⭐ ĐANG XEM","")</f>
        <v/>
      </c>
    </row>
    <row r="94" ht="15" customHeight="1" s="981">
      <c r="A94" s="514" t="inlineStr">
        <is>
          <t>MIG</t>
        </is>
      </c>
      <c r="B94" s="514" t="inlineStr">
        <is>
          <t>Quân Đội</t>
        </is>
      </c>
      <c r="C94" s="514" t="inlineStr">
        <is>
          <t>Bảo hiểm</t>
        </is>
      </c>
      <c r="D94" s="515" t="n">
        <v>17550</v>
      </c>
      <c r="E94" s="514" t="n">
        <v>-250</v>
      </c>
      <c r="F94" s="514" t="n">
        <v>-1.4</v>
      </c>
      <c r="G94" s="514" t="n">
        <v>107200</v>
      </c>
      <c r="H94" s="514" t="n">
        <v>16.5</v>
      </c>
      <c r="I94" s="514" t="n">
        <v>1.2</v>
      </c>
      <c r="J94" s="514" t="inlineStr">
        <is>
          <t>🟢 LIVE 21:26 22/05/2026</t>
        </is>
      </c>
      <c r="K94" s="1024">
        <f>IF(A94='🎯 SÓI v42 — TRA CỨU &amp; DEEP DIV'!$C$4,"⭐ ĐANG XEM","")</f>
        <v/>
      </c>
    </row>
    <row r="95" ht="15" customHeight="1" s="981">
      <c r="A95" s="514" t="inlineStr">
        <is>
          <t>GMD</t>
        </is>
      </c>
      <c r="B95" s="514" t="inlineStr">
        <is>
          <t>Gemadept</t>
        </is>
      </c>
      <c r="C95" s="514" t="inlineStr">
        <is>
          <t>Cảng</t>
        </is>
      </c>
      <c r="D95" s="515" t="n">
        <v>73600</v>
      </c>
      <c r="E95" s="514" t="n">
        <v>-900</v>
      </c>
      <c r="F95" s="514" t="n">
        <v>-1.21</v>
      </c>
      <c r="G95" s="514" t="n">
        <v>849500</v>
      </c>
      <c r="H95" s="514" t="n">
        <v>18.6</v>
      </c>
      <c r="I95" s="514" t="n">
        <v>2.5</v>
      </c>
      <c r="J95" s="514" t="inlineStr">
        <is>
          <t>🟢 LIVE 21:26 22/05/2026</t>
        </is>
      </c>
      <c r="K95" s="1024">
        <f>IF(A95='🎯 SÓI v42 — TRA CỨU &amp; DEEP DIV'!$C$4,"⭐ ĐANG XEM","")</f>
        <v/>
      </c>
    </row>
    <row r="96" ht="15" customHeight="1" s="981">
      <c r="A96" s="514" t="inlineStr">
        <is>
          <t>HAH</t>
        </is>
      </c>
      <c r="B96" s="514" t="inlineStr">
        <is>
          <t>Hải An</t>
        </is>
      </c>
      <c r="C96" s="514" t="inlineStr">
        <is>
          <t>Vận tải biển</t>
        </is>
      </c>
      <c r="D96" s="515" t="n">
        <v>54500</v>
      </c>
      <c r="E96" s="514" t="n">
        <v>-600</v>
      </c>
      <c r="F96" s="514" t="n">
        <v>-1.09</v>
      </c>
      <c r="G96" s="514" t="n">
        <v>411400</v>
      </c>
      <c r="H96" s="514" t="n">
        <v>11.5</v>
      </c>
      <c r="I96" s="514" t="n">
        <v>1.4</v>
      </c>
      <c r="J96" s="514" t="inlineStr">
        <is>
          <t>🟢 LIVE 21:26 22/05/2026</t>
        </is>
      </c>
      <c r="K96" s="1024">
        <f>IF(A96='🎯 SÓI v42 — TRA CỨU &amp; DEEP DIV'!$C$4,"⭐ ĐANG XEM","")</f>
        <v/>
      </c>
    </row>
    <row r="97" ht="15" customHeight="1" s="981">
      <c r="A97" s="514" t="inlineStr">
        <is>
          <t>VOS</t>
        </is>
      </c>
      <c r="B97" s="514" t="inlineStr">
        <is>
          <t>Vận tải Bắc-Nam</t>
        </is>
      </c>
      <c r="C97" s="514" t="inlineStr">
        <is>
          <t>Vận tải biển</t>
        </is>
      </c>
      <c r="D97" s="515" t="n">
        <v>12450</v>
      </c>
      <c r="E97" s="514" t="n">
        <v>-100</v>
      </c>
      <c r="F97" s="514" t="n">
        <v>-0.8</v>
      </c>
      <c r="G97" s="514" t="n">
        <v>642800</v>
      </c>
      <c r="H97" s="514" t="n">
        <v>14.5</v>
      </c>
      <c r="I97" s="514" t="n">
        <v>0.95</v>
      </c>
      <c r="J97" s="514" t="inlineStr">
        <is>
          <t>🟢 LIVE 21:26 22/05/2026</t>
        </is>
      </c>
      <c r="K97" s="1024">
        <f>IF(A97='🎯 SÓI v42 — TRA CỨU &amp; DEEP DIV'!$C$4,"⭐ ĐANG XEM","")</f>
        <v/>
      </c>
    </row>
    <row r="98" ht="15" customHeight="1" s="981">
      <c r="A98" s="514" t="inlineStr">
        <is>
          <t>PVT</t>
        </is>
      </c>
      <c r="B98" s="514" t="inlineStr">
        <is>
          <t>Tàu PVN</t>
        </is>
      </c>
      <c r="C98" s="514" t="inlineStr">
        <is>
          <t>Vận tải biển</t>
        </is>
      </c>
      <c r="D98" s="515" t="n">
        <v>23150</v>
      </c>
      <c r="E98" s="514" t="n">
        <v>50</v>
      </c>
      <c r="F98" s="514" t="n">
        <v>0.22</v>
      </c>
      <c r="G98" s="514" t="n">
        <v>2757100</v>
      </c>
      <c r="H98" s="514" t="n">
        <v>11.6</v>
      </c>
      <c r="I98" s="514" t="n">
        <v>1.4</v>
      </c>
      <c r="J98" s="514" t="inlineStr">
        <is>
          <t>🟢 LIVE 21:26 22/05/2026</t>
        </is>
      </c>
      <c r="K98" s="1024">
        <f>IF(A98='🎯 SÓI v42 — TRA CỨU &amp; DEEP DIV'!$C$4,"⭐ ĐANG XEM","")</f>
        <v/>
      </c>
    </row>
    <row r="99" ht="15" customHeight="1" s="981">
      <c r="A99" s="514" t="inlineStr">
        <is>
          <t>VTP</t>
        </is>
      </c>
      <c r="B99" s="514" t="inlineStr">
        <is>
          <t>Viettel Post</t>
        </is>
      </c>
      <c r="C99" s="514" t="inlineStr">
        <is>
          <t>Logistics</t>
        </is>
      </c>
      <c r="D99" s="515" t="n">
        <v>67000</v>
      </c>
      <c r="E99" s="514" t="n">
        <v>-1900</v>
      </c>
      <c r="F99" s="514" t="n">
        <v>-2.76</v>
      </c>
      <c r="G99" s="514" t="n">
        <v>883200</v>
      </c>
      <c r="H99" s="514" t="n">
        <v>16.5</v>
      </c>
      <c r="I99" s="514" t="n">
        <v>2.2</v>
      </c>
      <c r="J99" s="514" t="inlineStr">
        <is>
          <t>🟢 LIVE 21:26 22/05/2026</t>
        </is>
      </c>
      <c r="K99" s="1024">
        <f>IF(A99='🎯 SÓI v42 — TRA CỨU &amp; DEEP DIV'!$C$4,"⭐ ĐANG XEM","")</f>
        <v/>
      </c>
    </row>
    <row r="100" ht="15" customHeight="1" s="981">
      <c r="A100" s="514" t="inlineStr">
        <is>
          <t>STG</t>
        </is>
      </c>
      <c r="B100" s="514" t="inlineStr">
        <is>
          <t>Sotrans</t>
        </is>
      </c>
      <c r="C100" s="514" t="inlineStr">
        <is>
          <t>Logistics</t>
        </is>
      </c>
      <c r="D100" s="515" t="n">
        <v>32650</v>
      </c>
      <c r="E100" s="514" t="n"/>
      <c r="F100" s="514" t="n"/>
      <c r="G100" s="514" t="n"/>
      <c r="H100" s="514" t="n">
        <v>24.5</v>
      </c>
      <c r="I100" s="514" t="n">
        <v>1.3</v>
      </c>
      <c r="J100" s="514" t="inlineStr">
        <is>
          <t>vnstock 19:52 28/05/2026</t>
        </is>
      </c>
      <c r="K100" s="1024">
        <f>IF(A100='🎯 SÓI v42 — TRA CỨU &amp; DEEP DIV'!$C$4,"⭐ ĐANG XEM","")</f>
        <v/>
      </c>
    </row>
    <row r="101" ht="15" customHeight="1" s="981">
      <c r="A101" s="514" t="inlineStr">
        <is>
          <t>SCS</t>
        </is>
      </c>
      <c r="B101" s="514" t="inlineStr">
        <is>
          <t>Cargo SG</t>
        </is>
      </c>
      <c r="C101" s="514" t="inlineStr">
        <is>
          <t>Cargo</t>
        </is>
      </c>
      <c r="D101" s="515" t="n">
        <v>51800</v>
      </c>
      <c r="E101" s="514" t="n">
        <v>-100</v>
      </c>
      <c r="F101" s="514" t="n">
        <v>-0.19</v>
      </c>
      <c r="G101" s="514" t="n">
        <v>73200</v>
      </c>
      <c r="H101" s="514" t="n">
        <v>15.4</v>
      </c>
      <c r="I101" s="514" t="n">
        <v>3.2</v>
      </c>
      <c r="J101" s="514" t="inlineStr">
        <is>
          <t>🟢 LIVE 21:26 22/05/2026</t>
        </is>
      </c>
      <c r="K101" s="1024">
        <f>IF(A101='🎯 SÓI v42 — TRA CỨU &amp; DEEP DIV'!$C$4,"⭐ ĐANG XEM","")</f>
        <v/>
      </c>
    </row>
    <row r="102" ht="15" customHeight="1" s="981">
      <c r="A102" s="514" t="inlineStr">
        <is>
          <t>NCT</t>
        </is>
      </c>
      <c r="B102" s="514" t="inlineStr">
        <is>
          <t>Cảng Nhà Bè</t>
        </is>
      </c>
      <c r="C102" s="514" t="inlineStr">
        <is>
          <t>Cargo</t>
        </is>
      </c>
      <c r="D102" s="515" t="n">
        <v>91100</v>
      </c>
      <c r="E102" s="514" t="n">
        <v>-200</v>
      </c>
      <c r="F102" s="514" t="n">
        <v>-0.22</v>
      </c>
      <c r="G102" s="514" t="n">
        <v>17000</v>
      </c>
      <c r="H102" s="514" t="n">
        <v>12.4</v>
      </c>
      <c r="I102" s="514" t="n">
        <v>2.4</v>
      </c>
      <c r="J102" s="514" t="inlineStr">
        <is>
          <t>🟢 LIVE 21:26 22/05/2026</t>
        </is>
      </c>
      <c r="K102" s="1024">
        <f>IF(A102='🎯 SÓI v42 — TRA CỨU &amp; DEEP DIV'!$C$4,"⭐ ĐANG XEM","")</f>
        <v/>
      </c>
    </row>
    <row r="103" ht="15" customHeight="1" s="981">
      <c r="A103" s="514" t="inlineStr">
        <is>
          <t>ACV</t>
        </is>
      </c>
      <c r="B103" s="514" t="inlineStr">
        <is>
          <t>Cảng Hàng Không VN</t>
        </is>
      </c>
      <c r="C103" s="514" t="inlineStr">
        <is>
          <t>Hàng không</t>
        </is>
      </c>
      <c r="D103" s="515" t="n">
        <v>44100</v>
      </c>
      <c r="E103" s="514" t="n">
        <v>0</v>
      </c>
      <c r="F103" s="514" t="n">
        <v>0</v>
      </c>
      <c r="G103" s="514" t="n">
        <v>797600</v>
      </c>
      <c r="H103" s="514" t="n">
        <v>24.5</v>
      </c>
      <c r="I103" s="514" t="n">
        <v>3.2</v>
      </c>
      <c r="J103" s="514" t="inlineStr">
        <is>
          <t>🟢 LIVE 21:26 22/05/2026</t>
        </is>
      </c>
      <c r="K103" s="1024">
        <f>IF(A103='🎯 SÓI v42 — TRA CỨU &amp; DEEP DIV'!$C$4,"⭐ ĐANG XEM","")</f>
        <v/>
      </c>
    </row>
    <row r="104" ht="15" customHeight="1" s="981">
      <c r="A104" s="514" t="inlineStr">
        <is>
          <t>VJC</t>
        </is>
      </c>
      <c r="B104" s="514" t="inlineStr">
        <is>
          <t>Vietjet Air</t>
        </is>
      </c>
      <c r="C104" s="514" t="inlineStr">
        <is>
          <t>Hàng không</t>
        </is>
      </c>
      <c r="D104" s="515" t="n">
        <v>170100</v>
      </c>
      <c r="E104" s="514" t="n">
        <v>-3400</v>
      </c>
      <c r="F104" s="514" t="n">
        <v>-1.96</v>
      </c>
      <c r="G104" s="514" t="n">
        <v>1084400</v>
      </c>
      <c r="H104" s="514" t="n">
        <v>28.4</v>
      </c>
      <c r="I104" s="514" t="n">
        <v>3.1</v>
      </c>
      <c r="J104" s="514" t="inlineStr">
        <is>
          <t>🟢 LIVE 21:26 22/05/2026</t>
        </is>
      </c>
      <c r="K104" s="1024">
        <f>IF(A104='🎯 SÓI v42 — TRA CỨU &amp; DEEP DIV'!$C$4,"⭐ ĐANG XEM","")</f>
        <v/>
      </c>
    </row>
    <row r="105" ht="15" customHeight="1" s="981">
      <c r="A105" s="514" t="inlineStr">
        <is>
          <t>HVN</t>
        </is>
      </c>
      <c r="B105" s="514" t="inlineStr">
        <is>
          <t>Vietnam Airlines</t>
        </is>
      </c>
      <c r="C105" s="514" t="inlineStr">
        <is>
          <t>Hàng không</t>
        </is>
      </c>
      <c r="D105" s="515" t="n">
        <v>20950</v>
      </c>
      <c r="E105" s="514" t="n">
        <v>-200</v>
      </c>
      <c r="F105" s="514" t="n">
        <v>-0.95</v>
      </c>
      <c r="G105" s="514" t="n">
        <v>800700</v>
      </c>
      <c r="H105" s="514" t="n">
        <v>32.5</v>
      </c>
      <c r="I105" s="514" t="n">
        <v>6.5</v>
      </c>
      <c r="J105" s="514" t="inlineStr">
        <is>
          <t>🟢 LIVE 21:26 22/05/2026</t>
        </is>
      </c>
      <c r="K105" s="1024">
        <f>IF(A105='🎯 SÓI v42 — TRA CỨU &amp; DEEP DIV'!$C$4,"⭐ ĐANG XEM","")</f>
        <v/>
      </c>
    </row>
    <row r="106" ht="15" customHeight="1" s="981">
      <c r="A106" s="514" t="inlineStr">
        <is>
          <t>TCM</t>
        </is>
      </c>
      <c r="B106" s="514" t="inlineStr">
        <is>
          <t>Thành Công</t>
        </is>
      </c>
      <c r="C106" s="514" t="inlineStr">
        <is>
          <t>Dệt may</t>
        </is>
      </c>
      <c r="D106" s="515" t="n">
        <v>21150</v>
      </c>
      <c r="E106" s="514" t="n"/>
      <c r="F106" s="514" t="n"/>
      <c r="G106" s="514" t="n"/>
      <c r="H106" s="514" t="n">
        <v>24.5</v>
      </c>
      <c r="I106" s="514" t="n">
        <v>1.4</v>
      </c>
      <c r="J106" s="514" t="inlineStr">
        <is>
          <t>vnstock 19:52 28/05/2026</t>
        </is>
      </c>
      <c r="K106" s="1024">
        <f>IF(A106='🎯 SÓI v42 — TRA CỨU &amp; DEEP DIV'!$C$4,"⭐ ĐANG XEM","")</f>
        <v/>
      </c>
    </row>
    <row r="107" ht="15" customHeight="1" s="981">
      <c r="A107" s="514" t="inlineStr">
        <is>
          <t>STK</t>
        </is>
      </c>
      <c r="B107" s="514" t="inlineStr">
        <is>
          <t>Sợi Thế Kỷ</t>
        </is>
      </c>
      <c r="C107" s="514" t="inlineStr">
        <is>
          <t>Dệt may</t>
        </is>
      </c>
      <c r="D107" s="515" t="n">
        <v>12100</v>
      </c>
      <c r="E107" s="514" t="n"/>
      <c r="F107" s="514" t="n"/>
      <c r="G107" s="514" t="n"/>
      <c r="H107" s="514" t="n">
        <v>32.5</v>
      </c>
      <c r="I107" s="514" t="n">
        <v>1.2</v>
      </c>
      <c r="J107" s="514" t="inlineStr">
        <is>
          <t>vnstock 19:52 28/05/2026</t>
        </is>
      </c>
      <c r="K107" s="1024">
        <f>IF(A107='🎯 SÓI v42 — TRA CỨU &amp; DEEP DIV'!$C$4,"⭐ ĐANG XEM","")</f>
        <v/>
      </c>
    </row>
    <row r="108" ht="15" customHeight="1" s="981">
      <c r="A108" s="514" t="inlineStr">
        <is>
          <t>MSH</t>
        </is>
      </c>
      <c r="B108" s="514" t="inlineStr">
        <is>
          <t>May Sông Hồng</t>
        </is>
      </c>
      <c r="C108" s="514" t="inlineStr">
        <is>
          <t>Dệt may</t>
        </is>
      </c>
      <c r="D108" s="515" t="n">
        <v>34400</v>
      </c>
      <c r="E108" s="514" t="n"/>
      <c r="F108" s="514" t="n"/>
      <c r="G108" s="514" t="n"/>
      <c r="H108" s="514" t="n">
        <v>12.4</v>
      </c>
      <c r="I108" s="514" t="n">
        <v>1.5</v>
      </c>
      <c r="J108" s="514" t="inlineStr">
        <is>
          <t>vnstock 19:52 28/05/2026</t>
        </is>
      </c>
      <c r="K108" s="1024">
        <f>IF(A108='🎯 SÓI v42 — TRA CỨU &amp; DEEP DIV'!$C$4,"⭐ ĐANG XEM","")</f>
        <v/>
      </c>
    </row>
    <row r="109" ht="15" customHeight="1" s="981">
      <c r="A109" s="514" t="inlineStr">
        <is>
          <t>TNG</t>
        </is>
      </c>
      <c r="B109" s="514" t="inlineStr">
        <is>
          <t>Đầu Tư &amp; TM TNG</t>
        </is>
      </c>
      <c r="C109" s="514" t="inlineStr">
        <is>
          <t>Dệt may</t>
        </is>
      </c>
      <c r="D109" s="515" t="n">
        <v>18900</v>
      </c>
      <c r="E109" s="514" t="n">
        <v>0</v>
      </c>
      <c r="F109" s="514" t="n">
        <v>0</v>
      </c>
      <c r="G109" s="514" t="n">
        <v>686700</v>
      </c>
      <c r="H109" s="514" t="n">
        <v>10.5</v>
      </c>
      <c r="I109" s="514" t="n">
        <v>1.4</v>
      </c>
      <c r="J109" s="514" t="inlineStr">
        <is>
          <t>🟢 LIVE 21:26 22/05/2026</t>
        </is>
      </c>
      <c r="K109" s="1024">
        <f>IF(A109='🎯 SÓI v42 — TRA CỨU &amp; DEEP DIV'!$C$4,"⭐ ĐANG XEM","")</f>
        <v/>
      </c>
    </row>
    <row r="110" ht="15" customHeight="1" s="981">
      <c r="A110" s="514" t="inlineStr">
        <is>
          <t>GIL</t>
        </is>
      </c>
      <c r="B110" s="514" t="inlineStr">
        <is>
          <t>GIL</t>
        </is>
      </c>
      <c r="C110" s="514" t="inlineStr">
        <is>
          <t>Dệt may</t>
        </is>
      </c>
      <c r="D110" s="515" t="n">
        <v>12350</v>
      </c>
      <c r="E110" s="514" t="n">
        <v>-100</v>
      </c>
      <c r="F110" s="514" t="n">
        <v>-0.8</v>
      </c>
      <c r="G110" s="514" t="n">
        <v>214200</v>
      </c>
      <c r="H110" s="514" t="n">
        <v>16.5</v>
      </c>
      <c r="I110" s="514" t="n">
        <v>1.2</v>
      </c>
      <c r="J110" s="514" t="inlineStr">
        <is>
          <t>🟢 LIVE 21:26 22/05/2026</t>
        </is>
      </c>
      <c r="K110" s="1024">
        <f>IF(A110='🎯 SÓI v42 — TRA CỨU &amp; DEEP DIV'!$C$4,"⭐ ĐANG XEM","")</f>
        <v/>
      </c>
    </row>
    <row r="111" ht="15" customHeight="1" s="981">
      <c r="A111" s="514" t="inlineStr">
        <is>
          <t>DHG</t>
        </is>
      </c>
      <c r="B111" s="514" t="inlineStr">
        <is>
          <t>Dược Hậu Giang</t>
        </is>
      </c>
      <c r="C111" s="514" t="inlineStr">
        <is>
          <t>Dược</t>
        </is>
      </c>
      <c r="D111" s="515" t="n">
        <v>94400</v>
      </c>
      <c r="E111" s="514" t="n">
        <v>-600</v>
      </c>
      <c r="F111" s="514" t="n">
        <v>-0.63</v>
      </c>
      <c r="G111" s="514" t="n">
        <v>9400</v>
      </c>
      <c r="H111" s="514" t="n">
        <v>13.5</v>
      </c>
      <c r="I111" s="514" t="n">
        <v>3.2</v>
      </c>
      <c r="J111" s="514" t="inlineStr">
        <is>
          <t>🟢 LIVE 21:26 22/05/2026</t>
        </is>
      </c>
      <c r="K111" s="1024">
        <f>IF(A111='🎯 SÓI v42 — TRA CỨU &amp; DEEP DIV'!$C$4,"⭐ ĐANG XEM","")</f>
        <v/>
      </c>
    </row>
    <row r="112" ht="15" customHeight="1" s="981">
      <c r="A112" s="514" t="inlineStr">
        <is>
          <t>IMP</t>
        </is>
      </c>
      <c r="B112" s="514" t="inlineStr">
        <is>
          <t>Imexpharm</t>
        </is>
      </c>
      <c r="C112" s="514" t="inlineStr">
        <is>
          <t>Dược</t>
        </is>
      </c>
      <c r="D112" s="515" t="n">
        <v>46650</v>
      </c>
      <c r="E112" s="514" t="n">
        <v>-250</v>
      </c>
      <c r="F112" s="514" t="n">
        <v>-0.53</v>
      </c>
      <c r="G112" s="514" t="n">
        <v>6700</v>
      </c>
      <c r="H112" s="514" t="n">
        <v>12.4</v>
      </c>
      <c r="I112" s="514" t="n">
        <v>2.4</v>
      </c>
      <c r="J112" s="514" t="inlineStr">
        <is>
          <t>🟢 LIVE 21:26 22/05/2026</t>
        </is>
      </c>
      <c r="K112" s="1024">
        <f>IF(A112='🎯 SÓI v42 — TRA CỨU &amp; DEEP DIV'!$C$4,"⭐ ĐANG XEM","")</f>
        <v/>
      </c>
    </row>
    <row r="113" ht="15" customHeight="1" s="981">
      <c r="A113" s="514" t="inlineStr">
        <is>
          <t>TRA</t>
        </is>
      </c>
      <c r="B113" s="514" t="inlineStr">
        <is>
          <t>Traphaco</t>
        </is>
      </c>
      <c r="C113" s="514" t="inlineStr">
        <is>
          <t>Dược</t>
        </is>
      </c>
      <c r="D113" s="515" t="n">
        <v>79000</v>
      </c>
      <c r="E113" s="514" t="n">
        <v>0</v>
      </c>
      <c r="F113" s="514" t="n">
        <v>0</v>
      </c>
      <c r="G113" s="514" t="n">
        <v>30700</v>
      </c>
      <c r="H113" s="514" t="n">
        <v>16.5</v>
      </c>
      <c r="I113" s="514" t="n">
        <v>2.5</v>
      </c>
      <c r="J113" s="514" t="inlineStr">
        <is>
          <t>🟢 LIVE 21:26 22/05/2026</t>
        </is>
      </c>
      <c r="K113" s="1024">
        <f>IF(A113='🎯 SÓI v42 — TRA CỨU &amp; DEEP DIV'!$C$4,"⭐ ĐANG XEM","")</f>
        <v/>
      </c>
    </row>
    <row r="114" ht="15" customHeight="1" s="981">
      <c r="A114" s="514" t="inlineStr">
        <is>
          <t>DBD</t>
        </is>
      </c>
      <c r="B114" s="514" t="inlineStr">
        <is>
          <t>Bidiphar</t>
        </is>
      </c>
      <c r="C114" s="514" t="inlineStr">
        <is>
          <t>Dược</t>
        </is>
      </c>
      <c r="D114" s="515" t="n">
        <v>50300</v>
      </c>
      <c r="E114" s="514" t="n">
        <v>100</v>
      </c>
      <c r="F114" s="514" t="n">
        <v>0.2</v>
      </c>
      <c r="G114" s="514" t="n">
        <v>24600</v>
      </c>
      <c r="H114" s="514" t="n">
        <v>14.5</v>
      </c>
      <c r="I114" s="514" t="n">
        <v>2.8</v>
      </c>
      <c r="J114" s="514" t="inlineStr">
        <is>
          <t>🟢 LIVE 21:26 22/05/2026</t>
        </is>
      </c>
      <c r="K114" s="1024">
        <f>IF(A114='🎯 SÓI v42 — TRA CỨU &amp; DEEP DIV'!$C$4,"⭐ ĐANG XEM","")</f>
        <v/>
      </c>
    </row>
    <row r="115" ht="15" customHeight="1" s="981">
      <c r="A115" s="514" t="inlineStr">
        <is>
          <t>OPC</t>
        </is>
      </c>
      <c r="B115" s="514" t="inlineStr">
        <is>
          <t>OPC Pharma</t>
        </is>
      </c>
      <c r="C115" s="514" t="inlineStr">
        <is>
          <t>Dược</t>
        </is>
      </c>
      <c r="D115" s="515" t="n">
        <v>23500</v>
      </c>
      <c r="E115" s="514" t="n">
        <v>0</v>
      </c>
      <c r="F115" s="514" t="n">
        <v>0</v>
      </c>
      <c r="G115" s="514" t="n">
        <v>700</v>
      </c>
      <c r="H115" s="514" t="n">
        <v>14.5</v>
      </c>
      <c r="I115" s="514" t="n">
        <v>2.1</v>
      </c>
      <c r="J115" s="514" t="inlineStr">
        <is>
          <t>🟢 LIVE 21:26 22/05/2026</t>
        </is>
      </c>
      <c r="K115" s="1024">
        <f>IF(A115='🎯 SÓI v42 — TRA CỨU &amp; DEEP DIV'!$C$4,"⭐ ĐANG XEM","")</f>
        <v/>
      </c>
    </row>
    <row r="116" ht="15" customHeight="1" s="981">
      <c r="A116" s="514" t="inlineStr">
        <is>
          <t>DBM</t>
        </is>
      </c>
      <c r="B116" s="514" t="inlineStr">
        <is>
          <t>Dược Bến Tre</t>
        </is>
      </c>
      <c r="C116" s="514" t="inlineStr">
        <is>
          <t>Dược</t>
        </is>
      </c>
      <c r="D116" s="515" t="n">
        <v>23800</v>
      </c>
      <c r="E116" s="514" t="n"/>
      <c r="F116" s="514" t="n"/>
      <c r="G116" s="514" t="n"/>
      <c r="H116" s="514" t="n"/>
      <c r="I116" s="514" t="n"/>
      <c r="J116" s="514" t="inlineStr">
        <is>
          <t>vnstock 19:52 28/05/2026</t>
        </is>
      </c>
      <c r="K116" s="1024">
        <f>IF(A116='🎯 SÓI v42 — TRA CỨU &amp; DEEP DIV'!$C$4,"⭐ ĐANG XEM","")</f>
        <v/>
      </c>
    </row>
    <row r="117" ht="15" customHeight="1" s="981">
      <c r="A117" s="514" t="inlineStr">
        <is>
          <t>PHR</t>
        </is>
      </c>
      <c r="B117" s="514" t="inlineStr">
        <is>
          <t>Phú Riềng</t>
        </is>
      </c>
      <c r="C117" s="514" t="inlineStr">
        <is>
          <t>Cao su</t>
        </is>
      </c>
      <c r="D117" s="515" t="n">
        <v>67000</v>
      </c>
      <c r="E117" s="514" t="n">
        <v>-2500</v>
      </c>
      <c r="F117" s="514" t="n">
        <v>-3.6</v>
      </c>
      <c r="G117" s="514" t="n">
        <v>725700</v>
      </c>
      <c r="H117" s="514" t="n">
        <v>13.5</v>
      </c>
      <c r="I117" s="514" t="n">
        <v>1.7</v>
      </c>
      <c r="J117" s="514" t="inlineStr">
        <is>
          <t>🟢 LIVE 21:26 22/05/2026</t>
        </is>
      </c>
      <c r="K117" s="1024">
        <f>IF(A117='🎯 SÓI v42 — TRA CỨU &amp; DEEP DIV'!$C$4,"⭐ ĐANG XEM","")</f>
        <v/>
      </c>
    </row>
    <row r="118" ht="15" customHeight="1" s="981">
      <c r="A118" s="514" t="inlineStr">
        <is>
          <t>DPR</t>
        </is>
      </c>
      <c r="B118" s="514" t="inlineStr">
        <is>
          <t>Đồng Phú</t>
        </is>
      </c>
      <c r="C118" s="514" t="inlineStr">
        <is>
          <t>Cao su</t>
        </is>
      </c>
      <c r="D118" s="515" t="n">
        <v>41500</v>
      </c>
      <c r="E118" s="514" t="n"/>
      <c r="F118" s="514" t="n"/>
      <c r="G118" s="514" t="n"/>
      <c r="H118" s="514" t="n">
        <v>12.5</v>
      </c>
      <c r="I118" s="514" t="n">
        <v>1.1</v>
      </c>
      <c r="J118" s="514" t="inlineStr">
        <is>
          <t>vnstock 19:52 28/05/2026</t>
        </is>
      </c>
      <c r="K118" s="1024">
        <f>IF(A118='🎯 SÓI v42 — TRA CỨU &amp; DEEP DIV'!$C$4,"⭐ ĐANG XEM","")</f>
        <v/>
      </c>
    </row>
    <row r="119" ht="15" customHeight="1" s="981">
      <c r="A119" s="514" t="inlineStr">
        <is>
          <t>TRC</t>
        </is>
      </c>
      <c r="B119" s="514" t="inlineStr">
        <is>
          <t>Tây Ninh</t>
        </is>
      </c>
      <c r="C119" s="514" t="inlineStr">
        <is>
          <t>Cao su</t>
        </is>
      </c>
      <c r="D119" s="515" t="n">
        <v>76000</v>
      </c>
      <c r="E119" s="514" t="n"/>
      <c r="F119" s="514" t="n"/>
      <c r="G119" s="514" t="n"/>
      <c r="H119" s="514" t="n">
        <v>14.5</v>
      </c>
      <c r="I119" s="514" t="n">
        <v>1.2</v>
      </c>
      <c r="J119" s="514" t="inlineStr">
        <is>
          <t>vnstock 19:52 28/05/2026</t>
        </is>
      </c>
      <c r="K119" s="1024">
        <f>IF(A119='🎯 SÓI v42 — TRA CỨU &amp; DEEP DIV'!$C$4,"⭐ ĐANG XEM","")</f>
        <v/>
      </c>
    </row>
    <row r="120" ht="15" customHeight="1" s="981">
      <c r="A120" s="514" t="inlineStr">
        <is>
          <t>GVR</t>
        </is>
      </c>
      <c r="B120" s="514" t="inlineStr">
        <is>
          <t>Cao su VN</t>
        </is>
      </c>
      <c r="C120" s="514" t="inlineStr">
        <is>
          <t>Cao su</t>
        </is>
      </c>
      <c r="D120" s="515" t="n">
        <v>35300</v>
      </c>
      <c r="E120" s="514" t="n">
        <v>-900</v>
      </c>
      <c r="F120" s="514" t="n">
        <v>-2.49</v>
      </c>
      <c r="G120" s="514" t="n">
        <v>2908400</v>
      </c>
      <c r="H120" s="514" t="n">
        <v>24.5</v>
      </c>
      <c r="I120" s="514" t="n">
        <v>1.8</v>
      </c>
      <c r="J120" s="514" t="inlineStr">
        <is>
          <t>🟢 LIVE 21:26 22/05/2026</t>
        </is>
      </c>
      <c r="K120" s="1024">
        <f>IF(A120='🎯 SÓI v42 — TRA CỨU &amp; DEEP DIV'!$C$4,"⭐ ĐANG XEM","")</f>
        <v/>
      </c>
    </row>
    <row r="121" ht="15" customHeight="1" s="981">
      <c r="A121" s="514" t="inlineStr">
        <is>
          <t>VHL</t>
        </is>
      </c>
      <c r="B121" s="514" t="inlineStr">
        <is>
          <t>Viglacera</t>
        </is>
      </c>
      <c r="C121" s="514" t="inlineStr">
        <is>
          <t>Vật liệu xd</t>
        </is>
      </c>
      <c r="D121" s="515" t="n">
        <v>10300</v>
      </c>
      <c r="E121" s="514" t="n"/>
      <c r="F121" s="514" t="n"/>
      <c r="G121" s="514" t="n"/>
      <c r="H121" s="514" t="n">
        <v>12.5</v>
      </c>
      <c r="I121" s="514" t="n">
        <v>1.3</v>
      </c>
      <c r="J121" s="514" t="inlineStr">
        <is>
          <t>vnstock 19:52 28/05/2026</t>
        </is>
      </c>
      <c r="K121" s="1024">
        <f>IF(A121='🎯 SÓI v42 — TRA CỨU &amp; DEEP DIV'!$C$4,"⭐ ĐANG XEM","")</f>
        <v/>
      </c>
    </row>
    <row r="122" ht="15" customHeight="1" s="981">
      <c r="A122" s="514" t="inlineStr">
        <is>
          <t>KBC</t>
        </is>
      </c>
      <c r="B122" s="514" t="inlineStr">
        <is>
          <t>Kinh Bắc</t>
        </is>
      </c>
      <c r="C122" s="514" t="inlineStr">
        <is>
          <t>BĐS KCN</t>
        </is>
      </c>
      <c r="D122" s="515" t="n">
        <v>31500</v>
      </c>
      <c r="E122" s="514" t="n">
        <v>-100</v>
      </c>
      <c r="F122" s="514" t="n">
        <v>-0.32</v>
      </c>
      <c r="G122" s="514" t="n">
        <v>2486300</v>
      </c>
      <c r="H122" s="514" t="n">
        <v>16.8</v>
      </c>
      <c r="I122" s="514" t="n">
        <v>1.5</v>
      </c>
      <c r="J122" s="514" t="inlineStr">
        <is>
          <t>🟢 LIVE 21:26 22/05/2026</t>
        </is>
      </c>
      <c r="K122" s="1024">
        <f>IF(A122='🎯 SÓI v42 — TRA CỨU &amp; DEEP DIV'!$C$4,"⭐ ĐANG XEM","")</f>
        <v/>
      </c>
    </row>
    <row r="123" ht="15" customHeight="1" s="981">
      <c r="A123" s="514" t="inlineStr">
        <is>
          <t>IDC</t>
        </is>
      </c>
      <c r="B123" s="514" t="inlineStr">
        <is>
          <t>IDICO</t>
        </is>
      </c>
      <c r="C123" s="514" t="inlineStr">
        <is>
          <t>BĐS KCN</t>
        </is>
      </c>
      <c r="D123" s="515" t="n">
        <v>43600</v>
      </c>
      <c r="E123" s="514" t="n">
        <v>-600</v>
      </c>
      <c r="F123" s="514" t="n">
        <v>-1.36</v>
      </c>
      <c r="G123" s="514" t="n">
        <v>943200</v>
      </c>
      <c r="H123" s="514" t="n">
        <v>15.6</v>
      </c>
      <c r="I123" s="514" t="n">
        <v>2.1</v>
      </c>
      <c r="J123" s="514" t="inlineStr">
        <is>
          <t>🟢 LIVE 21:26 22/05/2026</t>
        </is>
      </c>
      <c r="K123" s="1024">
        <f>IF(A123='🎯 SÓI v42 — TRA CỨU &amp; DEEP DIV'!$C$4,"⭐ ĐANG XEM","")</f>
        <v/>
      </c>
    </row>
    <row r="124" ht="15" customHeight="1" s="981">
      <c r="A124" s="514" t="inlineStr">
        <is>
          <t>LHG</t>
        </is>
      </c>
      <c r="B124" s="514" t="inlineStr">
        <is>
          <t>Long Hậu</t>
        </is>
      </c>
      <c r="C124" s="514" t="inlineStr">
        <is>
          <t>BĐS KCN</t>
        </is>
      </c>
      <c r="D124" s="515" t="n">
        <v>27300</v>
      </c>
      <c r="E124" s="514" t="n">
        <v>-100</v>
      </c>
      <c r="F124" s="514" t="n">
        <v>-0.36</v>
      </c>
      <c r="G124" s="514" t="n">
        <v>83300</v>
      </c>
      <c r="H124" s="514" t="n">
        <v>11.5</v>
      </c>
      <c r="I124" s="514" t="n">
        <v>1.8</v>
      </c>
      <c r="J124" s="514" t="inlineStr">
        <is>
          <t>🟢 LIVE 21:26 22/05/2026</t>
        </is>
      </c>
      <c r="K124" s="1024">
        <f>IF(A124='🎯 SÓI v42 — TRA CỨU &amp; DEEP DIV'!$C$4,"⭐ ĐANG XEM","")</f>
        <v/>
      </c>
    </row>
    <row r="125" ht="15" customHeight="1" s="981">
      <c r="A125" s="514" t="inlineStr">
        <is>
          <t>SZC</t>
        </is>
      </c>
      <c r="B125" s="514" t="inlineStr">
        <is>
          <t>Sonadezi Châu Đức</t>
        </is>
      </c>
      <c r="C125" s="514" t="inlineStr">
        <is>
          <t>BĐS KCN</t>
        </is>
      </c>
      <c r="D125" s="515" t="n">
        <v>24700</v>
      </c>
      <c r="E125" s="514" t="n">
        <v>-300</v>
      </c>
      <c r="F125" s="514" t="n">
        <v>-1.2</v>
      </c>
      <c r="G125" s="514" t="n">
        <v>593800</v>
      </c>
      <c r="H125" s="514" t="n">
        <v>14.7</v>
      </c>
      <c r="I125" s="514" t="n">
        <v>2.4</v>
      </c>
      <c r="J125" s="514" t="inlineStr">
        <is>
          <t>🟢 LIVE 21:26 22/05/2026</t>
        </is>
      </c>
      <c r="K125" s="1024">
        <f>IF(A125='🎯 SÓI v42 — TRA CỨU &amp; DEEP DIV'!$C$4,"⭐ ĐANG XEM","")</f>
        <v/>
      </c>
    </row>
    <row r="126" ht="15" customHeight="1" s="981">
      <c r="A126" s="514" t="inlineStr">
        <is>
          <t>TIP</t>
        </is>
      </c>
      <c r="B126" s="514" t="inlineStr">
        <is>
          <t>Tiền Phong</t>
        </is>
      </c>
      <c r="C126" s="514" t="inlineStr">
        <is>
          <t>BĐS KCN</t>
        </is>
      </c>
      <c r="D126" s="515" t="n">
        <v>18300</v>
      </c>
      <c r="E126" s="514" t="n">
        <v>150</v>
      </c>
      <c r="F126" s="514" t="n">
        <v>0.83</v>
      </c>
      <c r="G126" s="514" t="n">
        <v>18900</v>
      </c>
      <c r="H126" s="514" t="n">
        <v>16.4</v>
      </c>
      <c r="I126" s="514" t="n">
        <v>1.5</v>
      </c>
      <c r="J126" s="514" t="inlineStr">
        <is>
          <t>🟢 LIVE 21:26 22/05/2026</t>
        </is>
      </c>
      <c r="K126" s="1024">
        <f>IF(A126='🎯 SÓI v42 — TRA CỨU &amp; DEEP DIV'!$C$4,"⭐ ĐANG XEM","")</f>
        <v/>
      </c>
    </row>
    <row r="127" ht="15" customHeight="1" s="981">
      <c r="A127" s="514" t="inlineStr">
        <is>
          <t>NTC</t>
        </is>
      </c>
      <c r="B127" s="514" t="inlineStr">
        <is>
          <t>Nam Tân Uyên</t>
        </is>
      </c>
      <c r="C127" s="514" t="inlineStr">
        <is>
          <t>BĐS KCN</t>
        </is>
      </c>
      <c r="D127" s="515" t="n">
        <v>139800</v>
      </c>
      <c r="E127" s="514" t="n"/>
      <c r="F127" s="514" t="n"/>
      <c r="G127" s="514" t="n"/>
      <c r="H127" s="514" t="n">
        <v>9.800000000000001</v>
      </c>
      <c r="I127" s="514" t="n">
        <v>2.4</v>
      </c>
      <c r="J127" s="514" t="inlineStr">
        <is>
          <t>vnstock 19:52 28/05/2026</t>
        </is>
      </c>
      <c r="K127" s="1024">
        <f>IF(A127='🎯 SÓI v42 — TRA CỨU &amp; DEEP DIV'!$C$4,"⭐ ĐANG XEM","")</f>
        <v/>
      </c>
    </row>
    <row r="128" ht="15" customHeight="1" s="981">
      <c r="A128" s="514" t="inlineStr">
        <is>
          <t>SIP</t>
        </is>
      </c>
      <c r="B128" s="514" t="inlineStr">
        <is>
          <t>SIP</t>
        </is>
      </c>
      <c r="C128" s="514" t="inlineStr">
        <is>
          <t>BĐS KCN</t>
        </is>
      </c>
      <c r="D128" s="515" t="n">
        <v>52000</v>
      </c>
      <c r="E128" s="514" t="n">
        <v>0</v>
      </c>
      <c r="F128" s="514" t="n">
        <v>0</v>
      </c>
      <c r="G128" s="514" t="n">
        <v>214000</v>
      </c>
      <c r="H128" s="514" t="n">
        <v>13.5</v>
      </c>
      <c r="I128" s="514" t="n">
        <v>2.2</v>
      </c>
      <c r="J128" s="514" t="inlineStr">
        <is>
          <t>🟢 LIVE 21:26 22/05/2026</t>
        </is>
      </c>
      <c r="K128" s="1024">
        <f>IF(A128='🎯 SÓI v42 — TRA CỨU &amp; DEEP DIV'!$C$4,"⭐ ĐANG XEM","")</f>
        <v/>
      </c>
    </row>
    <row r="129" ht="15" customHeight="1" s="981">
      <c r="A129" s="514" t="inlineStr">
        <is>
          <t>KSB</t>
        </is>
      </c>
      <c r="B129" s="514" t="inlineStr">
        <is>
          <t>KSB</t>
        </is>
      </c>
      <c r="C129" s="514" t="inlineStr">
        <is>
          <t>Khoáng sản</t>
        </is>
      </c>
      <c r="D129" s="515" t="n">
        <v>15450</v>
      </c>
      <c r="E129" s="514" t="n">
        <v>150</v>
      </c>
      <c r="F129" s="514" t="n">
        <v>0.98</v>
      </c>
      <c r="G129" s="514" t="n">
        <v>529000</v>
      </c>
      <c r="H129" s="514" t="n">
        <v>16.5</v>
      </c>
      <c r="I129" s="514" t="n">
        <v>1.4</v>
      </c>
      <c r="J129" s="514" t="inlineStr">
        <is>
          <t>🟢 LIVE 21:26 22/05/2026</t>
        </is>
      </c>
      <c r="K129" s="1024">
        <f>IF(A129='🎯 SÓI v42 — TRA CỨU &amp; DEEP DIV'!$C$4,"⭐ ĐANG XEM","")</f>
        <v/>
      </c>
    </row>
    <row r="130" ht="15" customHeight="1" s="981">
      <c r="A130" s="514" t="inlineStr">
        <is>
          <t>BMP</t>
        </is>
      </c>
      <c r="B130" s="514" t="inlineStr">
        <is>
          <t>Bình Minh</t>
        </is>
      </c>
      <c r="C130" s="514" t="inlineStr">
        <is>
          <t>Nhựa</t>
        </is>
      </c>
      <c r="D130" s="515" t="n">
        <v>138000</v>
      </c>
      <c r="E130" s="514" t="n">
        <v>-1400</v>
      </c>
      <c r="F130" s="514" t="n">
        <v>-1</v>
      </c>
      <c r="G130" s="514" t="n">
        <v>56800</v>
      </c>
      <c r="H130" s="514" t="n">
        <v>9.800000000000001</v>
      </c>
      <c r="I130" s="514" t="n">
        <v>3.4</v>
      </c>
      <c r="J130" s="514" t="inlineStr">
        <is>
          <t>🟢 LIVE 21:26 22/05/2026</t>
        </is>
      </c>
      <c r="K130" s="1024">
        <f>IF(A130='🎯 SÓI v42 — TRA CỨU &amp; DEEP DIV'!$C$4,"⭐ ĐANG XEM","")</f>
        <v/>
      </c>
    </row>
    <row r="131" ht="15" customHeight="1" s="981">
      <c r="A131" s="514" t="inlineStr">
        <is>
          <t>NTP</t>
        </is>
      </c>
      <c r="B131" s="514" t="inlineStr">
        <is>
          <t>Nhựa Tiền Phong</t>
        </is>
      </c>
      <c r="C131" s="514" t="inlineStr">
        <is>
          <t>Nhựa</t>
        </is>
      </c>
      <c r="D131" s="515" t="n">
        <v>60100</v>
      </c>
      <c r="E131" s="514" t="n"/>
      <c r="F131" s="514" t="n"/>
      <c r="G131" s="514" t="n"/>
      <c r="H131" s="514" t="n">
        <v>12.5</v>
      </c>
      <c r="I131" s="514" t="n">
        <v>2.4</v>
      </c>
      <c r="J131" s="514" t="inlineStr">
        <is>
          <t>vnstock 19:52 28/05/2026</t>
        </is>
      </c>
      <c r="K131" s="1024">
        <f>IF(A131='🎯 SÓI v42 — TRA CỨU &amp; DEEP DIV'!$C$4,"⭐ ĐANG XEM","")</f>
        <v/>
      </c>
    </row>
    <row r="132" ht="15" customHeight="1" s="981">
      <c r="A132" s="514" t="inlineStr">
        <is>
          <t>CII</t>
        </is>
      </c>
      <c r="B132" s="514" t="inlineStr">
        <is>
          <t>C.I.I</t>
        </is>
      </c>
      <c r="C132" s="514" t="inlineStr">
        <is>
          <t>Hạ tầng</t>
        </is>
      </c>
      <c r="D132" s="515" t="n">
        <v>18000</v>
      </c>
      <c r="E132" s="514" t="n">
        <v>400</v>
      </c>
      <c r="F132" s="514" t="n">
        <v>2.27</v>
      </c>
      <c r="G132" s="514" t="n">
        <v>14241500</v>
      </c>
      <c r="H132" s="514" t="n">
        <v>32.5</v>
      </c>
      <c r="I132" s="514" t="n">
        <v>0.85</v>
      </c>
      <c r="J132" s="514" t="inlineStr">
        <is>
          <t>🟢 LIVE 21:26 22/05/2026</t>
        </is>
      </c>
      <c r="K132" s="1024">
        <f>IF(A132='🎯 SÓI v42 — TRA CỨU &amp; DEEP DIV'!$C$4,"⭐ ĐANG XEM","")</f>
        <v/>
      </c>
    </row>
    <row r="133" ht="15" customHeight="1" s="981">
      <c r="A133" s="514" t="inlineStr">
        <is>
          <t>LDG</t>
        </is>
      </c>
      <c r="B133" s="514" t="inlineStr">
        <is>
          <t>LDG</t>
        </is>
      </c>
      <c r="C133" s="514" t="inlineStr">
        <is>
          <t>Đa ngành</t>
        </is>
      </c>
      <c r="D133" s="515" t="n">
        <v>3020</v>
      </c>
      <c r="E133" s="514" t="n">
        <v>-30</v>
      </c>
      <c r="F133" s="514" t="n">
        <v>-0.98</v>
      </c>
      <c r="G133" s="514" t="n">
        <v>474400</v>
      </c>
      <c r="H133" s="514" t="n"/>
      <c r="I133" s="514" t="n">
        <v>0.8</v>
      </c>
      <c r="J133" s="514" t="inlineStr">
        <is>
          <t>🟢 LIVE 21:26 22/05/2026</t>
        </is>
      </c>
      <c r="K133" s="1024">
        <f>IF(A133='🎯 SÓI v42 — TRA CỨU &amp; DEEP DIV'!$C$4,"⭐ ĐANG XEM","")</f>
        <v/>
      </c>
    </row>
    <row r="134" ht="15" customHeight="1" s="981">
      <c r="A134" s="514" t="inlineStr">
        <is>
          <t>HAG</t>
        </is>
      </c>
      <c r="B134" s="514" t="inlineStr">
        <is>
          <t>Hoàng Anh Gia Lai</t>
        </is>
      </c>
      <c r="C134" s="514" t="inlineStr">
        <is>
          <t>Đa ngành</t>
        </is>
      </c>
      <c r="D134" s="515" t="n">
        <v>15450</v>
      </c>
      <c r="E134" s="514" t="n">
        <v>-50</v>
      </c>
      <c r="F134" s="514" t="n">
        <v>-0.32</v>
      </c>
      <c r="G134" s="514" t="n">
        <v>1456800</v>
      </c>
      <c r="H134" s="514" t="n">
        <v>28.4</v>
      </c>
      <c r="I134" s="514" t="n">
        <v>1.5</v>
      </c>
      <c r="J134" s="514" t="inlineStr">
        <is>
          <t>🟢 LIVE 21:26 22/05/2026</t>
        </is>
      </c>
      <c r="K134" s="1024">
        <f>IF(A134='🎯 SÓI v42 — TRA CỨU &amp; DEEP DIV'!$C$4,"⭐ ĐANG XEM","")</f>
        <v/>
      </c>
    </row>
    <row r="135" ht="15" customHeight="1" s="981">
      <c r="A135" s="514" t="inlineStr">
        <is>
          <t>HNG</t>
        </is>
      </c>
      <c r="B135" s="514" t="inlineStr">
        <is>
          <t>HAG Nông Nghiệp</t>
        </is>
      </c>
      <c r="C135" s="514" t="inlineStr">
        <is>
          <t>Nông nghiệp</t>
        </is>
      </c>
      <c r="D135" s="515" t="n">
        <v>7200</v>
      </c>
      <c r="E135" s="514" t="n">
        <v>0</v>
      </c>
      <c r="F135" s="514" t="n">
        <v>0</v>
      </c>
      <c r="G135" s="514" t="n">
        <v>4678000</v>
      </c>
      <c r="H135" s="514" t="n"/>
      <c r="I135" s="514" t="n">
        <v>0.8</v>
      </c>
      <c r="J135" s="514" t="inlineStr">
        <is>
          <t>🟢 LIVE 21:26 22/05/2026</t>
        </is>
      </c>
      <c r="K135" s="1024">
        <f>IF(A135='🎯 SÓI v42 — TRA CỨU &amp; DEEP DIV'!$C$4,"⭐ ĐANG XEM","")</f>
        <v/>
      </c>
    </row>
    <row r="136" ht="15" customHeight="1" s="981">
      <c r="A136" s="514" t="inlineStr">
        <is>
          <t>DXS</t>
        </is>
      </c>
      <c r="B136" s="514" t="inlineStr">
        <is>
          <t>Đất Xanh Services</t>
        </is>
      </c>
      <c r="C136" s="514" t="inlineStr">
        <is>
          <t>BĐS</t>
        </is>
      </c>
      <c r="D136" s="515" t="n">
        <v>7640</v>
      </c>
      <c r="E136" s="514" t="n"/>
      <c r="F136" s="514" t="n"/>
      <c r="G136" s="514" t="n"/>
      <c r="H136" s="514" t="n">
        <v>16.5</v>
      </c>
      <c r="I136" s="514" t="n">
        <v>1.2</v>
      </c>
      <c r="J136" s="514" t="inlineStr">
        <is>
          <t>vnstock 19:52 28/05/2026</t>
        </is>
      </c>
      <c r="K136" s="1024">
        <f>IF(A136='🎯 SÓI v42 — TRA CỨU &amp; DEEP DIV'!$C$4,"⭐ ĐANG XEM","")</f>
        <v/>
      </c>
    </row>
    <row r="137" ht="15" customHeight="1" s="981">
      <c r="A137" s="514" t="inlineStr">
        <is>
          <t>CEO</t>
        </is>
      </c>
      <c r="B137" s="514" t="inlineStr">
        <is>
          <t>CEO Group</t>
        </is>
      </c>
      <c r="C137" s="514" t="inlineStr">
        <is>
          <t>BĐS</t>
        </is>
      </c>
      <c r="D137" s="515" t="n">
        <v>16700</v>
      </c>
      <c r="E137" s="514" t="n">
        <v>300</v>
      </c>
      <c r="F137" s="514" t="n">
        <v>1.83</v>
      </c>
      <c r="G137" s="514" t="n">
        <v>9001900</v>
      </c>
      <c r="H137" s="514" t="n">
        <v>38.2</v>
      </c>
      <c r="I137" s="514" t="n">
        <v>1.2</v>
      </c>
      <c r="J137" s="514" t="inlineStr">
        <is>
          <t>🟢 LIVE 21:26 22/05/2026</t>
        </is>
      </c>
      <c r="K137" s="1024">
        <f>IF(A137='🎯 SÓI v42 — TRA CỨU &amp; DEEP DIV'!$C$4,"⭐ ĐANG XEM","")</f>
        <v/>
      </c>
    </row>
    <row r="138" ht="15" customHeight="1" s="981">
      <c r="A138" s="514" t="inlineStr">
        <is>
          <t>TCH</t>
        </is>
      </c>
      <c r="B138" s="514" t="inlineStr">
        <is>
          <t>Thắng Lợi</t>
        </is>
      </c>
      <c r="C138" s="514" t="inlineStr">
        <is>
          <t>BĐS</t>
        </is>
      </c>
      <c r="D138" s="515" t="n">
        <v>15650</v>
      </c>
      <c r="E138" s="514" t="n">
        <v>50</v>
      </c>
      <c r="F138" s="514" t="n">
        <v>0.32</v>
      </c>
      <c r="G138" s="514" t="n">
        <v>4200300</v>
      </c>
      <c r="H138" s="514" t="n">
        <v>26.5</v>
      </c>
      <c r="I138" s="514" t="n">
        <v>1.7</v>
      </c>
      <c r="J138" s="514" t="inlineStr">
        <is>
          <t>🟢 LIVE 21:26 22/05/2026</t>
        </is>
      </c>
      <c r="K138" s="1024">
        <f>IF(A138='🎯 SÓI v42 — TRA CỨU &amp; DEEP DIV'!$C$4,"⭐ ĐANG XEM","")</f>
        <v/>
      </c>
    </row>
    <row r="139" ht="15" customHeight="1" s="981">
      <c r="A139" s="514" t="inlineStr">
        <is>
          <t>HDC</t>
        </is>
      </c>
      <c r="B139" s="514" t="inlineStr">
        <is>
          <t>Hodeco</t>
        </is>
      </c>
      <c r="C139" s="514" t="inlineStr">
        <is>
          <t>BĐS</t>
        </is>
      </c>
      <c r="D139" s="515" t="n">
        <v>18000</v>
      </c>
      <c r="E139" s="514" t="n">
        <v>250</v>
      </c>
      <c r="F139" s="514" t="n">
        <v>1.41</v>
      </c>
      <c r="G139" s="514" t="n">
        <v>1608800</v>
      </c>
      <c r="H139" s="514" t="n">
        <v>19.4</v>
      </c>
      <c r="I139" s="514" t="n">
        <v>1.4</v>
      </c>
      <c r="J139" s="514" t="inlineStr">
        <is>
          <t>🟢 LIVE 21:26 22/05/2026</t>
        </is>
      </c>
      <c r="K139" s="1024">
        <f>IF(A139='🎯 SÓI v42 — TRA CỨU &amp; DEEP DIV'!$C$4,"⭐ ĐANG XEM","")</f>
        <v/>
      </c>
    </row>
    <row r="140" ht="15" customHeight="1" s="981">
      <c r="A140" s="514" t="inlineStr">
        <is>
          <t>TIG</t>
        </is>
      </c>
      <c r="B140" s="514" t="inlineStr">
        <is>
          <t>TIG</t>
        </is>
      </c>
      <c r="C140" s="514" t="inlineStr">
        <is>
          <t>Đa ngành</t>
        </is>
      </c>
      <c r="D140" s="515" t="n">
        <v>7100</v>
      </c>
      <c r="E140" s="514" t="n">
        <v>0</v>
      </c>
      <c r="F140" s="514" t="n">
        <v>0</v>
      </c>
      <c r="G140" s="514" t="n">
        <v>1099600</v>
      </c>
      <c r="H140" s="514" t="n">
        <v>24.5</v>
      </c>
      <c r="I140" s="514" t="n">
        <v>0.9</v>
      </c>
      <c r="J140" s="514" t="inlineStr">
        <is>
          <t>🟢 LIVE 21:26 22/05/2026</t>
        </is>
      </c>
      <c r="K140" s="1024">
        <f>IF(A140='🎯 SÓI v42 — TRA CỨU &amp; DEEP DIV'!$C$4,"⭐ ĐANG XEM","")</f>
        <v/>
      </c>
    </row>
    <row r="141" ht="15" customHeight="1" s="981">
      <c r="A141" s="514" t="inlineStr">
        <is>
          <t>SCG</t>
        </is>
      </c>
      <c r="B141" s="514" t="inlineStr">
        <is>
          <t>SCG</t>
        </is>
      </c>
      <c r="C141" s="514" t="inlineStr">
        <is>
          <t>Đa ngành</t>
        </is>
      </c>
      <c r="D141" s="515" t="n">
        <v>65200</v>
      </c>
      <c r="E141" s="514" t="n"/>
      <c r="F141" s="514" t="n"/>
      <c r="G141" s="514" t="n"/>
      <c r="H141" s="514" t="n"/>
      <c r="I141" s="514" t="n"/>
      <c r="J141" s="514" t="inlineStr">
        <is>
          <t>vnstock 19:52 28/05/2026</t>
        </is>
      </c>
      <c r="K141" s="1024">
        <f>IF(A141='🎯 SÓI v42 — TRA CỨU &amp; DEEP DIV'!$C$4,"⭐ ĐANG XEM","")</f>
        <v/>
      </c>
    </row>
    <row r="142" ht="15" customHeight="1" s="981">
      <c r="A142" s="514" t="inlineStr">
        <is>
          <t>FMC</t>
        </is>
      </c>
      <c r="B142" s="514" t="inlineStr">
        <is>
          <t>Sao Ta Foods</t>
        </is>
      </c>
      <c r="C142" s="514" t="inlineStr">
        <is>
          <t>Thủy sản</t>
        </is>
      </c>
      <c r="D142" s="515" t="n">
        <v>35950</v>
      </c>
      <c r="E142" s="514" t="n">
        <v>800</v>
      </c>
      <c r="F142" s="514" t="n">
        <v>2.28</v>
      </c>
      <c r="G142" s="514" t="n">
        <v>12800</v>
      </c>
      <c r="H142" s="514" t="n">
        <v>10.8</v>
      </c>
      <c r="I142" s="514" t="n">
        <v>1.3</v>
      </c>
      <c r="J142" s="514" t="inlineStr">
        <is>
          <t>🟢 LIVE 21:26 22/05/2026</t>
        </is>
      </c>
      <c r="K142" s="1024">
        <f>IF(A142='🎯 SÓI v42 — TRA CỨU &amp; DEEP DIV'!$C$4,"⭐ ĐANG XEM","")</f>
        <v/>
      </c>
    </row>
    <row r="143" ht="15" customHeight="1" s="981">
      <c r="A143" s="514" t="inlineStr">
        <is>
          <t>MPC</t>
        </is>
      </c>
      <c r="B143" s="514" t="inlineStr">
        <is>
          <t>Minh Phú</t>
        </is>
      </c>
      <c r="C143" s="514" t="inlineStr">
        <is>
          <t>Thủy sản</t>
        </is>
      </c>
      <c r="D143" s="515" t="n">
        <v>15800</v>
      </c>
      <c r="E143" s="514" t="n">
        <v>-100</v>
      </c>
      <c r="F143" s="514" t="n">
        <v>-0.63</v>
      </c>
      <c r="G143" s="514" t="n">
        <v>15900</v>
      </c>
      <c r="H143" s="514" t="n">
        <v>16.8</v>
      </c>
      <c r="I143" s="514" t="n">
        <v>0.95</v>
      </c>
      <c r="J143" s="514" t="inlineStr">
        <is>
          <t>🟢 LIVE 21:26 22/05/2026</t>
        </is>
      </c>
      <c r="K143" s="1024">
        <f>IF(A143='🎯 SÓI v42 — TRA CỨU &amp; DEEP DIV'!$C$4,"⭐ ĐANG XEM","")</f>
        <v/>
      </c>
    </row>
    <row r="144" ht="15" customHeight="1" s="981">
      <c r="A144" s="514" t="inlineStr">
        <is>
          <t>ASM</t>
        </is>
      </c>
      <c r="B144" s="514" t="inlineStr">
        <is>
          <t>Sao Mai</t>
        </is>
      </c>
      <c r="C144" s="514" t="inlineStr">
        <is>
          <t>Thủy sản</t>
        </is>
      </c>
      <c r="D144" s="515" t="n">
        <v>5850</v>
      </c>
      <c r="E144" s="514" t="n">
        <v>60</v>
      </c>
      <c r="F144" s="514" t="n">
        <v>1.04</v>
      </c>
      <c r="G144" s="514" t="n">
        <v>282400</v>
      </c>
      <c r="H144" s="514" t="n">
        <v>16.5</v>
      </c>
      <c r="I144" s="514" t="n">
        <v>0.95</v>
      </c>
      <c r="J144" s="514" t="inlineStr">
        <is>
          <t>🟢 LIVE 21:26 22/05/2026</t>
        </is>
      </c>
      <c r="K144" s="1024">
        <f>IF(A144='🎯 SÓI v42 — TRA CỨU &amp; DEEP DIV'!$C$4,"⭐ ĐANG XEM","")</f>
        <v/>
      </c>
    </row>
    <row r="145" ht="15" customHeight="1" s="981">
      <c r="A145" s="514" t="inlineStr">
        <is>
          <t>IDI</t>
        </is>
      </c>
      <c r="B145" s="514" t="inlineStr">
        <is>
          <t>I.D.I</t>
        </is>
      </c>
      <c r="C145" s="514" t="inlineStr">
        <is>
          <t>Thủy sản</t>
        </is>
      </c>
      <c r="D145" s="515" t="n">
        <v>5750</v>
      </c>
      <c r="E145" s="514" t="n">
        <v>-60</v>
      </c>
      <c r="F145" s="514" t="n">
        <v>-1.03</v>
      </c>
      <c r="G145" s="514" t="n">
        <v>195100</v>
      </c>
      <c r="H145" s="514" t="n">
        <v>14.5</v>
      </c>
      <c r="I145" s="514" t="n">
        <v>0.85</v>
      </c>
      <c r="J145" s="514" t="inlineStr">
        <is>
          <t>🟢 LIVE 21:26 22/05/2026</t>
        </is>
      </c>
      <c r="K145" s="1024">
        <f>IF(A145='🎯 SÓI v42 — TRA CỨU &amp; DEEP DIV'!$C$4,"⭐ ĐANG XEM","")</f>
        <v/>
      </c>
    </row>
    <row r="146" ht="15" customHeight="1" s="981">
      <c r="A146" s="514" t="inlineStr">
        <is>
          <t>ABB</t>
        </is>
      </c>
      <c r="B146" s="514" t="inlineStr">
        <is>
          <t>An Bình</t>
        </is>
      </c>
      <c r="C146" s="514" t="inlineStr">
        <is>
          <t>Ngân hàng</t>
        </is>
      </c>
      <c r="D146" s="515" t="n">
        <v>15500</v>
      </c>
      <c r="E146" s="514" t="n"/>
      <c r="F146" s="514" t="n"/>
      <c r="G146" s="514" t="n"/>
      <c r="H146" s="514" t="n">
        <v>8.5</v>
      </c>
      <c r="I146" s="514" t="n">
        <v>0.95</v>
      </c>
      <c r="J146" s="514" t="inlineStr">
        <is>
          <t>vnstock 19:52 28/05/2026</t>
        </is>
      </c>
      <c r="K146" s="1024">
        <f>IF(A146='🎯 SÓI v42 — TRA CỨU &amp; DEEP DIV'!$C$4,"⭐ ĐANG XEM","")</f>
        <v/>
      </c>
    </row>
    <row r="147" ht="15" customHeight="1" s="981">
      <c r="A147" s="514" t="inlineStr">
        <is>
          <t>SGB</t>
        </is>
      </c>
      <c r="B147" s="514" t="inlineStr">
        <is>
          <t>Saigonbank</t>
        </is>
      </c>
      <c r="C147" s="514" t="inlineStr">
        <is>
          <t>Ngân hàng</t>
        </is>
      </c>
      <c r="D147" s="515" t="n">
        <v>12200</v>
      </c>
      <c r="E147" s="514" t="n">
        <v>200</v>
      </c>
      <c r="F147" s="514" t="n">
        <v>1.67</v>
      </c>
      <c r="G147" s="514" t="n">
        <v>1500</v>
      </c>
      <c r="H147" s="514" t="n">
        <v>11.4</v>
      </c>
      <c r="I147" s="514" t="n">
        <v>0.85</v>
      </c>
      <c r="J147" s="514" t="inlineStr">
        <is>
          <t>🟢 LIVE 21:26 22/05/2026</t>
        </is>
      </c>
      <c r="K147" s="1024">
        <f>IF(A147='🎯 SÓI v42 — TRA CỨU &amp; DEEP DIV'!$C$4,"⭐ ĐANG XEM","")</f>
        <v/>
      </c>
    </row>
    <row r="148" ht="15" customHeight="1" s="981">
      <c r="A148" s="514" t="inlineStr">
        <is>
          <t>VAB</t>
        </is>
      </c>
      <c r="B148" s="514" t="inlineStr">
        <is>
          <t>VietABank</t>
        </is>
      </c>
      <c r="C148" s="514" t="inlineStr">
        <is>
          <t>Ngân hàng</t>
        </is>
      </c>
      <c r="D148" s="515" t="n">
        <v>10100</v>
      </c>
      <c r="E148" s="514" t="n">
        <v>0</v>
      </c>
      <c r="F148" s="514" t="n">
        <v>0</v>
      </c>
      <c r="G148" s="514" t="n">
        <v>316200</v>
      </c>
      <c r="H148" s="514" t="n">
        <v>9.5</v>
      </c>
      <c r="I148" s="514" t="n">
        <v>0.9</v>
      </c>
      <c r="J148" s="514" t="inlineStr">
        <is>
          <t>🟢 LIVE 21:26 22/05/2026</t>
        </is>
      </c>
      <c r="K148" s="1024">
        <f>IF(A148='🎯 SÓI v42 — TRA CỨU &amp; DEEP DIV'!$C$4,"⭐ ĐANG XEM","")</f>
        <v/>
      </c>
    </row>
    <row r="149" ht="15" customHeight="1" s="981">
      <c r="A149" s="514" t="inlineStr">
        <is>
          <t>BVB</t>
        </is>
      </c>
      <c r="B149" s="514" t="inlineStr">
        <is>
          <t>Bản Việt</t>
        </is>
      </c>
      <c r="C149" s="514" t="inlineStr">
        <is>
          <t>Ngân hàng</t>
        </is>
      </c>
      <c r="D149" s="515" t="n">
        <v>12200</v>
      </c>
      <c r="E149" s="514" t="n">
        <v>0</v>
      </c>
      <c r="F149" s="514" t="n">
        <v>0</v>
      </c>
      <c r="G149" s="514" t="n">
        <v>1951000</v>
      </c>
      <c r="H149" s="514" t="n">
        <v>12.6</v>
      </c>
      <c r="I149" s="514" t="n">
        <v>0.9</v>
      </c>
      <c r="J149" s="514" t="inlineStr">
        <is>
          <t>🟢 LIVE 21:26 22/05/2026</t>
        </is>
      </c>
      <c r="K149" s="1024">
        <f>IF(A149='🎯 SÓI v42 — TRA CỨU &amp; DEEP DIV'!$C$4,"⭐ ĐANG XEM","")</f>
        <v/>
      </c>
    </row>
    <row r="150" ht="15" customHeight="1" s="981">
      <c r="A150" s="514" t="inlineStr">
        <is>
          <t>PGB</t>
        </is>
      </c>
      <c r="B150" s="514" t="inlineStr">
        <is>
          <t>PG Bank</t>
        </is>
      </c>
      <c r="C150" s="514" t="inlineStr">
        <is>
          <t>Ngân hàng</t>
        </is>
      </c>
      <c r="D150" s="515" t="n">
        <v>11000</v>
      </c>
      <c r="E150" s="514" t="n">
        <v>-200</v>
      </c>
      <c r="F150" s="514" t="n">
        <v>-1.79</v>
      </c>
      <c r="G150" s="514" t="n">
        <v>9800</v>
      </c>
      <c r="H150" s="514" t="n">
        <v>10.5</v>
      </c>
      <c r="I150" s="514" t="n">
        <v>0.95</v>
      </c>
      <c r="J150" s="514" t="inlineStr">
        <is>
          <t>🟢 LIVE 21:26 22/05/2026</t>
        </is>
      </c>
      <c r="K150" s="1024">
        <f>IF(A150='🎯 SÓI v42 — TRA CỨU &amp; DEEP DIV'!$C$4,"⭐ ĐANG XEM","")</f>
        <v/>
      </c>
    </row>
    <row r="151" ht="15" customHeight="1" s="981">
      <c r="A151" s="514" t="inlineStr">
        <is>
          <t>NAB</t>
        </is>
      </c>
      <c r="B151" s="514" t="inlineStr">
        <is>
          <t>Nam Á</t>
        </is>
      </c>
      <c r="C151" s="514" t="inlineStr">
        <is>
          <t>Ngân hàng</t>
        </is>
      </c>
      <c r="D151" s="515" t="n">
        <v>12300</v>
      </c>
      <c r="E151" s="514" t="n">
        <v>0</v>
      </c>
      <c r="F151" s="514" t="n">
        <v>0</v>
      </c>
      <c r="G151" s="514" t="n">
        <v>1497300</v>
      </c>
      <c r="H151" s="514" t="n">
        <v>6.4</v>
      </c>
      <c r="I151" s="514" t="n">
        <v>1.4</v>
      </c>
      <c r="J151" s="514" t="inlineStr">
        <is>
          <t>🟢 LIVE 21:26 22/05/2026</t>
        </is>
      </c>
      <c r="K151" s="1024">
        <f>IF(A151='🎯 SÓI v42 — TRA CỨU &amp; DEEP DIV'!$C$4,"⭐ ĐANG XEM","")</f>
        <v/>
      </c>
    </row>
    <row r="152" ht="15" customHeight="1" s="981">
      <c r="A152" s="514" t="inlineStr">
        <is>
          <t>BAB</t>
        </is>
      </c>
      <c r="B152" s="514" t="inlineStr">
        <is>
          <t>Bắc Á</t>
        </is>
      </c>
      <c r="C152" s="514" t="inlineStr">
        <is>
          <t>Ngân hàng</t>
        </is>
      </c>
      <c r="D152" s="515" t="n">
        <v>11100</v>
      </c>
      <c r="E152" s="514" t="n">
        <v>-200</v>
      </c>
      <c r="F152" s="514" t="n">
        <v>-1.77</v>
      </c>
      <c r="G152" s="514" t="n">
        <v>11500</v>
      </c>
      <c r="H152" s="514" t="n"/>
      <c r="I152" s="514" t="n"/>
      <c r="J152" s="514" t="inlineStr">
        <is>
          <t>🟢 LIVE 21:26 22/05/2026</t>
        </is>
      </c>
      <c r="K152" s="1024">
        <f>IF(A152='🎯 SÓI v42 — TRA CỨU &amp; DEEP DIV'!$C$4,"⭐ ĐANG XEM","")</f>
        <v/>
      </c>
    </row>
    <row r="153" ht="15" customHeight="1" s="981">
      <c r="A153" s="514" t="inlineStr">
        <is>
          <t>KLB</t>
        </is>
      </c>
      <c r="B153" s="514" t="inlineStr">
        <is>
          <t>Kiên Long</t>
        </is>
      </c>
      <c r="C153" s="514" t="inlineStr">
        <is>
          <t>Ngân hàng</t>
        </is>
      </c>
      <c r="D153" s="515" t="n">
        <v>14050</v>
      </c>
      <c r="E153" s="514" t="n">
        <v>0</v>
      </c>
      <c r="F153" s="514" t="n">
        <v>0</v>
      </c>
      <c r="G153" s="514" t="n">
        <v>104600</v>
      </c>
      <c r="H153" s="514" t="n">
        <v>8.6</v>
      </c>
      <c r="I153" s="514" t="n">
        <v>0.9</v>
      </c>
      <c r="J153" s="514" t="inlineStr">
        <is>
          <t>🟢 LIVE 21:26 22/05/2026</t>
        </is>
      </c>
      <c r="K153" s="1024">
        <f>IF(A153='🎯 SÓI v42 — TRA CỨU &amp; DEEP DIV'!$C$4,"⭐ ĐANG XEM","")</f>
        <v/>
      </c>
    </row>
    <row r="154" ht="15" customHeight="1" s="981">
      <c r="A154" s="514" t="inlineStr">
        <is>
          <t>VBB</t>
        </is>
      </c>
      <c r="B154" s="514" t="inlineStr">
        <is>
          <t>VietBank</t>
        </is>
      </c>
      <c r="C154" s="514" t="inlineStr">
        <is>
          <t>Ngân hàng</t>
        </is>
      </c>
      <c r="D154" s="515" t="n">
        <v>13000</v>
      </c>
      <c r="E154" s="514" t="n">
        <v>300</v>
      </c>
      <c r="F154" s="514" t="n">
        <v>2.36</v>
      </c>
      <c r="G154" s="514" t="n">
        <v>66600</v>
      </c>
      <c r="H154" s="514" t="n"/>
      <c r="I154" s="514" t="n"/>
      <c r="J154" s="514" t="inlineStr">
        <is>
          <t>🟢 LIVE 21:26 22/05/2026</t>
        </is>
      </c>
      <c r="K154" s="1024">
        <f>IF(A154='🎯 SÓI v42 — TRA CỨU &amp; DEEP DIV'!$C$4,"⭐ ĐANG XEM","")</f>
        <v/>
      </c>
    </row>
    <row r="155" ht="15" customHeight="1" s="981">
      <c r="A155" s="514" t="inlineStr">
        <is>
          <t>FE Credit</t>
        </is>
      </c>
      <c r="B155" s="514" t="inlineStr">
        <is>
          <t>FE Credit</t>
        </is>
      </c>
      <c r="C155" s="514" t="inlineStr">
        <is>
          <t>Cho vay TD</t>
        </is>
      </c>
      <c r="D155" s="517" t="n"/>
      <c r="E155" s="514" t="n"/>
      <c r="F155" s="514" t="n"/>
      <c r="G155" s="514" t="n"/>
      <c r="H155" s="514" t="n"/>
      <c r="I155" s="514" t="n"/>
      <c r="J155" s="514" t="inlineStr">
        <is>
          <t>⏳ Chờ Python</t>
        </is>
      </c>
      <c r="K155" s="1024">
        <f>IF(A155='🎯 SÓI v42 — TRA CỨU &amp; DEEP DIV'!$C$4,"⭐ ĐANG XEM","")</f>
        <v/>
      </c>
    </row>
    <row r="156" ht="15" customHeight="1" s="981">
      <c r="A156" s="514" t="inlineStr">
        <is>
          <t>HCM Finance</t>
        </is>
      </c>
      <c r="B156" s="514" t="inlineStr">
        <is>
          <t>HCM Finance</t>
        </is>
      </c>
      <c r="C156" s="514" t="inlineStr">
        <is>
          <t>Cho vay TD</t>
        </is>
      </c>
      <c r="D156" s="517" t="n"/>
      <c r="E156" s="514" t="n"/>
      <c r="F156" s="514" t="n"/>
      <c r="G156" s="514" t="n"/>
      <c r="H156" s="514" t="n"/>
      <c r="I156" s="514" t="n"/>
      <c r="J156" s="514" t="inlineStr">
        <is>
          <t>⏳ Chờ Python</t>
        </is>
      </c>
      <c r="K156" s="1024">
        <f>IF(A156='🎯 SÓI v42 — TRA CỨU &amp; DEEP DIV'!$C$4,"⭐ ĐANG XEM","")</f>
        <v/>
      </c>
    </row>
    <row r="157" ht="15" customHeight="1" s="981">
      <c r="A157" s="514" t="inlineStr">
        <is>
          <t>SBT</t>
        </is>
      </c>
      <c r="B157" s="514" t="inlineStr">
        <is>
          <t>Sài Gòn Sugar</t>
        </is>
      </c>
      <c r="C157" s="514" t="inlineStr">
        <is>
          <t>Đường</t>
        </is>
      </c>
      <c r="D157" s="515" t="n">
        <v>21150</v>
      </c>
      <c r="E157" s="514" t="n">
        <v>-450</v>
      </c>
      <c r="F157" s="514" t="n">
        <v>-2.08</v>
      </c>
      <c r="G157" s="514" t="n">
        <v>510600</v>
      </c>
      <c r="H157" s="514" t="n">
        <v>18.5</v>
      </c>
      <c r="I157" s="514" t="n">
        <v>1.2</v>
      </c>
      <c r="J157" s="514" t="inlineStr">
        <is>
          <t>🟢 LIVE 21:26 22/05/2026</t>
        </is>
      </c>
      <c r="K157" s="1024">
        <f>IF(A157='🎯 SÓI v42 — TRA CỨU &amp; DEEP DIV'!$C$4,"⭐ ĐANG XEM","")</f>
        <v/>
      </c>
    </row>
    <row r="158" ht="15" customHeight="1" s="981">
      <c r="A158" s="514" t="inlineStr">
        <is>
          <t>SLS</t>
        </is>
      </c>
      <c r="B158" s="514" t="inlineStr">
        <is>
          <t>Đường Sơn La</t>
        </is>
      </c>
      <c r="C158" s="514" t="inlineStr">
        <is>
          <t>Đường</t>
        </is>
      </c>
      <c r="D158" s="515" t="n">
        <v>149100</v>
      </c>
      <c r="E158" s="514" t="n"/>
      <c r="F158" s="514" t="n"/>
      <c r="G158" s="514" t="n"/>
      <c r="H158" s="514" t="n">
        <v>12.4</v>
      </c>
      <c r="I158" s="514" t="n">
        <v>1.5</v>
      </c>
      <c r="J158" s="514" t="inlineStr">
        <is>
          <t>vnstock 19:52 28/05/2026</t>
        </is>
      </c>
      <c r="K158" s="1024">
        <f>IF(A158='🎯 SÓI v42 — TRA CỨU &amp; DEEP DIV'!$C$4,"⭐ ĐANG XEM","")</f>
        <v/>
      </c>
    </row>
    <row r="159" ht="15" customHeight="1" s="981">
      <c r="A159" s="514" t="inlineStr">
        <is>
          <t>LSS</t>
        </is>
      </c>
      <c r="B159" s="514" t="inlineStr">
        <is>
          <t>Lam Sơn Sugar</t>
        </is>
      </c>
      <c r="C159" s="514" t="inlineStr">
        <is>
          <t>Đường</t>
        </is>
      </c>
      <c r="D159" s="515" t="n">
        <v>8260</v>
      </c>
      <c r="E159" s="514" t="n">
        <v>-90</v>
      </c>
      <c r="F159" s="514" t="n">
        <v>-1.08</v>
      </c>
      <c r="G159" s="514" t="n">
        <v>51000</v>
      </c>
      <c r="H159" s="514" t="n">
        <v>24.5</v>
      </c>
      <c r="I159" s="514" t="n">
        <v>0.95</v>
      </c>
      <c r="J159" s="514" t="inlineStr">
        <is>
          <t>🟢 LIVE 21:26 22/05/2026</t>
        </is>
      </c>
      <c r="K159" s="1024">
        <f>IF(A159='🎯 SÓI v42 — TRA CỨU &amp; DEEP DIV'!$C$4,"⭐ ĐANG XEM","")</f>
        <v/>
      </c>
    </row>
    <row r="160" ht="15" customHeight="1" s="981">
      <c r="A160" s="514" t="inlineStr">
        <is>
          <t>BHN</t>
        </is>
      </c>
      <c r="B160" s="514" t="inlineStr">
        <is>
          <t>Habeco</t>
        </is>
      </c>
      <c r="C160" s="514" t="inlineStr">
        <is>
          <t>Bia</t>
        </is>
      </c>
      <c r="D160" s="515" t="n">
        <v>29250</v>
      </c>
      <c r="E160" s="514" t="n">
        <v>-250</v>
      </c>
      <c r="F160" s="514" t="n">
        <v>-0.85</v>
      </c>
      <c r="G160" s="514" t="n">
        <v>2400</v>
      </c>
      <c r="H160" s="514" t="n">
        <v>24.5</v>
      </c>
      <c r="I160" s="514" t="n">
        <v>2.2</v>
      </c>
      <c r="J160" s="514" t="inlineStr">
        <is>
          <t>🟢 LIVE 21:26 22/05/2026</t>
        </is>
      </c>
      <c r="K160" s="1024">
        <f>IF(A160='🎯 SÓI v42 — TRA CỨU &amp; DEEP DIV'!$C$4,"⭐ ĐANG XEM","")</f>
        <v/>
      </c>
    </row>
    <row r="161" ht="15" customHeight="1" s="981">
      <c r="A161" s="514" t="inlineStr">
        <is>
          <t>SDA</t>
        </is>
      </c>
      <c r="B161" s="514" t="inlineStr">
        <is>
          <t>Sông Đà</t>
        </is>
      </c>
      <c r="C161" s="514" t="inlineStr">
        <is>
          <t>Xây dựng</t>
        </is>
      </c>
      <c r="D161" s="515" t="n">
        <v>1500</v>
      </c>
      <c r="E161" s="514" t="n">
        <v>0</v>
      </c>
      <c r="F161" s="514" t="n">
        <v>0</v>
      </c>
      <c r="G161" s="514" t="n">
        <v>771300</v>
      </c>
      <c r="H161" s="514" t="n"/>
      <c r="I161" s="514" t="n"/>
      <c r="J161" s="514" t="inlineStr">
        <is>
          <t>🟢 LIVE 21:26 22/05/2026</t>
        </is>
      </c>
      <c r="K161" s="1024">
        <f>IF(A161='🎯 SÓI v42 — TRA CỨU &amp; DEEP DIV'!$C$4,"⭐ ĐANG XEM","")</f>
        <v/>
      </c>
    </row>
    <row r="162" ht="15" customHeight="1" s="981">
      <c r="A162" s="514" t="inlineStr">
        <is>
          <t>SD5</t>
        </is>
      </c>
      <c r="B162" s="514" t="inlineStr">
        <is>
          <t>Sông Đà 5</t>
        </is>
      </c>
      <c r="C162" s="514" t="inlineStr">
        <is>
          <t>Xây dựng</t>
        </is>
      </c>
      <c r="D162" s="517" t="n">
        <v>7400</v>
      </c>
      <c r="E162" s="514" t="n"/>
      <c r="F162" s="514" t="n"/>
      <c r="G162" s="514" t="n"/>
      <c r="H162" s="514" t="n"/>
      <c r="I162" s="514" t="n"/>
      <c r="J162" s="514" t="inlineStr">
        <is>
          <t>vnstock 19:52 28/05/2026</t>
        </is>
      </c>
      <c r="K162" s="1024">
        <f>IF(A162='🎯 SÓI v42 — TRA CỨU &amp; DEEP DIV'!$C$4,"⭐ ĐANG XEM","")</f>
        <v/>
      </c>
    </row>
    <row r="163" ht="15" customHeight="1" s="981">
      <c r="A163" s="514" t="inlineStr">
        <is>
          <t>GMC</t>
        </is>
      </c>
      <c r="B163" s="514" t="inlineStr">
        <is>
          <t>Gilimex</t>
        </is>
      </c>
      <c r="C163" s="514" t="inlineStr">
        <is>
          <t>Dệt may</t>
        </is>
      </c>
      <c r="D163" s="515" t="n">
        <v>4800</v>
      </c>
      <c r="E163" s="514" t="n">
        <v>200</v>
      </c>
      <c r="F163" s="514" t="n">
        <v>4.35</v>
      </c>
      <c r="G163" s="514" t="n">
        <v>1100</v>
      </c>
      <c r="H163" s="514" t="n"/>
      <c r="I163" s="514" t="n"/>
      <c r="J163" s="514" t="inlineStr">
        <is>
          <t>🟢 LIVE 21:26 22/05/2026</t>
        </is>
      </c>
      <c r="K163" s="1024">
        <f>IF(A163='🎯 SÓI v42 — TRA CỨU &amp; DEEP DIV'!$C$4,"⭐ ĐANG XEM","")</f>
        <v/>
      </c>
    </row>
    <row r="164" ht="15" customHeight="1" s="981">
      <c r="A164" s="514" t="inlineStr">
        <is>
          <t>VGT</t>
        </is>
      </c>
      <c r="B164" s="514" t="inlineStr">
        <is>
          <t>Vinatex</t>
        </is>
      </c>
      <c r="C164" s="514" t="inlineStr">
        <is>
          <t>Dệt may</t>
        </is>
      </c>
      <c r="D164" s="515" t="n">
        <v>11700</v>
      </c>
      <c r="E164" s="514" t="n">
        <v>0</v>
      </c>
      <c r="F164" s="514" t="n">
        <v>0</v>
      </c>
      <c r="G164" s="514" t="n">
        <v>420900</v>
      </c>
      <c r="H164" s="514" t="n"/>
      <c r="I164" s="514" t="n"/>
      <c r="J164" s="514" t="inlineStr">
        <is>
          <t>🟢 LIVE 21:26 22/05/2026</t>
        </is>
      </c>
      <c r="K164" s="1024">
        <f>IF(A164='🎯 SÓI v42 — TRA CỨU &amp; DEEP DIV'!$C$4,"⭐ ĐANG XEM","")</f>
        <v/>
      </c>
    </row>
    <row r="165" ht="15" customHeight="1" s="981">
      <c r="A165" s="514" t="inlineStr">
        <is>
          <t>CMX</t>
        </is>
      </c>
      <c r="B165" s="514" t="inlineStr">
        <is>
          <t>Camimex</t>
        </is>
      </c>
      <c r="C165" s="514" t="inlineStr">
        <is>
          <t>Thực phẩm</t>
        </is>
      </c>
      <c r="D165" s="515" t="n">
        <v>5740</v>
      </c>
      <c r="E165" s="514" t="n">
        <v>-20</v>
      </c>
      <c r="F165" s="514" t="n">
        <v>-0.35</v>
      </c>
      <c r="G165" s="514" t="n">
        <v>62300</v>
      </c>
      <c r="H165" s="514" t="n">
        <v>15.6</v>
      </c>
      <c r="I165" s="514" t="n">
        <v>1.1</v>
      </c>
      <c r="J165" s="514" t="inlineStr">
        <is>
          <t>🟢 LIVE 21:26 22/05/2026</t>
        </is>
      </c>
      <c r="K165" s="1024">
        <f>IF(A165='🎯 SÓI v42 — TRA CỨU &amp; DEEP DIV'!$C$4,"⭐ ĐANG XEM","")</f>
        <v/>
      </c>
    </row>
    <row r="166" ht="15" customHeight="1" s="981">
      <c r="A166" s="514" t="inlineStr">
        <is>
          <t>ITD</t>
        </is>
      </c>
      <c r="B166" s="514" t="inlineStr">
        <is>
          <t>ITD</t>
        </is>
      </c>
      <c r="C166" s="514" t="inlineStr">
        <is>
          <t>Công nghệ</t>
        </is>
      </c>
      <c r="D166" s="515" t="n">
        <v>16100</v>
      </c>
      <c r="E166" s="514" t="n">
        <v>100</v>
      </c>
      <c r="F166" s="514" t="n">
        <v>0.63</v>
      </c>
      <c r="G166" s="514" t="n">
        <v>8700</v>
      </c>
      <c r="H166" s="514" t="n">
        <v>15.5</v>
      </c>
      <c r="I166" s="514" t="n">
        <v>1.3</v>
      </c>
      <c r="J166" s="514" t="inlineStr">
        <is>
          <t>🟢 LIVE 21:26 22/05/2026</t>
        </is>
      </c>
      <c r="K166" s="1024">
        <f>IF(A166='🎯 SÓI v42 — TRA CỨU &amp; DEEP DIV'!$C$4,"⭐ ĐANG XEM","")</f>
        <v/>
      </c>
    </row>
    <row r="167" ht="15" customHeight="1" s="981">
      <c r="A167" s="514" t="inlineStr">
        <is>
          <t>VLA</t>
        </is>
      </c>
      <c r="B167" s="514" t="inlineStr">
        <is>
          <t>Viễn Liên</t>
        </is>
      </c>
      <c r="C167" s="514" t="inlineStr">
        <is>
          <t>CN viễn thông</t>
        </is>
      </c>
      <c r="D167" s="515" t="n">
        <v>7200</v>
      </c>
      <c r="E167" s="514" t="n"/>
      <c r="F167" s="514" t="n"/>
      <c r="G167" s="514" t="n"/>
      <c r="H167" s="514" t="n"/>
      <c r="I167" s="514" t="n"/>
      <c r="J167" s="514" t="inlineStr">
        <is>
          <t>vnstock 19:52 28/05/2026</t>
        </is>
      </c>
      <c r="K167" s="1024">
        <f>IF(A167='🎯 SÓI v42 — TRA CỨU &amp; DEEP DIV'!$C$4,"⭐ ĐANG XEM","")</f>
        <v/>
      </c>
    </row>
    <row r="168" ht="15" customHeight="1" s="981">
      <c r="A168" s="514" t="inlineStr">
        <is>
          <t>TYA</t>
        </is>
      </c>
      <c r="B168" s="514" t="inlineStr">
        <is>
          <t>Taya</t>
        </is>
      </c>
      <c r="C168" s="514" t="inlineStr">
        <is>
          <t>CN viễn thông</t>
        </is>
      </c>
      <c r="D168" s="515" t="n">
        <v>18350</v>
      </c>
      <c r="E168" s="514" t="n"/>
      <c r="F168" s="514" t="n"/>
      <c r="G168" s="514" t="n"/>
      <c r="H168" s="514" t="n"/>
      <c r="I168" s="514" t="n"/>
      <c r="J168" s="514" t="inlineStr">
        <is>
          <t>vnstock 19:52 28/05/2026</t>
        </is>
      </c>
      <c r="K168" s="1024">
        <f>IF(A168='🎯 SÓI v42 — TRA CỨU &amp; DEEP DIV'!$C$4,"⭐ ĐANG XEM","")</f>
        <v/>
      </c>
    </row>
    <row r="169" ht="15" customHeight="1" s="981">
      <c r="A169" s="514" t="inlineStr">
        <is>
          <t>VFC</t>
        </is>
      </c>
      <c r="B169" s="514" t="inlineStr">
        <is>
          <t>VietFranchise</t>
        </is>
      </c>
      <c r="C169" s="514" t="inlineStr">
        <is>
          <t>Tài chính</t>
        </is>
      </c>
      <c r="D169" s="515" t="n">
        <v>104000</v>
      </c>
      <c r="E169" s="514" t="n">
        <v>13500</v>
      </c>
      <c r="F169" s="514" t="n">
        <v>14.92</v>
      </c>
      <c r="G169" s="514" t="n">
        <v>100</v>
      </c>
      <c r="H169" s="514" t="n"/>
      <c r="I169" s="514" t="n"/>
      <c r="J169" s="514" t="inlineStr">
        <is>
          <t>🟢 LIVE 21:26 22/05/2026</t>
        </is>
      </c>
      <c r="K169" s="1024">
        <f>IF(A169='🎯 SÓI v42 — TRA CỨU &amp; DEEP DIV'!$C$4,"⭐ ĐANG XEM","")</f>
        <v/>
      </c>
    </row>
    <row r="170" ht="15" customHeight="1" s="981">
      <c r="A170" s="514" t="inlineStr">
        <is>
          <t>TIN</t>
        </is>
      </c>
      <c r="B170" s="514" t="inlineStr">
        <is>
          <t>VPS Finance</t>
        </is>
      </c>
      <c r="C170" s="514" t="inlineStr">
        <is>
          <t>Tài chính</t>
        </is>
      </c>
      <c r="D170" s="515" t="n">
        <v>125000</v>
      </c>
      <c r="E170" s="514" t="n"/>
      <c r="F170" s="514" t="n"/>
      <c r="G170" s="514" t="n"/>
      <c r="H170" s="514" t="n"/>
      <c r="I170" s="514" t="n"/>
      <c r="J170" s="514" t="inlineStr">
        <is>
          <t>vnstock 19:52 28/05/2026</t>
        </is>
      </c>
      <c r="K170" s="1024">
        <f>IF(A170='🎯 SÓI v42 — TRA CỨU &amp; DEEP DIV'!$C$4,"⭐ ĐANG XEM","")</f>
        <v/>
      </c>
    </row>
    <row r="171" ht="15" customHeight="1" s="981">
      <c r="A171" s="514" t="inlineStr">
        <is>
          <t>VEA</t>
        </is>
      </c>
      <c r="B171" s="514" t="inlineStr">
        <is>
          <t>VEAM</t>
        </is>
      </c>
      <c r="C171" s="514" t="inlineStr">
        <is>
          <t>Cơ khí</t>
        </is>
      </c>
      <c r="D171" s="515" t="n">
        <v>34800</v>
      </c>
      <c r="E171" s="514" t="n"/>
      <c r="F171" s="514" t="n"/>
      <c r="G171" s="514" t="n"/>
      <c r="H171" s="514" t="n">
        <v>9.5</v>
      </c>
      <c r="I171" s="514" t="n">
        <v>1.4</v>
      </c>
      <c r="J171" s="514" t="inlineStr">
        <is>
          <t>vnstock 19:52 28/05/2026</t>
        </is>
      </c>
      <c r="K171" s="1024">
        <f>IF(A171='🎯 SÓI v42 — TRA CỨU &amp; DEEP DIV'!$C$4,"⭐ ĐANG XEM","")</f>
        <v/>
      </c>
    </row>
    <row r="172" ht="15" customHeight="1" s="981">
      <c r="A172" s="514" t="inlineStr">
        <is>
          <t>PHN</t>
        </is>
      </c>
      <c r="B172" s="514" t="inlineStr">
        <is>
          <t>PHN</t>
        </is>
      </c>
      <c r="C172" s="514" t="inlineStr">
        <is>
          <t>Cơ khí</t>
        </is>
      </c>
      <c r="D172" s="515" t="n">
        <v>55000</v>
      </c>
      <c r="E172" s="514" t="n"/>
      <c r="F172" s="514" t="n"/>
      <c r="G172" s="514" t="n"/>
      <c r="H172" s="514" t="n"/>
      <c r="I172" s="514" t="n"/>
      <c r="J172" s="514" t="inlineStr">
        <is>
          <t>vnstock 19:52 28/05/2026</t>
        </is>
      </c>
      <c r="K172" s="1024">
        <f>IF(A172='🎯 SÓI v42 — TRA CỨU &amp; DEEP DIV'!$C$4,"⭐ ĐANG XEM","")</f>
        <v/>
      </c>
    </row>
    <row r="173" ht="15" customHeight="1" s="981">
      <c r="A173" s="514" t="inlineStr">
        <is>
          <t>YEG</t>
        </is>
      </c>
      <c r="B173" s="514" t="inlineStr">
        <is>
          <t>Yeah1</t>
        </is>
      </c>
      <c r="C173" s="514" t="inlineStr">
        <is>
          <t>Truyền thông</t>
        </is>
      </c>
      <c r="D173" s="515" t="n">
        <v>9210</v>
      </c>
      <c r="E173" s="514" t="n"/>
      <c r="F173" s="514" t="n"/>
      <c r="G173" s="514" t="n"/>
      <c r="H173" s="514" t="n"/>
      <c r="I173" s="514" t="n"/>
      <c r="J173" s="514" t="inlineStr">
        <is>
          <t>vnstock 19:52 28/05/2026</t>
        </is>
      </c>
      <c r="K173" s="1024">
        <f>IF(A173='🎯 SÓI v42 — TRA CỨU &amp; DEEP DIV'!$C$4,"⭐ ĐANG XEM","")</f>
        <v/>
      </c>
    </row>
    <row r="174" ht="15" customHeight="1" s="981">
      <c r="A174" s="514" t="inlineStr">
        <is>
          <t>VTV</t>
        </is>
      </c>
      <c r="B174" s="514" t="inlineStr">
        <is>
          <t>Truyền hình VN</t>
        </is>
      </c>
      <c r="C174" s="514" t="inlineStr">
        <is>
          <t>Truyền thông</t>
        </is>
      </c>
      <c r="D174" s="515" t="n">
        <v>14700</v>
      </c>
      <c r="E174" s="514" t="n"/>
      <c r="F174" s="514" t="n"/>
      <c r="G174" s="514" t="n"/>
      <c r="H174" s="514" t="n">
        <v>18.5</v>
      </c>
      <c r="I174" s="514" t="n">
        <v>1.6</v>
      </c>
      <c r="J174" s="514" t="inlineStr">
        <is>
          <t>vnstock 19:52 28/05/2026</t>
        </is>
      </c>
      <c r="K174" s="1024">
        <f>IF(A174='🎯 SÓI v42 — TRA CỨU &amp; DEEP DIV'!$C$4,"⭐ ĐANG XEM","")</f>
        <v/>
      </c>
    </row>
    <row r="175" ht="15" customHeight="1" s="981">
      <c r="A175" s="514" t="inlineStr">
        <is>
          <t>VEC</t>
        </is>
      </c>
      <c r="B175" s="514" t="inlineStr">
        <is>
          <t>VEC</t>
        </is>
      </c>
      <c r="C175" s="514" t="inlineStr">
        <is>
          <t>Hạ tầng</t>
        </is>
      </c>
      <c r="D175" s="515" t="n">
        <v>24800</v>
      </c>
      <c r="E175" s="514" t="n"/>
      <c r="F175" s="514" t="n"/>
      <c r="G175" s="514" t="n"/>
      <c r="H175" s="514" t="n"/>
      <c r="I175" s="514" t="n"/>
      <c r="J175" s="514" t="inlineStr">
        <is>
          <t>vnstock 19:52 28/05/2026</t>
        </is>
      </c>
      <c r="K175" s="1024">
        <f>IF(A175='🎯 SÓI v42 — TRA CỨU &amp; DEEP DIV'!$C$4,"⭐ ĐANG XEM","")</f>
        <v/>
      </c>
    </row>
    <row r="176" ht="15" customHeight="1" s="981">
      <c r="A176" s="514" t="inlineStr">
        <is>
          <t>VGC</t>
        </is>
      </c>
      <c r="B176" s="514" t="inlineStr">
        <is>
          <t>Viglacera</t>
        </is>
      </c>
      <c r="C176" s="514" t="inlineStr">
        <is>
          <t>VLXD + KCN</t>
        </is>
      </c>
      <c r="D176" s="515" t="n">
        <v>43000</v>
      </c>
      <c r="E176" s="514" t="n">
        <v>-600</v>
      </c>
      <c r="F176" s="514" t="n">
        <v>-1.38</v>
      </c>
      <c r="G176" s="514" t="n">
        <v>763900</v>
      </c>
      <c r="H176" s="514" t="n">
        <v>14.5</v>
      </c>
      <c r="I176" s="514" t="n">
        <v>1.5</v>
      </c>
      <c r="J176" s="514" t="inlineStr">
        <is>
          <t>🟢 LIVE 21:26 22/05/2026</t>
        </is>
      </c>
      <c r="K176" s="1024">
        <f>IF(A176='🎯 SÓI v42 — TRA CỨU &amp; DEEP DIV'!$C$4,"⭐ ĐANG XEM","")</f>
        <v/>
      </c>
    </row>
    <row r="177" ht="15" customHeight="1" s="981">
      <c r="A177" s="514" t="inlineStr">
        <is>
          <t>D2D</t>
        </is>
      </c>
      <c r="B177" s="514" t="inlineStr">
        <is>
          <t>D2D</t>
        </is>
      </c>
      <c r="C177" s="514" t="inlineStr">
        <is>
          <t>BĐS</t>
        </is>
      </c>
      <c r="D177" s="517" t="n">
        <v>33250</v>
      </c>
      <c r="E177" s="514" t="n">
        <v>150</v>
      </c>
      <c r="F177" s="514" t="n">
        <v>0.45</v>
      </c>
      <c r="G177" s="514" t="n">
        <v>16600</v>
      </c>
      <c r="H177" s="514" t="n">
        <v>14.5</v>
      </c>
      <c r="I177" s="514" t="n">
        <v>2.1</v>
      </c>
      <c r="J177" s="514" t="inlineStr">
        <is>
          <t>🟢 LIVE 21:26 22/05/2026</t>
        </is>
      </c>
      <c r="K177" s="1024">
        <f>IF(A177='🎯 SÓI v42 — TRA CỨU &amp; DEEP DIV'!$C$4,"⭐ ĐANG XEM","")</f>
        <v/>
      </c>
    </row>
    <row r="178" ht="15" customHeight="1" s="981">
      <c r="A178" s="514" t="inlineStr">
        <is>
          <t>NDN</t>
        </is>
      </c>
      <c r="B178" s="514" t="inlineStr">
        <is>
          <t>NDN</t>
        </is>
      </c>
      <c r="C178" s="514" t="inlineStr">
        <is>
          <t>BĐS</t>
        </is>
      </c>
      <c r="D178" s="515" t="n">
        <v>10600</v>
      </c>
      <c r="E178" s="514" t="n"/>
      <c r="F178" s="514" t="n"/>
      <c r="G178" s="514" t="n"/>
      <c r="H178" s="514" t="n">
        <v>14.5</v>
      </c>
      <c r="I178" s="514" t="n">
        <v>1.3</v>
      </c>
      <c r="J178" s="514" t="inlineStr">
        <is>
          <t>vnstock 19:52 28/05/2026</t>
        </is>
      </c>
      <c r="K178" s="1024">
        <f>IF(A178='🎯 SÓI v42 — TRA CỨU &amp; DEEP DIV'!$C$4,"⭐ ĐANG XEM","")</f>
        <v/>
      </c>
    </row>
    <row r="179" ht="15" customHeight="1" s="981">
      <c r="A179" s="514" t="inlineStr">
        <is>
          <t>TDC</t>
        </is>
      </c>
      <c r="B179" s="514" t="inlineStr">
        <is>
          <t>TDC</t>
        </is>
      </c>
      <c r="C179" s="514" t="inlineStr">
        <is>
          <t>BĐS</t>
        </is>
      </c>
      <c r="D179" s="515" t="n">
        <v>10850</v>
      </c>
      <c r="E179" s="514" t="n">
        <v>50</v>
      </c>
      <c r="F179" s="514" t="n">
        <v>0.46</v>
      </c>
      <c r="G179" s="514" t="n">
        <v>670200</v>
      </c>
      <c r="H179" s="514" t="n">
        <v>15.5</v>
      </c>
      <c r="I179" s="514" t="n">
        <v>1.4</v>
      </c>
      <c r="J179" s="514" t="inlineStr">
        <is>
          <t>🟢 LIVE 21:26 22/05/2026</t>
        </is>
      </c>
      <c r="K179" s="1024">
        <f>IF(A179='🎯 SÓI v42 — TRA CỨU &amp; DEEP DIV'!$C$4,"⭐ ĐANG XEM","")</f>
        <v/>
      </c>
    </row>
    <row r="180" ht="15" customHeight="1" s="981">
      <c r="A180" s="514" t="inlineStr">
        <is>
          <t>TDM</t>
        </is>
      </c>
      <c r="B180" s="514" t="inlineStr">
        <is>
          <t>TDM</t>
        </is>
      </c>
      <c r="C180" s="514" t="inlineStr">
        <is>
          <t>Cấp nước</t>
        </is>
      </c>
      <c r="D180" s="515" t="n">
        <v>57200</v>
      </c>
      <c r="E180" s="514" t="n"/>
      <c r="F180" s="514" t="n"/>
      <c r="G180" s="514" t="n"/>
      <c r="H180" s="514" t="n">
        <v>12.4</v>
      </c>
      <c r="I180" s="514" t="n">
        <v>1.3</v>
      </c>
      <c r="J180" s="514" t="inlineStr">
        <is>
          <t>vnstock 19:52 28/05/2026</t>
        </is>
      </c>
      <c r="K180" s="1024">
        <f>IF(A180='🎯 SÓI v42 — TRA CỨU &amp; DEEP DIV'!$C$4,"⭐ ĐANG XEM","")</f>
        <v/>
      </c>
    </row>
    <row r="181" ht="15" customHeight="1" s="981">
      <c r="A181" s="514" t="inlineStr">
        <is>
          <t>BWE</t>
        </is>
      </c>
      <c r="B181" s="514" t="inlineStr">
        <is>
          <t>Bình Dương Water</t>
        </is>
      </c>
      <c r="C181" s="514" t="inlineStr">
        <is>
          <t>Cấp nước</t>
        </is>
      </c>
      <c r="D181" s="515" t="n">
        <v>44000</v>
      </c>
      <c r="E181" s="514" t="n">
        <v>0</v>
      </c>
      <c r="F181" s="514" t="n">
        <v>0</v>
      </c>
      <c r="G181" s="514" t="n">
        <v>21900</v>
      </c>
      <c r="H181" s="514" t="n">
        <v>12.5</v>
      </c>
      <c r="I181" s="514" t="n">
        <v>1.5</v>
      </c>
      <c r="J181" s="514" t="inlineStr">
        <is>
          <t>🟢 LIVE 21:26 22/05/2026</t>
        </is>
      </c>
      <c r="K181" s="1024">
        <f>IF(A181='🎯 SÓI v42 — TRA CỨU &amp; DEEP DIV'!$C$4,"⭐ ĐANG XEM","")</f>
        <v/>
      </c>
    </row>
    <row r="182" ht="15" customHeight="1" s="981">
      <c r="A182" s="514" t="inlineStr">
        <is>
          <t>DNW</t>
        </is>
      </c>
      <c r="B182" s="514" t="inlineStr">
        <is>
          <t>Đồng Nai Water</t>
        </is>
      </c>
      <c r="C182" s="514" t="inlineStr">
        <is>
          <t>Cấp nước</t>
        </is>
      </c>
      <c r="D182" s="515" t="n">
        <v>32000</v>
      </c>
      <c r="E182" s="514" t="n"/>
      <c r="F182" s="514" t="n"/>
      <c r="G182" s="514" t="n"/>
      <c r="H182" s="514" t="n">
        <v>14.5</v>
      </c>
      <c r="I182" s="514" t="n">
        <v>1.4</v>
      </c>
      <c r="J182" s="514" t="inlineStr">
        <is>
          <t>vnstock 19:52 28/05/2026</t>
        </is>
      </c>
      <c r="K182" s="1024">
        <f>IF(A182='🎯 SÓI v42 — TRA CỨU &amp; DEEP DIV'!$C$4,"⭐ ĐANG XEM","")</f>
        <v/>
      </c>
    </row>
    <row r="183" ht="15" customHeight="1" s="981">
      <c r="A183" s="514" t="inlineStr">
        <is>
          <t>NTW</t>
        </is>
      </c>
      <c r="B183" s="514" t="inlineStr">
        <is>
          <t>Nhà Bè Water</t>
        </is>
      </c>
      <c r="C183" s="514" t="inlineStr">
        <is>
          <t>Cấp nước</t>
        </is>
      </c>
      <c r="D183" s="515" t="n">
        <v>20000</v>
      </c>
      <c r="E183" s="514" t="n"/>
      <c r="F183" s="514" t="n"/>
      <c r="G183" s="514" t="n"/>
      <c r="H183" s="514" t="n">
        <v>15.5</v>
      </c>
      <c r="I183" s="514" t="n">
        <v>1.4</v>
      </c>
      <c r="J183" s="514" t="inlineStr">
        <is>
          <t>vnstock 19:52 28/05/2026</t>
        </is>
      </c>
      <c r="K183" s="1024">
        <f>IF(A183='🎯 SÓI v42 — TRA CỨU &amp; DEEP DIV'!$C$4,"⭐ ĐANG XEM","")</f>
        <v/>
      </c>
    </row>
    <row r="184" ht="15" customHeight="1" s="981">
      <c r="A184" s="514" t="inlineStr">
        <is>
          <t>HND</t>
        </is>
      </c>
      <c r="B184" s="514" t="inlineStr">
        <is>
          <t>Hải Nguyên</t>
        </is>
      </c>
      <c r="C184" s="514" t="inlineStr">
        <is>
          <t>Điện gió</t>
        </is>
      </c>
      <c r="D184" s="515" t="n">
        <v>10700</v>
      </c>
      <c r="E184" s="514" t="n">
        <v>100</v>
      </c>
      <c r="F184" s="514" t="n">
        <v>0.9399999999999999</v>
      </c>
      <c r="G184" s="514" t="n">
        <v>3400</v>
      </c>
      <c r="H184" s="514" t="n">
        <v>10.5</v>
      </c>
      <c r="I184" s="514" t="n">
        <v>1.4</v>
      </c>
      <c r="J184" s="514" t="inlineStr">
        <is>
          <t>🟢 LIVE 21:26 22/05/2026</t>
        </is>
      </c>
      <c r="K184" s="1024">
        <f>IF(A184='🎯 SÓI v42 — TRA CỨU &amp; DEEP DIV'!$C$4,"⭐ ĐANG XEM","")</f>
        <v/>
      </c>
    </row>
    <row r="185" ht="15" customHeight="1" s="981">
      <c r="A185" s="514" t="inlineStr">
        <is>
          <t>LBM</t>
        </is>
      </c>
      <c r="B185" s="514" t="inlineStr">
        <is>
          <t>Lâm Đồng</t>
        </is>
      </c>
      <c r="C185" s="514" t="inlineStr">
        <is>
          <t>Bauxit</t>
        </is>
      </c>
      <c r="D185" s="515" t="n">
        <v>28900</v>
      </c>
      <c r="E185" s="514" t="n"/>
      <c r="F185" s="514" t="n"/>
      <c r="G185" s="514" t="n"/>
      <c r="H185" s="514" t="n">
        <v>16.5</v>
      </c>
      <c r="I185" s="514" t="n">
        <v>1.4</v>
      </c>
      <c r="J185" s="514" t="inlineStr">
        <is>
          <t>vnstock 19:52 28/05/2026</t>
        </is>
      </c>
      <c r="K185" s="1024">
        <f>IF(A185='🎯 SÓI v42 — TRA CỨU &amp; DEEP DIV'!$C$4,"⭐ ĐANG XEM","")</f>
        <v/>
      </c>
    </row>
    <row r="186" ht="15" customHeight="1" s="981">
      <c r="A186" s="514" t="inlineStr">
        <is>
          <t>SGN</t>
        </is>
      </c>
      <c r="B186" s="514" t="inlineStr">
        <is>
          <t>Sài Gòn Ground</t>
        </is>
      </c>
      <c r="C186" s="514" t="inlineStr">
        <is>
          <t>DV mặt đất</t>
        </is>
      </c>
      <c r="D186" s="515" t="n">
        <v>51900</v>
      </c>
      <c r="E186" s="514" t="n">
        <v>-500</v>
      </c>
      <c r="F186" s="514" t="n">
        <v>-0.95</v>
      </c>
      <c r="G186" s="514" t="n">
        <v>19800</v>
      </c>
      <c r="H186" s="514" t="n">
        <v>12.4</v>
      </c>
      <c r="I186" s="514" t="n">
        <v>2.5</v>
      </c>
      <c r="J186" s="514" t="inlineStr">
        <is>
          <t>🟢 LIVE 21:26 22/05/2026</t>
        </is>
      </c>
      <c r="K186" s="1024">
        <f>IF(A186='🎯 SÓI v42 — TRA CỨU &amp; DEEP DIV'!$C$4,"⭐ ĐANG XEM","")</f>
        <v/>
      </c>
    </row>
    <row r="187" ht="15" customHeight="1" s="981">
      <c r="A187" s="514" t="inlineStr">
        <is>
          <t>VNG</t>
        </is>
      </c>
      <c r="B187" s="514" t="inlineStr">
        <is>
          <t>VNG</t>
        </is>
      </c>
      <c r="C187" s="514" t="inlineStr">
        <is>
          <t>CN giải trí</t>
        </is>
      </c>
      <c r="D187" s="515" t="n">
        <v>6500</v>
      </c>
      <c r="E187" s="514" t="n"/>
      <c r="F187" s="514" t="n"/>
      <c r="G187" s="514" t="n"/>
      <c r="H187" s="514" t="n"/>
      <c r="I187" s="514" t="n"/>
      <c r="J187" s="514" t="inlineStr">
        <is>
          <t>vnstock 19:52 28/05/2026</t>
        </is>
      </c>
      <c r="K187" s="1024">
        <f>IF(A187='🎯 SÓI v42 — TRA CỨU &amp; DEEP DIV'!$C$4,"⭐ ĐANG XEM","")</f>
        <v/>
      </c>
    </row>
    <row r="188" ht="15" customHeight="1" s="981">
      <c r="A188" s="514" t="inlineStr">
        <is>
          <t>HT1</t>
        </is>
      </c>
      <c r="B188" s="514" t="inlineStr">
        <is>
          <t>Xi măng Hà Tiên</t>
        </is>
      </c>
      <c r="C188" s="514" t="inlineStr">
        <is>
          <t>Xi măng</t>
        </is>
      </c>
      <c r="D188" s="517" t="n">
        <v>13800</v>
      </c>
      <c r="E188" s="514" t="n"/>
      <c r="F188" s="514" t="n"/>
      <c r="G188" s="514" t="n"/>
      <c r="H188" s="514" t="n">
        <v>16.5</v>
      </c>
      <c r="I188" s="514" t="n">
        <v>1.1</v>
      </c>
      <c r="J188" s="514" t="inlineStr">
        <is>
          <t>vnstock 19:52 28/05/2026</t>
        </is>
      </c>
      <c r="K188" s="1024">
        <f>IF(A188='🎯 SÓI v42 — TRA CỨU &amp; DEEP DIV'!$C$4,"⭐ ĐANG XEM","")</f>
        <v/>
      </c>
    </row>
    <row r="189" ht="15" customHeight="1" s="981">
      <c r="A189" s="514" t="inlineStr">
        <is>
          <t>BCC</t>
        </is>
      </c>
      <c r="B189" s="514" t="inlineStr">
        <is>
          <t>Bỉm Sơn</t>
        </is>
      </c>
      <c r="C189" s="514" t="inlineStr">
        <is>
          <t>Xi măng</t>
        </is>
      </c>
      <c r="D189" s="515" t="n">
        <v>7000</v>
      </c>
      <c r="E189" s="514" t="n"/>
      <c r="F189" s="514" t="n"/>
      <c r="G189" s="514" t="n"/>
      <c r="H189" s="514" t="n">
        <v>24.5</v>
      </c>
      <c r="I189" s="514" t="n">
        <v>0.85</v>
      </c>
      <c r="J189" s="514" t="inlineStr">
        <is>
          <t>vnstock 19:52 28/05/2026</t>
        </is>
      </c>
      <c r="K189" s="1024">
        <f>IF(A189='🎯 SÓI v42 — TRA CỨU &amp; DEEP DIV'!$C$4,"⭐ ĐANG XEM","")</f>
        <v/>
      </c>
    </row>
    <row r="190" ht="15" customHeight="1" s="981">
      <c r="A190" s="514" t="inlineStr">
        <is>
          <t>HOM</t>
        </is>
      </c>
      <c r="B190" s="514" t="inlineStr">
        <is>
          <t>Hoàng Mai</t>
        </is>
      </c>
      <c r="C190" s="514" t="inlineStr">
        <is>
          <t>Xi măng</t>
        </is>
      </c>
      <c r="D190" s="515" t="n">
        <v>4200</v>
      </c>
      <c r="E190" s="514" t="n"/>
      <c r="F190" s="514" t="n"/>
      <c r="G190" s="514" t="n"/>
      <c r="H190" s="514" t="n">
        <v>14.5</v>
      </c>
      <c r="I190" s="514" t="n">
        <v>1.1</v>
      </c>
      <c r="J190" s="514" t="inlineStr">
        <is>
          <t>vnstock 19:52 28/05/2026</t>
        </is>
      </c>
      <c r="K190" s="1024">
        <f>IF(A190='🎯 SÓI v42 — TRA CỨU &amp; DEEP DIV'!$C$4,"⭐ ĐANG XEM","")</f>
        <v/>
      </c>
    </row>
    <row r="191" ht="15" customHeight="1" s="981">
      <c r="A191" s="514" t="inlineStr">
        <is>
          <t>DRC</t>
        </is>
      </c>
      <c r="B191" s="514" t="inlineStr">
        <is>
          <t>Cao su Đà Nẵng</t>
        </is>
      </c>
      <c r="C191" s="514" t="inlineStr">
        <is>
          <t>Lốp xe</t>
        </is>
      </c>
      <c r="D191" s="515" t="n">
        <v>12600</v>
      </c>
      <c r="E191" s="514" t="n"/>
      <c r="F191" s="514" t="n"/>
      <c r="G191" s="514" t="n"/>
      <c r="H191" s="514" t="n">
        <v>14.5</v>
      </c>
      <c r="I191" s="514" t="n">
        <v>1.8</v>
      </c>
      <c r="J191" s="514" t="inlineStr">
        <is>
          <t>vnstock 19:52 28/05/2026</t>
        </is>
      </c>
      <c r="K191" s="1024">
        <f>IF(A191='🎯 SÓI v42 — TRA CỨU &amp; DEEP DIV'!$C$4,"⭐ ĐANG XEM","")</f>
        <v/>
      </c>
    </row>
    <row r="192" ht="15" customHeight="1" s="981">
      <c r="A192" s="514" t="inlineStr">
        <is>
          <t>CSM</t>
        </is>
      </c>
      <c r="B192" s="514" t="inlineStr">
        <is>
          <t>CSM</t>
        </is>
      </c>
      <c r="C192" s="514" t="inlineStr">
        <is>
          <t>Cao su</t>
        </is>
      </c>
      <c r="D192" s="515" t="n">
        <v>12050</v>
      </c>
      <c r="E192" s="514" t="n"/>
      <c r="F192" s="514" t="n"/>
      <c r="G192" s="514" t="n"/>
      <c r="H192" s="514" t="n">
        <v>16.5</v>
      </c>
      <c r="I192" s="514" t="n">
        <v>1.3</v>
      </c>
      <c r="J192" s="514" t="inlineStr">
        <is>
          <t>vnstock 19:52 28/05/2026</t>
        </is>
      </c>
      <c r="K192" s="1024">
        <f>IF(A192='🎯 SÓI v42 — TRA CỨU &amp; DEEP DIV'!$C$4,"⭐ ĐANG XEM","")</f>
        <v/>
      </c>
    </row>
    <row r="193" ht="15" customHeight="1" s="981">
      <c r="A193" s="514" t="inlineStr">
        <is>
          <t>E1VFVN30</t>
        </is>
      </c>
      <c r="B193" s="514" t="inlineStr">
        <is>
          <t>VFMVN30 ETF</t>
        </is>
      </c>
      <c r="C193" s="514" t="inlineStr">
        <is>
          <t>ETF</t>
        </is>
      </c>
      <c r="D193" s="517" t="n">
        <v>35790</v>
      </c>
      <c r="E193" s="514" t="n"/>
      <c r="F193" s="514" t="n"/>
      <c r="G193" s="514" t="n"/>
      <c r="H193" s="514" t="n"/>
      <c r="I193" s="514" t="n"/>
      <c r="J193" s="514" t="inlineStr">
        <is>
          <t>vnstock 19:52 28/05/2026</t>
        </is>
      </c>
      <c r="K193" s="1024">
        <f>IF(A193='🎯 SÓI v42 — TRA CỨU &amp; DEEP DIV'!$C$4,"⭐ ĐANG XEM","")</f>
        <v/>
      </c>
    </row>
    <row r="194" ht="15" customHeight="1" s="981">
      <c r="A194" s="514" t="inlineStr">
        <is>
          <t>FUEVFVND</t>
        </is>
      </c>
      <c r="B194" s="514" t="inlineStr">
        <is>
          <t>VFMVN Diamond ETF</t>
        </is>
      </c>
      <c r="C194" s="514" t="inlineStr">
        <is>
          <t>ETF</t>
        </is>
      </c>
      <c r="D194" s="517" t="n">
        <v>36000</v>
      </c>
      <c r="E194" s="514" t="n"/>
      <c r="F194" s="514" t="n"/>
      <c r="G194" s="514" t="n"/>
      <c r="H194" s="514" t="n"/>
      <c r="I194" s="514" t="n"/>
      <c r="J194" s="514" t="inlineStr">
        <is>
          <t>vnstock 19:52 28/05/2026</t>
        </is>
      </c>
      <c r="K194" s="1024">
        <f>IF(A194='🎯 SÓI v42 — TRA CỨU &amp; DEEP DIV'!$C$4,"⭐ ĐANG XEM","")</f>
        <v/>
      </c>
    </row>
    <row r="195" ht="15" customHeight="1" s="981">
      <c r="A195" s="514" t="inlineStr">
        <is>
          <t>FUEMAV30</t>
        </is>
      </c>
      <c r="B195" s="514" t="inlineStr">
        <is>
          <t>MAFM VN30 ETF</t>
        </is>
      </c>
      <c r="C195" s="514" t="inlineStr">
        <is>
          <t>ETF</t>
        </is>
      </c>
      <c r="D195" s="517" t="n">
        <v>24730</v>
      </c>
      <c r="E195" s="514" t="n"/>
      <c r="F195" s="514" t="n"/>
      <c r="G195" s="514" t="n"/>
      <c r="H195" s="514" t="n"/>
      <c r="I195" s="514" t="n"/>
      <c r="J195" s="514" t="inlineStr">
        <is>
          <t>vnstock 19:52 28/05/2026</t>
        </is>
      </c>
      <c r="K195" s="1024">
        <f>IF(A195='🎯 SÓI v42 — TRA CỨU &amp; DEEP DIV'!$C$4,"⭐ ĐANG XEM","")</f>
        <v/>
      </c>
    </row>
    <row r="196" ht="15" customHeight="1" s="981">
      <c r="A196" s="514" t="inlineStr">
        <is>
          <t>FUESSVFL</t>
        </is>
      </c>
      <c r="B196" s="514" t="inlineStr">
        <is>
          <t>SSI VNFin Lead ETF</t>
        </is>
      </c>
      <c r="C196" s="514" t="inlineStr">
        <is>
          <t>ETF</t>
        </is>
      </c>
      <c r="D196" s="517" t="n">
        <v>29840</v>
      </c>
      <c r="E196" s="514" t="n"/>
      <c r="F196" s="514" t="n"/>
      <c r="G196" s="514" t="n"/>
      <c r="H196" s="514" t="n"/>
      <c r="I196" s="514" t="n"/>
      <c r="J196" s="514" t="inlineStr">
        <is>
          <t>vnstock 19:52 28/05/2026</t>
        </is>
      </c>
      <c r="K196" s="1024">
        <f>IF(A196='🎯 SÓI v42 — TRA CỨU &amp; DEEP DIV'!$C$4,"⭐ ĐANG XEM","")</f>
        <v/>
      </c>
    </row>
    <row r="197" ht="15" customHeight="1" s="981">
      <c r="A197" s="514" t="inlineStr">
        <is>
          <t>SSB</t>
        </is>
      </c>
      <c r="B197" s="514" t="inlineStr">
        <is>
          <t>SeABank</t>
        </is>
      </c>
      <c r="C197" s="514" t="inlineStr">
        <is>
          <t>Ngân hàng</t>
        </is>
      </c>
      <c r="D197" s="515" t="n">
        <v>16700</v>
      </c>
      <c r="E197" s="514" t="n">
        <v>150</v>
      </c>
      <c r="F197" s="514" t="n">
        <v>0.91</v>
      </c>
      <c r="G197" s="514" t="n">
        <v>1845200</v>
      </c>
      <c r="H197" s="514" t="n">
        <v>12.8</v>
      </c>
      <c r="I197" s="514" t="n">
        <v>1.6</v>
      </c>
      <c r="J197" s="514" t="inlineStr">
        <is>
          <t>🟢 LIVE 21:26 22/05/2026</t>
        </is>
      </c>
      <c r="K197" s="1024">
        <f>IF(A197='🎯 SÓI v42 — TRA CỨU &amp; DEEP DIV'!$C$4,"⭐ ĐANG XEM","")</f>
        <v/>
      </c>
    </row>
    <row r="198" ht="15" customHeight="1" s="981">
      <c r="A198" s="514" t="inlineStr">
        <is>
          <t>AGG</t>
        </is>
      </c>
      <c r="B198" s="514" t="inlineStr">
        <is>
          <t>An Gia Group</t>
        </is>
      </c>
      <c r="C198" s="514" t="inlineStr">
        <is>
          <t>BĐS</t>
        </is>
      </c>
      <c r="D198" s="515" t="n">
        <v>11950</v>
      </c>
      <c r="E198" s="514" t="n">
        <v>0</v>
      </c>
      <c r="F198" s="514" t="n">
        <v>0</v>
      </c>
      <c r="G198" s="514" t="n">
        <v>97200</v>
      </c>
      <c r="H198" s="514" t="n">
        <v>18.5</v>
      </c>
      <c r="I198" s="514" t="n">
        <v>1.4</v>
      </c>
      <c r="J198" s="514" t="inlineStr">
        <is>
          <t>🟢 LIVE 21:26 22/05/2026</t>
        </is>
      </c>
      <c r="K198" s="1024">
        <f>IF(A198='🎯 SÓI v42 — TRA CỨU &amp; DEEP DIV'!$C$4,"⭐ ĐANG XEM","")</f>
        <v/>
      </c>
    </row>
    <row r="199" ht="15" customHeight="1" s="981">
      <c r="A199" s="514" t="inlineStr">
        <is>
          <t>CRE</t>
        </is>
      </c>
      <c r="B199" s="514" t="inlineStr">
        <is>
          <t>Cenland</t>
        </is>
      </c>
      <c r="C199" s="514" t="inlineStr">
        <is>
          <t>BĐS</t>
        </is>
      </c>
      <c r="D199" s="515" t="n">
        <v>7860</v>
      </c>
      <c r="E199" s="514" t="n">
        <v>460</v>
      </c>
      <c r="F199" s="514" t="n">
        <v>6.22</v>
      </c>
      <c r="G199" s="514" t="n">
        <v>800300</v>
      </c>
      <c r="H199" s="514" t="n">
        <v>24.5</v>
      </c>
      <c r="I199" s="514" t="n">
        <v>1.1</v>
      </c>
      <c r="J199" s="514" t="inlineStr">
        <is>
          <t>🟢 LIVE 21:26 22/05/2026</t>
        </is>
      </c>
      <c r="K199" s="1024">
        <f>IF(A199='🎯 SÓI v42 — TRA CỨU &amp; DEEP DIV'!$C$4,"⭐ ĐANG XEM","")</f>
        <v/>
      </c>
    </row>
    <row r="200" ht="15" customHeight="1" s="981">
      <c r="A200" s="514" t="inlineStr">
        <is>
          <t>HQC</t>
        </is>
      </c>
      <c r="B200" s="514" t="inlineStr">
        <is>
          <t>HQC</t>
        </is>
      </c>
      <c r="C200" s="514" t="inlineStr">
        <is>
          <t>BĐS</t>
        </is>
      </c>
      <c r="D200" s="515" t="n">
        <v>2430</v>
      </c>
      <c r="E200" s="514" t="n">
        <v>0</v>
      </c>
      <c r="F200" s="514" t="n">
        <v>0</v>
      </c>
      <c r="G200" s="514" t="n">
        <v>1337700</v>
      </c>
      <c r="H200" s="514" t="n"/>
      <c r="I200" s="514" t="n">
        <v>0.65</v>
      </c>
      <c r="J200" s="514" t="inlineStr">
        <is>
          <t>🟢 LIVE 21:26 22/05/2026</t>
        </is>
      </c>
      <c r="K200" s="1024">
        <f>IF(A200='🎯 SÓI v42 — TRA CỨU &amp; DEEP DIV'!$C$4,"⭐ ĐANG XEM","")</f>
        <v/>
      </c>
    </row>
    <row r="201" ht="15" customHeight="1" s="981">
      <c r="A201" s="514" t="inlineStr">
        <is>
          <t>DIG</t>
        </is>
      </c>
      <c r="B201" s="514" t="inlineStr">
        <is>
          <t>DIC Corp</t>
        </is>
      </c>
      <c r="C201" s="514" t="inlineStr">
        <is>
          <t>BĐS</t>
        </is>
      </c>
      <c r="D201" s="515" t="n">
        <v>13500</v>
      </c>
      <c r="E201" s="514" t="n">
        <v>-100</v>
      </c>
      <c r="F201" s="514" t="n">
        <v>-0.74</v>
      </c>
      <c r="G201" s="514" t="n">
        <v>6160600</v>
      </c>
      <c r="H201" s="514" t="n">
        <v>32.4</v>
      </c>
      <c r="I201" s="514" t="n">
        <v>1.6</v>
      </c>
      <c r="J201" s="514" t="inlineStr">
        <is>
          <t>🟢 LIVE 21:26 22/05/2026</t>
        </is>
      </c>
      <c r="K201" s="1024">
        <f>IF(A201='🎯 SÓI v42 — TRA CỨU &amp; DEEP DIV'!$C$4,"⭐ ĐANG XEM","")</f>
        <v/>
      </c>
    </row>
    <row r="202" ht="15" customHeight="1" s="981">
      <c r="A202" s="514" t="inlineStr">
        <is>
          <t>SCR</t>
        </is>
      </c>
      <c r="B202" s="514" t="inlineStr">
        <is>
          <t>Sudico</t>
        </is>
      </c>
      <c r="C202" s="514" t="inlineStr">
        <is>
          <t>BĐS</t>
        </is>
      </c>
      <c r="D202" s="515" t="n">
        <v>5350</v>
      </c>
      <c r="E202" s="514" t="n">
        <v>0</v>
      </c>
      <c r="F202" s="514" t="n">
        <v>0</v>
      </c>
      <c r="G202" s="514" t="n">
        <v>1153900</v>
      </c>
      <c r="H202" s="514" t="n">
        <v>28.6</v>
      </c>
      <c r="I202" s="514" t="n">
        <v>0.95</v>
      </c>
      <c r="J202" s="514" t="inlineStr">
        <is>
          <t>🟢 LIVE 21:26 22/05/2026</t>
        </is>
      </c>
      <c r="K202" s="1024">
        <f>IF(A202='🎯 SÓI v42 — TRA CỨU &amp; DEEP DIV'!$C$4,"⭐ ĐANG XEM","")</f>
        <v/>
      </c>
    </row>
    <row r="203" ht="15" customHeight="1" s="981">
      <c r="A203" s="514" t="inlineStr">
        <is>
          <t>NBB</t>
        </is>
      </c>
      <c r="B203" s="514" t="inlineStr">
        <is>
          <t>Nam Bay Bay</t>
        </is>
      </c>
      <c r="C203" s="514" t="inlineStr">
        <is>
          <t>BĐS</t>
        </is>
      </c>
      <c r="D203" s="515" t="n">
        <v>17600</v>
      </c>
      <c r="E203" s="514" t="n"/>
      <c r="F203" s="514" t="n"/>
      <c r="G203" s="514" t="n"/>
      <c r="H203" s="514" t="n">
        <v>21.5</v>
      </c>
      <c r="I203" s="514" t="n">
        <v>1.3</v>
      </c>
      <c r="J203" s="514" t="inlineStr">
        <is>
          <t>vnstock 19:52 28/05/2026</t>
        </is>
      </c>
      <c r="K203" s="1024">
        <f>IF(A203='🎯 SÓI v42 — TRA CỨU &amp; DEEP DIV'!$C$4,"⭐ ĐANG XEM","")</f>
        <v/>
      </c>
    </row>
    <row r="204" ht="15" customHeight="1" s="981">
      <c r="A204" s="514" t="inlineStr">
        <is>
          <t>TDH</t>
        </is>
      </c>
      <c r="B204" s="514" t="inlineStr">
        <is>
          <t>Thuduc House</t>
        </is>
      </c>
      <c r="C204" s="514" t="inlineStr">
        <is>
          <t>BĐS</t>
        </is>
      </c>
      <c r="D204" s="515" t="n">
        <v>3750</v>
      </c>
      <c r="E204" s="514" t="n"/>
      <c r="F204" s="514" t="n"/>
      <c r="G204" s="514" t="n"/>
      <c r="H204" s="514" t="n"/>
      <c r="I204" s="514" t="n">
        <v>0.55</v>
      </c>
      <c r="J204" s="514" t="inlineStr">
        <is>
          <t>vnstock 19:52 28/05/2026</t>
        </is>
      </c>
      <c r="K204" s="1024">
        <f>IF(A204='🎯 SÓI v42 — TRA CỨU &amp; DEEP DIV'!$C$4,"⭐ ĐANG XEM","")</f>
        <v/>
      </c>
    </row>
    <row r="205" ht="15" customHeight="1" s="981">
      <c r="A205" s="514" t="inlineStr">
        <is>
          <t>VPI</t>
        </is>
      </c>
      <c r="B205" s="514" t="inlineStr">
        <is>
          <t>Vietnam Property Invest</t>
        </is>
      </c>
      <c r="C205" s="514" t="inlineStr">
        <is>
          <t>BĐS</t>
        </is>
      </c>
      <c r="D205" s="515" t="n">
        <v>59200</v>
      </c>
      <c r="E205" s="514" t="n">
        <v>-800</v>
      </c>
      <c r="F205" s="514" t="n">
        <v>-1.33</v>
      </c>
      <c r="G205" s="514" t="n">
        <v>2459300</v>
      </c>
      <c r="H205" s="514" t="n">
        <v>18.5</v>
      </c>
      <c r="I205" s="514" t="n">
        <v>1.4</v>
      </c>
      <c r="J205" s="514" t="inlineStr">
        <is>
          <t>🟢 LIVE 21:26 22/05/2026</t>
        </is>
      </c>
      <c r="K205" s="1024">
        <f>IF(A205='🎯 SÓI v42 — TRA CỨU &amp; DEEP DIV'!$C$4,"⭐ ĐANG XEM","")</f>
        <v/>
      </c>
    </row>
    <row r="206" ht="15" customHeight="1" s="981">
      <c r="A206" s="514" t="inlineStr">
        <is>
          <t>BSI</t>
        </is>
      </c>
      <c r="B206" s="514" t="inlineStr">
        <is>
          <t>BIDV Securities</t>
        </is>
      </c>
      <c r="C206" s="514" t="inlineStr">
        <is>
          <t>Chứng khoán</t>
        </is>
      </c>
      <c r="D206" s="515" t="n">
        <v>35150</v>
      </c>
      <c r="E206" s="514" t="n">
        <v>450</v>
      </c>
      <c r="F206" s="514" t="n">
        <v>1.3</v>
      </c>
      <c r="G206" s="514" t="n">
        <v>292400</v>
      </c>
      <c r="H206" s="514" t="n">
        <v>15.4</v>
      </c>
      <c r="I206" s="514" t="n">
        <v>1.5</v>
      </c>
      <c r="J206" s="514" t="inlineStr">
        <is>
          <t>🟢 LIVE 21:26 22/05/2026</t>
        </is>
      </c>
      <c r="K206" s="1024">
        <f>IF(A206='🎯 SÓI v42 — TRA CỨU &amp; DEEP DIV'!$C$4,"⭐ ĐANG XEM","")</f>
        <v/>
      </c>
    </row>
    <row r="207" ht="15" customHeight="1" s="981">
      <c r="A207" s="514" t="inlineStr">
        <is>
          <t>APG</t>
        </is>
      </c>
      <c r="B207" s="514" t="inlineStr">
        <is>
          <t>Asia Pacific Securities</t>
        </is>
      </c>
      <c r="C207" s="514" t="inlineStr">
        <is>
          <t>Chứng khoán</t>
        </is>
      </c>
      <c r="D207" s="515" t="n">
        <v>4600</v>
      </c>
      <c r="E207" s="514" t="n"/>
      <c r="F207" s="514" t="n"/>
      <c r="G207" s="514" t="n"/>
      <c r="H207" s="514" t="n">
        <v>24.5</v>
      </c>
      <c r="I207" s="514" t="n">
        <v>1.4</v>
      </c>
      <c r="J207" s="514" t="inlineStr">
        <is>
          <t>vnstock 19:52 28/05/2026</t>
        </is>
      </c>
      <c r="K207" s="1024">
        <f>IF(A207='🎯 SÓI v42 — TRA CỨU &amp; DEEP DIV'!$C$4,"⭐ ĐANG XEM","")</f>
        <v/>
      </c>
    </row>
    <row r="208" ht="15" customHeight="1" s="981">
      <c r="A208" s="514" t="inlineStr">
        <is>
          <t>VDS</t>
        </is>
      </c>
      <c r="B208" s="514" t="inlineStr">
        <is>
          <t>Rong Viet Securities</t>
        </is>
      </c>
      <c r="C208" s="514" t="inlineStr">
        <is>
          <t>Chứng khoán</t>
        </is>
      </c>
      <c r="D208" s="515" t="n">
        <v>13550</v>
      </c>
      <c r="E208" s="514" t="n">
        <v>350</v>
      </c>
      <c r="F208" s="514" t="n">
        <v>2.65</v>
      </c>
      <c r="G208" s="514" t="n">
        <v>925800</v>
      </c>
      <c r="H208" s="514" t="n">
        <v>18.5</v>
      </c>
      <c r="I208" s="514" t="n">
        <v>1.6</v>
      </c>
      <c r="J208" s="514" t="inlineStr">
        <is>
          <t>🟢 LIVE 21:26 22/05/2026</t>
        </is>
      </c>
      <c r="K208" s="1024">
        <f>IF(A208='🎯 SÓI v42 — TRA CỨU &amp; DEEP DIV'!$C$4,"⭐ ĐANG XEM","")</f>
        <v/>
      </c>
    </row>
    <row r="209" ht="15" customHeight="1" s="981">
      <c r="A209" s="514" t="inlineStr">
        <is>
          <t>CNG</t>
        </is>
      </c>
      <c r="B209" s="514" t="inlineStr">
        <is>
          <t>CNG Vietnam</t>
        </is>
      </c>
      <c r="C209" s="514" t="inlineStr">
        <is>
          <t>Năng lượng</t>
        </is>
      </c>
      <c r="D209" s="515" t="n">
        <v>22500</v>
      </c>
      <c r="E209" s="514" t="n"/>
      <c r="F209" s="514" t="n"/>
      <c r="G209" s="514" t="n"/>
      <c r="H209" s="514" t="n">
        <v>12.5</v>
      </c>
      <c r="I209" s="514" t="n">
        <v>1.5</v>
      </c>
      <c r="J209" s="514" t="inlineStr">
        <is>
          <t>vnstock 19:52 28/05/2026</t>
        </is>
      </c>
      <c r="K209" s="1024">
        <f>IF(A209='🎯 SÓI v42 — TRA CỨU &amp; DEEP DIV'!$C$4,"⭐ ĐANG XEM","")</f>
        <v/>
      </c>
    </row>
    <row r="210" ht="15" customHeight="1" s="981">
      <c r="A210" s="514" t="inlineStr">
        <is>
          <t>PLC</t>
        </is>
      </c>
      <c r="B210" s="514" t="inlineStr">
        <is>
          <t>PetroVietnam Lubricants</t>
        </is>
      </c>
      <c r="C210" s="514" t="inlineStr">
        <is>
          <t>Dầu khí</t>
        </is>
      </c>
      <c r="D210" s="515" t="n">
        <v>21600</v>
      </c>
      <c r="E210" s="514" t="n"/>
      <c r="F210" s="514" t="n"/>
      <c r="G210" s="514" t="n"/>
      <c r="H210" s="514" t="n">
        <v>14.5</v>
      </c>
      <c r="I210" s="514" t="n">
        <v>1.3</v>
      </c>
      <c r="J210" s="514" t="inlineStr">
        <is>
          <t>vnstock 19:52 28/05/2026</t>
        </is>
      </c>
      <c r="K210" s="1024">
        <f>IF(A210='🎯 SÓI v42 — TRA CỨU &amp; DEEP DIV'!$C$4,"⭐ ĐANG XEM","")</f>
        <v/>
      </c>
    </row>
    <row r="211" ht="15" customHeight="1" s="981">
      <c r="A211" s="514" t="inlineStr">
        <is>
          <t>VCF</t>
        </is>
      </c>
      <c r="B211" s="514" t="inlineStr">
        <is>
          <t>Vinacafe Bien Hoa</t>
        </is>
      </c>
      <c r="C211" s="514" t="inlineStr">
        <is>
          <t>Thực phẩm</t>
        </is>
      </c>
      <c r="D211" s="515" t="n">
        <v>293000</v>
      </c>
      <c r="E211" s="514" t="n"/>
      <c r="F211" s="514" t="n"/>
      <c r="G211" s="514" t="n"/>
      <c r="H211" s="514" t="n">
        <v>14.5</v>
      </c>
      <c r="I211" s="514" t="n">
        <v>2.1</v>
      </c>
      <c r="J211" s="514" t="inlineStr">
        <is>
          <t>vnstock 19:52 28/05/2026</t>
        </is>
      </c>
      <c r="K211" s="1024">
        <f>IF(A211='🎯 SÓI v42 — TRA CỨU &amp; DEEP DIV'!$C$4,"⭐ ĐANG XEM","")</f>
        <v/>
      </c>
    </row>
    <row r="212" ht="15" customHeight="1" s="981">
      <c r="A212" s="514" t="inlineStr">
        <is>
          <t>SAF</t>
        </is>
      </c>
      <c r="B212" s="514" t="inlineStr">
        <is>
          <t>Saigon Beer-Alcohol</t>
        </is>
      </c>
      <c r="C212" s="514" t="inlineStr">
        <is>
          <t>Thực phẩm</t>
        </is>
      </c>
      <c r="D212" s="515" t="n">
        <v>57000</v>
      </c>
      <c r="E212" s="514" t="n"/>
      <c r="F212" s="514" t="n"/>
      <c r="G212" s="514" t="n"/>
      <c r="H212" s="514" t="n">
        <v>16.5</v>
      </c>
      <c r="I212" s="514" t="n">
        <v>1.4</v>
      </c>
      <c r="J212" s="514" t="inlineStr">
        <is>
          <t>vnstock 19:52 28/05/2026</t>
        </is>
      </c>
      <c r="K212" s="1024">
        <f>IF(A212='🎯 SÓI v42 — TRA CỨU &amp; DEEP DIV'!$C$4,"⭐ ĐANG XEM","")</f>
        <v/>
      </c>
    </row>
    <row r="213" ht="15" customHeight="1" s="981">
      <c r="A213" s="514" t="inlineStr">
        <is>
          <t>TAC</t>
        </is>
      </c>
      <c r="B213" s="514" t="inlineStr">
        <is>
          <t>Tuong An</t>
        </is>
      </c>
      <c r="C213" s="514" t="inlineStr">
        <is>
          <t>Thực phẩm</t>
        </is>
      </c>
      <c r="D213" s="517" t="n"/>
      <c r="E213" s="514" t="n"/>
      <c r="F213" s="514" t="n"/>
      <c r="G213" s="514" t="n"/>
      <c r="H213" s="514" t="n">
        <v>14.5</v>
      </c>
      <c r="I213" s="514" t="n">
        <v>1.4</v>
      </c>
      <c r="J213" s="514" t="inlineStr">
        <is>
          <t>⏳ Chờ Python</t>
        </is>
      </c>
      <c r="K213" s="1024">
        <f>IF(A213='🎯 SÓI v42 — TRA CỨU &amp; DEEP DIV'!$C$4,"⭐ ĐANG XEM","")</f>
        <v/>
      </c>
    </row>
    <row r="214" ht="15" customHeight="1" s="981">
      <c r="A214" s="514" t="inlineStr">
        <is>
          <t>NSC</t>
        </is>
      </c>
      <c r="B214" s="514" t="inlineStr">
        <is>
          <t>Nam Son Seeds</t>
        </is>
      </c>
      <c r="C214" s="514" t="inlineStr">
        <is>
          <t>Thực phẩm</t>
        </is>
      </c>
      <c r="D214" s="515" t="n">
        <v>75500</v>
      </c>
      <c r="E214" s="514" t="n"/>
      <c r="F214" s="514" t="n"/>
      <c r="G214" s="514" t="n"/>
      <c r="H214" s="514" t="n">
        <v>12.5</v>
      </c>
      <c r="I214" s="514" t="n">
        <v>2.1</v>
      </c>
      <c r="J214" s="514" t="inlineStr">
        <is>
          <t>vnstock 19:52 28/05/2026</t>
        </is>
      </c>
      <c r="K214" s="1024">
        <f>IF(A214='🎯 SÓI v42 — TRA CỨU &amp; DEEP DIV'!$C$4,"⭐ ĐANG XEM","")</f>
        <v/>
      </c>
    </row>
    <row r="215" ht="15" customHeight="1" s="981">
      <c r="A215" s="514" t="inlineStr">
        <is>
          <t>VTO</t>
        </is>
      </c>
      <c r="B215" s="514" t="inlineStr">
        <is>
          <t>Vitranschart</t>
        </is>
      </c>
      <c r="C215" s="514" t="inlineStr">
        <is>
          <t>Vận tải</t>
        </is>
      </c>
      <c r="D215" s="515" t="n">
        <v>12100</v>
      </c>
      <c r="E215" s="514" t="n"/>
      <c r="F215" s="514" t="n"/>
      <c r="G215" s="514" t="n"/>
      <c r="H215" s="514" t="n">
        <v>14.5</v>
      </c>
      <c r="I215" s="514" t="n">
        <v>1.1</v>
      </c>
      <c r="J215" s="514" t="inlineStr">
        <is>
          <t>vnstock 19:52 28/05/2026</t>
        </is>
      </c>
      <c r="K215" s="1024">
        <f>IF(A215='🎯 SÓI v42 — TRA CỨU &amp; DEEP DIV'!$C$4,"⭐ ĐANG XEM","")</f>
        <v/>
      </c>
    </row>
    <row r="216" ht="15" customHeight="1" s="981">
      <c r="A216" s="514" t="inlineStr">
        <is>
          <t>TMS</t>
        </is>
      </c>
      <c r="B216" s="514" t="inlineStr">
        <is>
          <t>Transimex</t>
        </is>
      </c>
      <c r="C216" s="514" t="inlineStr">
        <is>
          <t>Logistics</t>
        </is>
      </c>
      <c r="D216" s="515" t="n">
        <v>38500</v>
      </c>
      <c r="E216" s="514" t="n"/>
      <c r="F216" s="514" t="n"/>
      <c r="G216" s="514" t="n"/>
      <c r="H216" s="514" t="n">
        <v>18.4</v>
      </c>
      <c r="I216" s="514" t="n">
        <v>1.3</v>
      </c>
      <c r="J216" s="514" t="inlineStr">
        <is>
          <t>vnstock 19:52 28/05/2026</t>
        </is>
      </c>
      <c r="K216" s="1024">
        <f>IF(A216='🎯 SÓI v42 — TRA CỨU &amp; DEEP DIV'!$C$4,"⭐ ĐANG XEM","")</f>
        <v/>
      </c>
    </row>
    <row r="217" ht="15" customHeight="1" s="981">
      <c r="A217" s="514" t="inlineStr">
        <is>
          <t>VGI</t>
        </is>
      </c>
      <c r="B217" s="514" t="inlineStr">
        <is>
          <t>Viettel Global</t>
        </is>
      </c>
      <c r="C217" s="514" t="inlineStr">
        <is>
          <t>CNTT</t>
        </is>
      </c>
      <c r="D217" s="515" t="n">
        <v>94200</v>
      </c>
      <c r="E217" s="514" t="n">
        <v>-1800</v>
      </c>
      <c r="F217" s="514" t="n">
        <v>-1.88</v>
      </c>
      <c r="G217" s="514" t="n">
        <v>782000</v>
      </c>
      <c r="H217" s="514" t="n">
        <v>28.5</v>
      </c>
      <c r="I217" s="514" t="n">
        <v>5.4</v>
      </c>
      <c r="J217" s="514" t="inlineStr">
        <is>
          <t>🟢 LIVE 21:26 22/05/2026</t>
        </is>
      </c>
      <c r="K217" s="1024">
        <f>IF(A217='🎯 SÓI v42 — TRA CỨU &amp; DEEP DIV'!$C$4,"⭐ ĐANG XEM","")</f>
        <v/>
      </c>
    </row>
    <row r="218" ht="15" customHeight="1" s="981">
      <c r="A218" s="514" t="inlineStr">
        <is>
          <t>PMC</t>
        </is>
      </c>
      <c r="B218" s="514" t="inlineStr">
        <is>
          <t>Pharmaceutical Midland</t>
        </is>
      </c>
      <c r="C218" s="514" t="inlineStr">
        <is>
          <t>Y tế</t>
        </is>
      </c>
      <c r="D218" s="515" t="n">
        <v>137900</v>
      </c>
      <c r="E218" s="514" t="n"/>
      <c r="F218" s="514" t="n"/>
      <c r="G218" s="514" t="n"/>
      <c r="H218" s="514" t="n">
        <v>16.5</v>
      </c>
      <c r="I218" s="514" t="n">
        <v>1.8</v>
      </c>
      <c r="J218" s="514" t="inlineStr">
        <is>
          <t>vnstock 19:52 28/05/2026</t>
        </is>
      </c>
      <c r="K218" s="1024">
        <f>IF(A218='🎯 SÓI v42 — TRA CỨU &amp; DEEP DIV'!$C$4,"⭐ ĐANG XEM","")</f>
        <v/>
      </c>
    </row>
    <row r="219" ht="15" customHeight="1" s="981">
      <c r="A219" s="514" t="inlineStr">
        <is>
          <t>VMD</t>
        </is>
      </c>
      <c r="B219" s="514" t="inlineStr">
        <is>
          <t>Medical Pharma</t>
        </is>
      </c>
      <c r="C219" s="514" t="inlineStr">
        <is>
          <t>Y tế</t>
        </is>
      </c>
      <c r="D219" s="515" t="n">
        <v>14200</v>
      </c>
      <c r="E219" s="514" t="n"/>
      <c r="F219" s="514" t="n"/>
      <c r="G219" s="514" t="n"/>
      <c r="H219" s="514" t="n"/>
      <c r="I219" s="514" t="n"/>
      <c r="J219" s="514" t="inlineStr">
        <is>
          <t>vnstock 19:52 28/05/2026</t>
        </is>
      </c>
      <c r="K219" s="1024">
        <f>IF(A219='🎯 SÓI v42 — TRA CỨU &amp; DEEP DIV'!$C$4,"⭐ ĐANG XEM","")</f>
        <v/>
      </c>
    </row>
    <row r="220" ht="15" customHeight="1" s="981">
      <c r="A220" s="514" t="inlineStr">
        <is>
          <t>ACL</t>
        </is>
      </c>
      <c r="B220" s="514" t="inlineStr">
        <is>
          <t>Cuu Long Fish</t>
        </is>
      </c>
      <c r="C220" s="514" t="inlineStr">
        <is>
          <t>Thủy sản</t>
        </is>
      </c>
      <c r="D220" s="515" t="n">
        <v>13250</v>
      </c>
      <c r="E220" s="514" t="n">
        <v>-150</v>
      </c>
      <c r="F220" s="514" t="n">
        <v>-1.12</v>
      </c>
      <c r="G220" s="514" t="n">
        <v>3700</v>
      </c>
      <c r="H220" s="514" t="n">
        <v>11.4</v>
      </c>
      <c r="I220" s="514" t="n">
        <v>0.95</v>
      </c>
      <c r="J220" s="514" t="inlineStr">
        <is>
          <t>🟢 LIVE 21:26 22/05/2026</t>
        </is>
      </c>
      <c r="K220" s="1024">
        <f>IF(A220='🎯 SÓI v42 — TRA CỨU &amp; DEEP DIV'!$C$4,"⭐ ĐANG XEM","")</f>
        <v/>
      </c>
    </row>
    <row r="221" ht="15" customHeight="1" s="981">
      <c r="A221" s="514" t="inlineStr">
        <is>
          <t>PVC</t>
        </is>
      </c>
      <c r="B221" s="514" t="inlineStr">
        <is>
          <t>PetroVietnam Coating</t>
        </is>
      </c>
      <c r="C221" s="514" t="inlineStr">
        <is>
          <t>Dầu khí</t>
        </is>
      </c>
      <c r="D221" s="515" t="n">
        <v>14700</v>
      </c>
      <c r="E221" s="514" t="n"/>
      <c r="F221" s="514" t="n"/>
      <c r="G221" s="514" t="n"/>
      <c r="H221" s="514" t="n">
        <v>16.5</v>
      </c>
      <c r="I221" s="514" t="n">
        <v>1.1</v>
      </c>
      <c r="J221" s="514" t="inlineStr">
        <is>
          <t>vnstock 19:52 28/05/2026</t>
        </is>
      </c>
      <c r="K221" s="1024">
        <f>IF(A221='🎯 SÓI v42 — TRA CỨU &amp; DEEP DIV'!$C$4,"⭐ ĐANG XEM","")</f>
        <v/>
      </c>
    </row>
    <row r="222" ht="15" customHeight="1" s="981">
      <c r="A222" s="514" t="inlineStr">
        <is>
          <t>HUT</t>
        </is>
      </c>
      <c r="B222" s="514" t="inlineStr">
        <is>
          <t>Tasco</t>
        </is>
      </c>
      <c r="C222" s="514" t="inlineStr">
        <is>
          <t>Xây dựng</t>
        </is>
      </c>
      <c r="D222" s="515" t="n">
        <v>15600</v>
      </c>
      <c r="E222" s="514" t="n">
        <v>-100</v>
      </c>
      <c r="F222" s="514" t="n">
        <v>-0.64</v>
      </c>
      <c r="G222" s="514" t="n">
        <v>862200</v>
      </c>
      <c r="H222" s="514" t="n">
        <v>18.7</v>
      </c>
      <c r="I222" s="514" t="n">
        <v>0.95</v>
      </c>
      <c r="J222" s="514" t="inlineStr">
        <is>
          <t>🟢 LIVE 21:26 22/05/2026</t>
        </is>
      </c>
      <c r="K222" s="1024">
        <f>IF(A222='🎯 SÓI v42 — TRA CỨU &amp; DEEP DIV'!$C$4,"⭐ ĐANG XEM","")</f>
        <v/>
      </c>
    </row>
    <row r="223" ht="15" customHeight="1" s="981">
      <c r="A223" s="514" t="inlineStr">
        <is>
          <t>HBS</t>
        </is>
      </c>
      <c r="B223" s="514" t="inlineStr">
        <is>
          <t>Hai Binh Securities</t>
        </is>
      </c>
      <c r="C223" s="514" t="inlineStr">
        <is>
          <t>Chứng khoán</t>
        </is>
      </c>
      <c r="D223" s="515" t="n">
        <v>4100</v>
      </c>
      <c r="E223" s="514" t="n"/>
      <c r="F223" s="514" t="n"/>
      <c r="G223" s="514" t="n"/>
      <c r="H223" s="514" t="n"/>
      <c r="I223" s="514" t="n"/>
      <c r="J223" s="514" t="inlineStr">
        <is>
          <t>vnstock 19:52 28/05/2026</t>
        </is>
      </c>
      <c r="K223" s="1024">
        <f>IF(A223='🎯 SÓI v42 — TRA CỨU &amp; DEEP DIV'!$C$4,"⭐ ĐANG XEM","")</f>
        <v/>
      </c>
    </row>
    <row r="224" ht="15" customHeight="1" s="981">
      <c r="A224" s="514" t="inlineStr">
        <is>
          <t>API</t>
        </is>
      </c>
      <c r="B224" s="514" t="inlineStr">
        <is>
          <t>Agrimeco</t>
        </is>
      </c>
      <c r="C224" s="514" t="inlineStr">
        <is>
          <t>Nông nghiệp</t>
        </is>
      </c>
      <c r="D224" s="515" t="n">
        <v>6100</v>
      </c>
      <c r="E224" s="514" t="n"/>
      <c r="F224" s="514" t="n"/>
      <c r="G224" s="514" t="n"/>
      <c r="H224" s="514" t="n"/>
      <c r="I224" s="514" t="n"/>
      <c r="J224" s="514" t="inlineStr">
        <is>
          <t>vnstock 19:52 28/05/2026</t>
        </is>
      </c>
      <c r="K224" s="1024">
        <f>IF(A224='🎯 SÓI v42 — TRA CỨU &amp; DEEP DIV'!$C$4,"⭐ ĐANG XEM","")</f>
        <v/>
      </c>
    </row>
    <row r="225" ht="15" customHeight="1" s="981">
      <c r="A225" s="514" t="inlineStr">
        <is>
          <t>VFG</t>
        </is>
      </c>
      <c r="B225" s="514" t="inlineStr">
        <is>
          <t>Viet Phap Fertilizer</t>
        </is>
      </c>
      <c r="C225" s="514" t="inlineStr">
        <is>
          <t>Nông nghiệp</t>
        </is>
      </c>
      <c r="D225" s="515" t="n">
        <v>47900</v>
      </c>
      <c r="E225" s="514" t="n">
        <v>-100</v>
      </c>
      <c r="F225" s="514" t="n">
        <v>-0.21</v>
      </c>
      <c r="G225" s="514" t="n">
        <v>5200</v>
      </c>
      <c r="H225" s="514" t="n">
        <v>12.5</v>
      </c>
      <c r="I225" s="514" t="n">
        <v>1.2</v>
      </c>
      <c r="J225" s="514" t="inlineStr">
        <is>
          <t>🟢 LIVE 21:26 22/05/2026</t>
        </is>
      </c>
      <c r="K225" s="1024">
        <f>IF(A225='🎯 SÓI v42 — TRA CỨU &amp; DEEP DIV'!$C$4,"⭐ ĐANG XEM","")</f>
        <v/>
      </c>
    </row>
    <row r="226" ht="15" customHeight="1" s="981">
      <c r="A226" s="514" t="inlineStr">
        <is>
          <t>DHC</t>
        </is>
      </c>
      <c r="B226" s="514" t="inlineStr">
        <is>
          <t>Dong Hai Ben Tre</t>
        </is>
      </c>
      <c r="C226" s="514" t="inlineStr">
        <is>
          <t>VL Xây dựng</t>
        </is>
      </c>
      <c r="D226" s="515" t="n">
        <v>36400</v>
      </c>
      <c r="E226" s="514" t="n"/>
      <c r="F226" s="514" t="n"/>
      <c r="G226" s="514" t="n"/>
      <c r="H226" s="514" t="n">
        <v>12.5</v>
      </c>
      <c r="I226" s="514" t="n">
        <v>1.4</v>
      </c>
      <c r="J226" s="514" t="inlineStr">
        <is>
          <t>vnstock 19:52 28/05/2026</t>
        </is>
      </c>
      <c r="K226" s="1024">
        <f>IF(A226='🎯 SÓI v42 — TRA CỨU &amp; DEEP DIV'!$C$4,"⭐ ĐANG XEM","")</f>
        <v/>
      </c>
    </row>
    <row r="227" ht="15" customHeight="1" s="981">
      <c r="A227" s="514" t="inlineStr">
        <is>
          <t>CMC</t>
        </is>
      </c>
      <c r="B227" s="514" t="inlineStr">
        <is>
          <t>CMC Corp</t>
        </is>
      </c>
      <c r="C227" s="514" t="inlineStr">
        <is>
          <t>CNTT</t>
        </is>
      </c>
      <c r="D227" s="515" t="n">
        <v>10000</v>
      </c>
      <c r="E227" s="514" t="n"/>
      <c r="F227" s="514" t="n"/>
      <c r="G227" s="514" t="n"/>
      <c r="H227" s="514" t="n">
        <v>16.5</v>
      </c>
      <c r="I227" s="514" t="n">
        <v>1.4</v>
      </c>
      <c r="J227" s="514" t="inlineStr">
        <is>
          <t>vnstock 19:52 28/05/2026</t>
        </is>
      </c>
      <c r="K227" s="1024">
        <f>IF(A227='🎯 SÓI v42 — TRA CỨU &amp; DEEP DIV'!$C$4,"⭐ ĐANG XEM","")</f>
        <v/>
      </c>
    </row>
    <row r="228" ht="15" customHeight="1" s="981">
      <c r="A228" s="514" t="inlineStr">
        <is>
          <t>VCS</t>
        </is>
      </c>
      <c r="B228" s="514" t="inlineStr">
        <is>
          <t>Vicostone</t>
        </is>
      </c>
      <c r="C228" s="514" t="inlineStr">
        <is>
          <t>VL Xây dựng</t>
        </is>
      </c>
      <c r="D228" s="515" t="n">
        <v>38400</v>
      </c>
      <c r="E228" s="514" t="n">
        <v>0</v>
      </c>
      <c r="F228" s="514" t="n">
        <v>0</v>
      </c>
      <c r="G228" s="514" t="n">
        <v>30900</v>
      </c>
      <c r="H228" s="514" t="n">
        <v>10.5</v>
      </c>
      <c r="I228" s="514" t="n">
        <v>1.5</v>
      </c>
      <c r="J228" s="514" t="inlineStr">
        <is>
          <t>🟢 LIVE 21:26 22/05/2026</t>
        </is>
      </c>
      <c r="K228" s="1024">
        <f>IF(A228='🎯 SÓI v42 — TRA CỨU &amp; DEEP DIV'!$C$4,"⭐ ĐANG XEM","")</f>
        <v/>
      </c>
    </row>
    <row r="229" ht="15" customHeight="1" s="981">
      <c r="A229" s="514" t="inlineStr">
        <is>
          <t>PGS</t>
        </is>
      </c>
      <c r="B229" s="514" t="inlineStr">
        <is>
          <t>Petro Gas South</t>
        </is>
      </c>
      <c r="C229" s="514" t="inlineStr">
        <is>
          <t>Dầu khí</t>
        </is>
      </c>
      <c r="D229" s="515" t="n">
        <v>48800</v>
      </c>
      <c r="E229" s="514" t="n"/>
      <c r="F229" s="514" t="n"/>
      <c r="G229" s="514" t="n"/>
      <c r="H229" s="514" t="n">
        <v>15.4</v>
      </c>
      <c r="I229" s="514" t="n">
        <v>1.2</v>
      </c>
      <c r="J229" s="514" t="inlineStr">
        <is>
          <t>vnstock 19:52 28/05/2026</t>
        </is>
      </c>
      <c r="K229" s="1024">
        <f>IF(A229='🎯 SÓI v42 — TRA CỨU &amp; DEEP DIV'!$C$4,"⭐ ĐANG XEM","")</f>
        <v/>
      </c>
    </row>
    <row r="230" ht="15" customHeight="1" s="981">
      <c r="A230" s="514" t="inlineStr">
        <is>
          <t>SFI</t>
        </is>
      </c>
      <c r="B230" s="514" t="inlineStr">
        <is>
          <t>Sea Freight Indochina</t>
        </is>
      </c>
      <c r="C230" s="514" t="inlineStr">
        <is>
          <t>Logistics</t>
        </is>
      </c>
      <c r="D230" s="515" t="n">
        <v>27100</v>
      </c>
      <c r="E230" s="514" t="n"/>
      <c r="F230" s="514" t="n"/>
      <c r="G230" s="514" t="n"/>
      <c r="H230" s="514" t="n">
        <v>14.5</v>
      </c>
      <c r="I230" s="514" t="n">
        <v>1.4</v>
      </c>
      <c r="J230" s="514" t="inlineStr">
        <is>
          <t>vnstock 19:52 28/05/2026</t>
        </is>
      </c>
      <c r="K230" s="1024">
        <f>IF(A230='🎯 SÓI v42 — TRA CỨU &amp; DEEP DIV'!$C$4,"⭐ ĐANG XEM","")</f>
        <v/>
      </c>
    </row>
    <row r="231" ht="15" customHeight="1" s="981">
      <c r="A231" s="514" t="inlineStr">
        <is>
          <t>DHT</t>
        </is>
      </c>
      <c r="B231" s="514" t="inlineStr">
        <is>
          <t>Dieu Huong Pharma</t>
        </is>
      </c>
      <c r="C231" s="514" t="inlineStr">
        <is>
          <t>Y tế</t>
        </is>
      </c>
      <c r="D231" s="515" t="n">
        <v>67000</v>
      </c>
      <c r="E231" s="514" t="n"/>
      <c r="F231" s="514" t="n"/>
      <c r="G231" s="514" t="n"/>
      <c r="H231" s="514" t="n">
        <v>15.5</v>
      </c>
      <c r="I231" s="514" t="n">
        <v>2.2</v>
      </c>
      <c r="J231" s="514" t="inlineStr">
        <is>
          <t>vnstock 19:52 28/05/2026</t>
        </is>
      </c>
      <c r="K231" s="1024">
        <f>IF(A231='🎯 SÓI v42 — TRA CỨU &amp; DEEP DIV'!$C$4,"⭐ ĐANG XEM","")</f>
        <v/>
      </c>
    </row>
    <row r="232" ht="15" customHeight="1" s="981">
      <c r="A232" s="514" t="inlineStr">
        <is>
          <t>HAP</t>
        </is>
      </c>
      <c r="B232" s="514" t="inlineStr">
        <is>
          <t>Hapro</t>
        </is>
      </c>
      <c r="C232" s="514" t="inlineStr">
        <is>
          <t>Thương mại</t>
        </is>
      </c>
      <c r="D232" s="515" t="n">
        <v>7000</v>
      </c>
      <c r="E232" s="514" t="n"/>
      <c r="F232" s="514" t="n"/>
      <c r="G232" s="514" t="n"/>
      <c r="H232" s="514" t="n"/>
      <c r="I232" s="514" t="n"/>
      <c r="J232" s="514" t="inlineStr">
        <is>
          <t>vnstock 19:52 28/05/2026</t>
        </is>
      </c>
      <c r="K232" s="1024">
        <f>IF(A232='🎯 SÓI v42 — TRA CỨU &amp; DEEP DIV'!$C$4,"⭐ ĐANG XEM","")</f>
        <v/>
      </c>
    </row>
    <row r="233" ht="15" customHeight="1" s="981">
      <c r="A233" s="514" t="inlineStr">
        <is>
          <t>POT</t>
        </is>
      </c>
      <c r="B233" s="514" t="inlineStr">
        <is>
          <t>Post Telecom</t>
        </is>
      </c>
      <c r="C233" s="514" t="inlineStr">
        <is>
          <t>CNTT</t>
        </is>
      </c>
      <c r="D233" s="515" t="n">
        <v>20000</v>
      </c>
      <c r="E233" s="514" t="n"/>
      <c r="F233" s="514" t="n"/>
      <c r="G233" s="514" t="n"/>
      <c r="H233" s="514" t="n"/>
      <c r="I233" s="514" t="n"/>
      <c r="J233" s="514" t="inlineStr">
        <is>
          <t>vnstock 19:52 28/05/2026</t>
        </is>
      </c>
      <c r="K233" s="1024">
        <f>IF(A233='🎯 SÓI v42 — TRA CỨU &amp; DEEP DIV'!$C$4,"⭐ ĐANG XEM","")</f>
        <v/>
      </c>
    </row>
    <row r="234" ht="15" customHeight="1" s="981">
      <c r="A234" s="514" t="inlineStr">
        <is>
          <t>QNS</t>
        </is>
      </c>
      <c r="B234" s="514" t="inlineStr">
        <is>
          <t>Quang Ngai Sugar</t>
        </is>
      </c>
      <c r="C234" s="514" t="inlineStr">
        <is>
          <t>Thực phẩm</t>
        </is>
      </c>
      <c r="D234" s="515" t="n">
        <v>48500</v>
      </c>
      <c r="E234" s="514" t="n"/>
      <c r="F234" s="514" t="n"/>
      <c r="G234" s="514" t="n"/>
      <c r="H234" s="514" t="n">
        <v>10.5</v>
      </c>
      <c r="I234" s="514" t="n">
        <v>1.8</v>
      </c>
      <c r="J234" s="514" t="inlineStr">
        <is>
          <t>vnstock 19:52 28/05/2026</t>
        </is>
      </c>
      <c r="K234" s="1024">
        <f>IF(A234='🎯 SÓI v42 — TRA CỨU &amp; DEEP DIV'!$C$4,"⭐ ĐANG XEM","")</f>
        <v/>
      </c>
    </row>
    <row r="235" ht="15" customHeight="1" s="981">
      <c r="A235" s="514" t="inlineStr">
        <is>
          <t>MCH</t>
        </is>
      </c>
      <c r="B235" s="514" t="inlineStr">
        <is>
          <t>Masan Consumer</t>
        </is>
      </c>
      <c r="C235" s="514" t="inlineStr">
        <is>
          <t>Tiêu dùng</t>
        </is>
      </c>
      <c r="D235" s="515" t="n">
        <v>130400</v>
      </c>
      <c r="E235" s="514" t="n">
        <v>-600</v>
      </c>
      <c r="F235" s="514" t="n">
        <v>-0.46</v>
      </c>
      <c r="G235" s="514" t="n">
        <v>433100</v>
      </c>
      <c r="H235" s="514" t="n">
        <v>18.5</v>
      </c>
      <c r="I235" s="514" t="n">
        <v>4.2</v>
      </c>
      <c r="J235" s="514" t="inlineStr">
        <is>
          <t>🟢 LIVE 21:26 22/05/2026</t>
        </is>
      </c>
      <c r="K235" s="1024">
        <f>IF(A235='🎯 SÓI v42 — TRA CỨU &amp; DEEP DIV'!$C$4,"⭐ ĐANG XEM","")</f>
        <v/>
      </c>
    </row>
    <row r="236" ht="15" customHeight="1" s="981">
      <c r="A236" s="514" t="inlineStr">
        <is>
          <t>LTG</t>
        </is>
      </c>
      <c r="B236" s="514" t="inlineStr">
        <is>
          <t>Loc Troi Group</t>
        </is>
      </c>
      <c r="C236" s="514" t="inlineStr">
        <is>
          <t>Nông nghiệp</t>
        </is>
      </c>
      <c r="D236" s="515" t="n">
        <v>5400</v>
      </c>
      <c r="E236" s="514" t="n">
        <v>-500</v>
      </c>
      <c r="F236" s="514" t="n">
        <v>-8.470000000000001</v>
      </c>
      <c r="G236" s="514" t="n">
        <v>312400</v>
      </c>
      <c r="H236" s="514" t="n">
        <v>9.800000000000001</v>
      </c>
      <c r="I236" s="514" t="n">
        <v>0.85</v>
      </c>
      <c r="J236" s="514" t="inlineStr">
        <is>
          <t>🟢 LIVE 21:26 22/05/2026</t>
        </is>
      </c>
      <c r="K236" s="1024">
        <f>IF(A236='🎯 SÓI v42 — TRA CỨU &amp; DEEP DIV'!$C$4,"⭐ ĐANG XEM","")</f>
        <v/>
      </c>
    </row>
    <row r="237" ht="15" customHeight="1" s="981">
      <c r="A237" s="514" t="inlineStr">
        <is>
          <t>DBC</t>
        </is>
      </c>
      <c r="B237" s="514" t="inlineStr">
        <is>
          <t>Dabaco Group</t>
        </is>
      </c>
      <c r="C237" s="514" t="inlineStr">
        <is>
          <t>Nông nghiệp</t>
        </is>
      </c>
      <c r="D237" s="515" t="n">
        <v>21700</v>
      </c>
      <c r="E237" s="514" t="n">
        <v>-50</v>
      </c>
      <c r="F237" s="514" t="n">
        <v>-0.23</v>
      </c>
      <c r="G237" s="514" t="n">
        <v>1762000</v>
      </c>
      <c r="H237" s="514" t="n">
        <v>14.7</v>
      </c>
      <c r="I237" s="514" t="n">
        <v>1.8</v>
      </c>
      <c r="J237" s="514" t="inlineStr">
        <is>
          <t>🟢 LIVE 21:26 22/05/2026</t>
        </is>
      </c>
      <c r="K237" s="1024">
        <f>IF(A237='🎯 SÓI v42 — TRA CỨU &amp; DEEP DIV'!$C$4,"⭐ ĐANG XEM","")</f>
        <v/>
      </c>
    </row>
    <row r="238" ht="15" customHeight="1" s="981">
      <c r="A238" s="514" t="inlineStr">
        <is>
          <t>VNS</t>
        </is>
      </c>
      <c r="B238" s="514" t="inlineStr">
        <is>
          <t>Vinasun Corp</t>
        </is>
      </c>
      <c r="C238" s="514" t="inlineStr">
        <is>
          <t>Vận tải</t>
        </is>
      </c>
      <c r="D238" s="515" t="n">
        <v>7750</v>
      </c>
      <c r="E238" s="514" t="n"/>
      <c r="F238" s="514" t="n"/>
      <c r="G238" s="514" t="n"/>
      <c r="H238" s="514" t="n">
        <v>12.4</v>
      </c>
      <c r="I238" s="514" t="n">
        <v>0.9</v>
      </c>
      <c r="J238" s="514" t="inlineStr">
        <is>
          <t>vnstock 19:52 28/05/2026</t>
        </is>
      </c>
      <c r="K238" s="1024">
        <f>IF(A238='🎯 SÓI v42 — TRA CỨU &amp; DEEP DIV'!$C$4,"⭐ ĐANG XEM","")</f>
        <v/>
      </c>
    </row>
    <row r="239" ht="14.25" customHeight="1" s="981">
      <c r="J239" t="inlineStr">
        <is>
          <t>⏳ Chờ Python</t>
        </is>
      </c>
    </row>
    <row r="240" ht="15" customHeight="1" s="981">
      <c r="A240" s="518" t="inlineStr">
        <is>
          <t>⚡ Tổng 235 mã. 🟢 8 mã live | 🟡 227 mã snapshot. Chạy: python cap_nhat_gia_python.py</t>
        </is>
      </c>
      <c r="J240" t="inlineStr">
        <is>
          <t>⏳ Chờ Python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3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0" customWidth="1" style="981" min="1" max="1"/>
    <col width="25" customWidth="1" style="981" min="2" max="2"/>
    <col width="18" customWidth="1" style="981" min="3" max="3"/>
    <col width="12" customWidth="1" style="981" min="4" max="4"/>
    <col width="8" customWidth="1" style="981" min="5" max="5"/>
    <col width="10" customWidth="1" style="981" min="7" max="7"/>
    <col width="14" customWidth="1" style="981" min="8" max="8"/>
    <col width="10" customWidth="1" style="981" min="9" max="9"/>
    <col width="9" customWidth="1" style="981" min="10" max="10"/>
    <col width="12" customWidth="1" style="981" min="11" max="11"/>
    <col width="15" customWidth="1" style="981" min="12" max="12"/>
    <col width="10" customWidth="1" style="981" min="13" max="13"/>
    <col width="8" customWidth="1" style="981" min="29" max="29"/>
  </cols>
  <sheetData>
    <row r="1" ht="30" customHeight="1" s="981">
      <c r="A1" s="1139" t="inlineStr">
        <is>
          <t>📈 CƠ SỞ DỮ LIỆU CỔ PHIẾU VIỆT NAM v18 — MỞ RỘNG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  <c r="M1" s="1050" t="n"/>
      <c r="N1" s="1050" t="n"/>
      <c r="O1" s="1050" t="n"/>
      <c r="P1" s="1050" t="n"/>
      <c r="Q1" s="1050" t="n"/>
      <c r="R1" s="1050" t="n"/>
      <c r="S1" s="1050" t="n"/>
      <c r="T1" s="1050" t="n"/>
      <c r="U1" s="1050" t="n"/>
      <c r="V1" s="1050" t="n"/>
      <c r="W1" s="1050" t="n"/>
      <c r="X1" s="1050" t="n"/>
      <c r="Y1" s="1050" t="n"/>
      <c r="Z1" s="1050" t="n"/>
      <c r="AA1" s="1050" t="n"/>
      <c r="AB1" s="1050" t="n"/>
      <c r="AC1" s="1050" t="n"/>
    </row>
    <row r="2" ht="13.5" customHeight="1" s="981">
      <c r="A2" s="1138" t="inlineStr">
        <is>
          <t>Cap nhat: 29/05/2026 | Q2 2026 | BCTC Q1/2026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  <c r="M2" s="1050" t="n"/>
      <c r="N2" s="1050" t="n"/>
      <c r="O2" s="1050" t="n"/>
      <c r="P2" s="1050" t="n"/>
      <c r="Q2" s="1050" t="n"/>
      <c r="R2" s="1050" t="n"/>
      <c r="S2" s="1050" t="n"/>
      <c r="T2" s="1050" t="n"/>
      <c r="U2" s="1050" t="n"/>
      <c r="V2" s="1050" t="n"/>
      <c r="W2" s="1050" t="n"/>
      <c r="X2" s="1050" t="n"/>
      <c r="Y2" s="1050" t="n"/>
      <c r="Z2" s="1050" t="n"/>
      <c r="AA2" s="1050" t="n"/>
      <c r="AB2" s="1050" t="n"/>
      <c r="AC2" s="1050" t="n"/>
    </row>
    <row r="3" ht="13.5" customHeight="1" s="981">
      <c r="A3" s="1137" t="inlineStr">
        <is>
          <t>⚠️ Đây là SNAPSHOT từ kiến thức training. Để có realtime cho TOÀN BỘ 1,600 mã, dùng script Python quant_screener.py với thư viện vnstock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6" t="n"/>
      <c r="M3" s="1050" t="n"/>
      <c r="N3" s="1050" t="n"/>
      <c r="O3" s="1050" t="n"/>
      <c r="P3" s="1050" t="n"/>
      <c r="Q3" s="1050" t="n"/>
      <c r="R3" s="1050" t="n"/>
      <c r="S3" s="1050" t="n"/>
      <c r="T3" s="1050" t="n"/>
      <c r="U3" s="1050" t="n"/>
      <c r="V3" s="1050" t="n"/>
      <c r="W3" s="1050" t="n"/>
      <c r="X3" s="1050" t="n"/>
      <c r="Y3" s="1050" t="n"/>
      <c r="Z3" s="1050" t="n"/>
      <c r="AA3" s="1050" t="n"/>
      <c r="AB3" s="1050" t="n"/>
      <c r="AC3" s="1050" t="n"/>
    </row>
    <row r="4" ht="27.75" customHeight="1" s="981">
      <c r="A4" s="430" t="inlineStr">
        <is>
          <t>Mã</t>
        </is>
      </c>
      <c r="B4" s="430" t="inlineStr">
        <is>
          <t>Tên</t>
        </is>
      </c>
      <c r="C4" s="430" t="inlineStr">
        <is>
          <t>Ngành</t>
        </is>
      </c>
      <c r="D4" s="430" t="inlineStr">
        <is>
          <t>Giá (₫)</t>
        </is>
      </c>
      <c r="E4" s="430" t="inlineStr">
        <is>
          <t>P/E</t>
        </is>
      </c>
      <c r="F4" s="430" t="inlineStr">
        <is>
          <t>P/B</t>
        </is>
      </c>
      <c r="G4" s="430" t="inlineStr">
        <is>
          <t>ROE (%)</t>
        </is>
      </c>
      <c r="H4" s="430" t="inlineStr">
        <is>
          <t>Vốn hóa (tỷ ₫)</t>
        </is>
      </c>
      <c r="I4" s="430" t="inlineStr">
        <is>
          <t>EPS (₫)</t>
        </is>
      </c>
      <c r="J4" s="430" t="inlineStr">
        <is>
          <t>%YTD</t>
        </is>
      </c>
      <c r="K4" s="430" t="inlineStr">
        <is>
          <t>Tín hiệu</t>
        </is>
      </c>
      <c r="L4" s="430" t="inlineStr">
        <is>
          <t>Ghi chú</t>
        </is>
      </c>
      <c r="M4" s="1063" t="inlineStr">
        <is>
          <t>Vốn CSH
(tỷ đ)</t>
        </is>
      </c>
      <c r="N4" s="1063" t="inlineStr">
        <is>
          <t>Nợ vay
(tỷ đ)</t>
        </is>
      </c>
      <c r="O4" s="1063" t="inlineStr">
        <is>
          <t>EBITDA
(tỷ đ)</t>
        </is>
      </c>
      <c r="P4" s="1063" t="inlineStr">
        <is>
          <t>DT 2025
(tỷ đ)</t>
        </is>
      </c>
      <c r="Q4" s="1063" t="inlineStr">
        <is>
          <t>LNST 2025
(tỷ đ)</t>
        </is>
      </c>
      <c r="R4" s="1063" t="inlineStr">
        <is>
          <t>Biên LN
(%)</t>
        </is>
      </c>
      <c r="S4" s="1063" t="inlineStr">
        <is>
          <t>ROIC
(%)</t>
        </is>
      </c>
      <c r="T4" s="1063" t="inlineStr">
        <is>
          <t>D/E
Ratio</t>
        </is>
      </c>
      <c r="U4" s="1063" t="inlineStr">
        <is>
          <t>Cổ tức
(%/năm)</t>
        </is>
      </c>
      <c r="V4" s="1063" t="inlineStr">
        <is>
          <t>Cổ tức
(đ/CP)</t>
        </is>
      </c>
      <c r="W4" s="1063" t="inlineStr">
        <is>
          <t>% NĐT
ngoài</t>
        </is>
      </c>
      <c r="X4" s="1063" t="inlineStr">
        <is>
          <t>Insider
Own%</t>
        </is>
      </c>
      <c r="Y4" s="1063" t="inlineStr">
        <is>
          <t>Chủ tịch
HĐQT</t>
        </is>
      </c>
      <c r="Z4" s="1063" t="inlineStr">
        <is>
          <t>ESG
Score</t>
        </is>
      </c>
      <c r="AA4" s="1063" t="inlineStr">
        <is>
          <t>Đạo đức
LĐ</t>
        </is>
      </c>
      <c r="AB4" s="1063" t="inlineStr">
        <is>
          <t>Cảnh
báo ⚠</t>
        </is>
      </c>
      <c r="AC4" s="519" t="inlineStr">
        <is>
          <t>Sàn
GD</t>
        </is>
      </c>
      <c r="AD4" s="506" t="inlineStr">
        <is>
          <t>🔗 Match C4</t>
        </is>
      </c>
    </row>
    <row r="5" ht="13.5" customHeight="1" s="981">
      <c r="A5" s="433" t="inlineStr">
        <is>
          <t>VCB</t>
        </is>
      </c>
      <c r="B5" s="431" t="inlineStr">
        <is>
          <t>Vietcombank</t>
        </is>
      </c>
      <c r="C5" s="431" t="inlineStr">
        <is>
          <t>Ngân hàng</t>
        </is>
      </c>
      <c r="D5" s="520" t="n">
        <v>62800</v>
      </c>
      <c r="E5" s="431" t="n">
        <v>15</v>
      </c>
      <c r="F5" s="431" t="n">
        <v>3.2</v>
      </c>
      <c r="G5" s="431" t="n">
        <v>20.4</v>
      </c>
      <c r="H5" s="431" t="n">
        <v>351680</v>
      </c>
      <c r="I5" s="431" t="n">
        <v>4200</v>
      </c>
      <c r="J5" s="431" t="n">
        <v>15.2</v>
      </c>
      <c r="K5" s="433" t="inlineStr">
        <is>
          <t>GIỮ</t>
        </is>
      </c>
      <c r="L5" s="1104" t="inlineStr">
        <is>
          <t>TOP CP NH lớn nhất VN</t>
        </is>
      </c>
      <c r="M5" s="521" t="n">
        <v>127000</v>
      </c>
      <c r="N5" s="521" t="n">
        <v>1200000</v>
      </c>
      <c r="O5" s="521" t="n">
        <v>48000</v>
      </c>
      <c r="P5" s="521" t="n">
        <v>125000</v>
      </c>
      <c r="Q5" s="521" t="n">
        <v>28000</v>
      </c>
      <c r="R5" s="521" t="n">
        <v>22.4</v>
      </c>
      <c r="S5" s="521" t="n">
        <v>18</v>
      </c>
      <c r="T5" s="521" t="n">
        <v>9.4</v>
      </c>
      <c r="U5" s="521" t="n">
        <v>1.8</v>
      </c>
      <c r="V5" s="521" t="n">
        <v>1100</v>
      </c>
      <c r="W5" s="521" t="n">
        <v>28.5</v>
      </c>
      <c r="X5" s="521" t="n">
        <v>2.1</v>
      </c>
      <c r="Y5" s="521" t="inlineStr">
        <is>
          <t>Phạm Quang Dũng</t>
        </is>
      </c>
      <c r="Z5" s="521" t="n">
        <v>88</v>
      </c>
      <c r="AA5" s="521" t="inlineStr">
        <is>
          <t>🟢 Cao</t>
        </is>
      </c>
      <c r="AB5" s="521" t="n"/>
      <c r="AC5" s="522" t="inlineStr">
        <is>
          <t>HOSE</t>
        </is>
      </c>
      <c r="AD5" s="1024">
        <f>IF(A5='🎯 SÓI v42 — TRA CỨU &amp; DEEP DIV'!$C$4,"⭐ ĐANG XEM","")</f>
        <v/>
      </c>
    </row>
    <row r="6" ht="13.5" customHeight="1" s="981">
      <c r="A6" s="437" t="inlineStr">
        <is>
          <t>BID</t>
        </is>
      </c>
      <c r="B6" s="435" t="inlineStr">
        <is>
          <t>BIDV</t>
        </is>
      </c>
      <c r="C6" s="435" t="inlineStr">
        <is>
          <t>Ngân hàng</t>
        </is>
      </c>
      <c r="D6" s="523" t="n">
        <v>42500</v>
      </c>
      <c r="E6" s="435" t="n">
        <v>9.199999999999999</v>
      </c>
      <c r="F6" s="435" t="n">
        <v>2.1</v>
      </c>
      <c r="G6" s="435" t="n">
        <v>19.1</v>
      </c>
      <c r="H6" s="435" t="n">
        <v>242250</v>
      </c>
      <c r="I6" s="435" t="n">
        <v>4600</v>
      </c>
      <c r="J6" s="435" t="n">
        <v>-5.4</v>
      </c>
      <c r="K6" s="437" t="inlineStr">
        <is>
          <t>GIỮ</t>
        </is>
      </c>
      <c r="L6" s="438" t="inlineStr">
        <is>
          <t>NH quốc doanh top 2</t>
        </is>
      </c>
      <c r="M6" s="521" t="n">
        <v>85000</v>
      </c>
      <c r="N6" s="521" t="n">
        <v>1450000</v>
      </c>
      <c r="O6" s="521" t="n">
        <v>35000</v>
      </c>
      <c r="P6" s="521" t="n">
        <v>98000</v>
      </c>
      <c r="Q6" s="521" t="n">
        <v>18000</v>
      </c>
      <c r="R6" s="521" t="n">
        <v>18.4</v>
      </c>
      <c r="S6" s="521" t="n">
        <v>12</v>
      </c>
      <c r="T6" s="521" t="n">
        <v>17.1</v>
      </c>
      <c r="U6" s="521" t="n">
        <v>1.5</v>
      </c>
      <c r="V6" s="521" t="n">
        <v>680</v>
      </c>
      <c r="W6" s="521" t="n">
        <v>22.3</v>
      </c>
      <c r="X6" s="521" t="n">
        <v>1.8</v>
      </c>
      <c r="Y6" s="521" t="inlineStr">
        <is>
          <t>Phan Đức Tú</t>
        </is>
      </c>
      <c r="Z6" s="521" t="n">
        <v>75</v>
      </c>
      <c r="AA6" s="521" t="inlineStr">
        <is>
          <t>🟢 Tốt</t>
        </is>
      </c>
      <c r="AB6" s="521" t="n"/>
      <c r="AC6" s="522" t="inlineStr">
        <is>
          <t>HOSE</t>
        </is>
      </c>
      <c r="AD6" s="1024">
        <f>IF(A6='🎯 SÓI v42 — TRA CỨU &amp; DEEP DIV'!$C$4,"⭐ ĐANG XEM","")</f>
        <v/>
      </c>
    </row>
    <row r="7" ht="13.5" customHeight="1" s="981">
      <c r="A7" s="433" t="inlineStr">
        <is>
          <t>CTG</t>
        </is>
      </c>
      <c r="B7" s="431" t="inlineStr">
        <is>
          <t>VietinBank</t>
        </is>
      </c>
      <c r="C7" s="431" t="inlineStr">
        <is>
          <t>Ngân hàng</t>
        </is>
      </c>
      <c r="D7" s="520" t="n">
        <v>34850</v>
      </c>
      <c r="E7" s="431" t="n">
        <v>8.5</v>
      </c>
      <c r="F7" s="431" t="n">
        <v>1.6</v>
      </c>
      <c r="G7" s="431" t="n">
        <v>16.8</v>
      </c>
      <c r="H7" s="431" t="n">
        <v>195160</v>
      </c>
      <c r="I7" s="431" t="n">
        <v>4100</v>
      </c>
      <c r="J7" s="431" t="n">
        <v>-2</v>
      </c>
      <c r="K7" s="524" t="inlineStr">
        <is>
          <t>MUA</t>
        </is>
      </c>
      <c r="L7" s="1104" t="inlineStr">
        <is>
          <t>NH quốc doanh, P/B rẻ</t>
        </is>
      </c>
      <c r="M7" s="521" t="n">
        <v>78000</v>
      </c>
      <c r="N7" s="521" t="n">
        <v>1320000</v>
      </c>
      <c r="O7" s="521" t="n">
        <v>30000</v>
      </c>
      <c r="P7" s="521" t="n">
        <v>88000</v>
      </c>
      <c r="Q7" s="521" t="n">
        <v>15000</v>
      </c>
      <c r="R7" s="521" t="n">
        <v>17</v>
      </c>
      <c r="S7" s="521" t="n">
        <v>10.5</v>
      </c>
      <c r="T7" s="521" t="n">
        <v>16.9</v>
      </c>
      <c r="U7" s="521" t="n">
        <v>1.5</v>
      </c>
      <c r="V7" s="521" t="n">
        <v>529</v>
      </c>
      <c r="W7" s="521" t="n">
        <v>20.1</v>
      </c>
      <c r="X7" s="521" t="n">
        <v>1.5</v>
      </c>
      <c r="Y7" s="521" t="inlineStr">
        <is>
          <t>Trần Minh Bình</t>
        </is>
      </c>
      <c r="Z7" s="521" t="n">
        <v>72</v>
      </c>
      <c r="AA7" s="521" t="inlineStr">
        <is>
          <t>🟢 Tốt</t>
        </is>
      </c>
      <c r="AB7" s="521" t="n"/>
      <c r="AC7" s="522" t="inlineStr">
        <is>
          <t>HOSE</t>
        </is>
      </c>
      <c r="AD7" s="1024">
        <f>IF(A7='🎯 SÓI v42 — TRA CỨU &amp; DEEP DIV'!$C$4,"⭐ ĐANG XEM","")</f>
        <v/>
      </c>
    </row>
    <row r="8" ht="13.5" customHeight="1" s="981">
      <c r="A8" s="437" t="inlineStr">
        <is>
          <t>MBB</t>
        </is>
      </c>
      <c r="B8" s="435" t="inlineStr">
        <is>
          <t>MB Bank</t>
        </is>
      </c>
      <c r="C8" s="435" t="inlineStr">
        <is>
          <t>Ngân hàng</t>
        </is>
      </c>
      <c r="D8" s="523" t="n">
        <v>25000</v>
      </c>
      <c r="E8" s="435" t="n">
        <v>6.6</v>
      </c>
      <c r="F8" s="435" t="n">
        <v>1.42</v>
      </c>
      <c r="G8" s="435" t="n">
        <v>20.1</v>
      </c>
      <c r="H8" s="435" t="n">
        <v>204597</v>
      </c>
      <c r="I8" s="435" t="n">
        <v>3800</v>
      </c>
      <c r="J8" s="435" t="n">
        <v>12.5</v>
      </c>
      <c r="K8" s="525" t="inlineStr">
        <is>
          <t>MUA MẠNH</t>
        </is>
      </c>
      <c r="L8" s="438" t="inlineStr">
        <is>
          <t>P/E rẻ + ROE 22%</t>
        </is>
      </c>
      <c r="M8" s="521" t="n">
        <v>62000</v>
      </c>
      <c r="N8" s="521" t="n">
        <v>530000</v>
      </c>
      <c r="O8" s="521" t="n">
        <v>18000</v>
      </c>
      <c r="P8" s="521" t="n">
        <v>65000</v>
      </c>
      <c r="Q8" s="521" t="n">
        <v>14000</v>
      </c>
      <c r="R8" s="521" t="n">
        <v>21.5</v>
      </c>
      <c r="S8" s="521" t="n">
        <v>18.5</v>
      </c>
      <c r="T8" s="521" t="n">
        <v>8.5</v>
      </c>
      <c r="U8" s="521" t="n">
        <v>2</v>
      </c>
      <c r="V8" s="521" t="n">
        <v>524</v>
      </c>
      <c r="W8" s="521" t="n">
        <v>24.2</v>
      </c>
      <c r="X8" s="521" t="n">
        <v>3.2</v>
      </c>
      <c r="Y8" s="521" t="inlineStr">
        <is>
          <t>Lưu Trung Thái</t>
        </is>
      </c>
      <c r="Z8" s="521" t="n">
        <v>82</v>
      </c>
      <c r="AA8" s="521" t="inlineStr">
        <is>
          <t>🟢 Cao</t>
        </is>
      </c>
      <c r="AB8" s="521" t="n"/>
      <c r="AC8" s="522" t="inlineStr">
        <is>
          <t>HOSE</t>
        </is>
      </c>
      <c r="AD8" s="1024">
        <f>IF(A8='🎯 SÓI v42 — TRA CỨU &amp; DEEP DIV'!$C$4,"⭐ ĐANG XEM","")</f>
        <v/>
      </c>
    </row>
    <row r="9" ht="13.5" customHeight="1" s="981">
      <c r="A9" s="433" t="inlineStr">
        <is>
          <t>TCB</t>
        </is>
      </c>
      <c r="B9" s="431" t="inlineStr">
        <is>
          <t>Techcombank</t>
        </is>
      </c>
      <c r="C9" s="431" t="inlineStr">
        <is>
          <t>Ngân hàng</t>
        </is>
      </c>
      <c r="D9" s="520" t="n">
        <v>32600</v>
      </c>
      <c r="E9" s="431" t="n">
        <v>6.8</v>
      </c>
      <c r="F9" s="431" t="n">
        <v>1.25</v>
      </c>
      <c r="G9" s="431" t="n">
        <v>16.3</v>
      </c>
      <c r="H9" s="431" t="n">
        <v>189080</v>
      </c>
      <c r="I9" s="431" t="n">
        <v>4800</v>
      </c>
      <c r="J9" s="431" t="n">
        <v>18.3</v>
      </c>
      <c r="K9" s="525" t="inlineStr">
        <is>
          <t>MUA MẠNH</t>
        </is>
      </c>
      <c r="L9" s="1104" t="inlineStr">
        <is>
          <t>Tăng trưởng tốt</t>
        </is>
      </c>
      <c r="M9" s="521" t="n">
        <v>75000</v>
      </c>
      <c r="N9" s="521" t="n">
        <v>460000</v>
      </c>
      <c r="O9" s="521" t="n">
        <v>22000</v>
      </c>
      <c r="P9" s="521" t="n">
        <v>72000</v>
      </c>
      <c r="Q9" s="521" t="n">
        <v>18000</v>
      </c>
      <c r="R9" s="521" t="n">
        <v>25</v>
      </c>
      <c r="S9" s="521" t="n">
        <v>19.2</v>
      </c>
      <c r="T9" s="521" t="n">
        <v>6.1</v>
      </c>
      <c r="U9" s="521" t="n">
        <v>0</v>
      </c>
      <c r="V9" s="521" t="n">
        <v>0</v>
      </c>
      <c r="W9" s="521" t="n">
        <v>18.5</v>
      </c>
      <c r="X9" s="521" t="n">
        <v>2.8</v>
      </c>
      <c r="Y9" s="521" t="inlineStr">
        <is>
          <t>Hồ Hùng Anh</t>
        </is>
      </c>
      <c r="Z9" s="521" t="n">
        <v>78</v>
      </c>
      <c r="AA9" s="521" t="inlineStr">
        <is>
          <t>🟢 Tốt</t>
        </is>
      </c>
      <c r="AB9" s="521" t="n"/>
      <c r="AC9" s="522" t="inlineStr">
        <is>
          <t>HOSE</t>
        </is>
      </c>
      <c r="AD9" s="1024">
        <f>IF(A9='🎯 SÓI v42 — TRA CỨU &amp; DEEP DIV'!$C$4,"⭐ ĐANG XEM","")</f>
        <v/>
      </c>
    </row>
    <row r="10" ht="13.5" customHeight="1" s="981">
      <c r="A10" s="437" t="inlineStr">
        <is>
          <t>ACB</t>
        </is>
      </c>
      <c r="B10" s="435" t="inlineStr">
        <is>
          <t>ACB Bank</t>
        </is>
      </c>
      <c r="C10" s="435" t="inlineStr">
        <is>
          <t>Ngân hàng</t>
        </is>
      </c>
      <c r="D10" s="523" t="n">
        <v>24650</v>
      </c>
      <c r="E10" s="435" t="n">
        <v>6.2</v>
      </c>
      <c r="F10" s="435" t="n">
        <v>1.55</v>
      </c>
      <c r="G10" s="435" t="n">
        <v>23.4</v>
      </c>
      <c r="H10" s="435" t="n">
        <v>110925</v>
      </c>
      <c r="I10" s="435" t="n">
        <v>4000</v>
      </c>
      <c r="J10" s="435" t="n">
        <v>10.5</v>
      </c>
      <c r="K10" s="525" t="inlineStr">
        <is>
          <t>MUA MẠNH</t>
        </is>
      </c>
      <c r="L10" s="438" t="inlineStr">
        <is>
          <t>ROE 25% top ngành</t>
        </is>
      </c>
      <c r="M10" s="521" t="n">
        <v>55000</v>
      </c>
      <c r="N10" s="521" t="n">
        <v>420000</v>
      </c>
      <c r="O10" s="521" t="n">
        <v>16000</v>
      </c>
      <c r="P10" s="521" t="n">
        <v>55000</v>
      </c>
      <c r="Q10" s="521" t="n">
        <v>12000</v>
      </c>
      <c r="R10" s="521" t="n">
        <v>29</v>
      </c>
      <c r="S10" s="521" t="n">
        <v>24.5</v>
      </c>
      <c r="T10" s="521" t="n">
        <v>7.6</v>
      </c>
      <c r="U10" s="521" t="n">
        <v>2.5</v>
      </c>
      <c r="V10" s="521" t="n">
        <v>870</v>
      </c>
      <c r="W10" s="521" t="n">
        <v>22</v>
      </c>
      <c r="X10" s="521" t="n">
        <v>2.5</v>
      </c>
      <c r="Y10" s="521" t="inlineStr">
        <is>
          <t>Trần Hùng Huy</t>
        </is>
      </c>
      <c r="Z10" s="521" t="n">
        <v>80</v>
      </c>
      <c r="AA10" s="521" t="inlineStr">
        <is>
          <t>🟢 Cao</t>
        </is>
      </c>
      <c r="AB10" s="521" t="n"/>
      <c r="AC10" s="522" t="inlineStr">
        <is>
          <t>HOSE</t>
        </is>
      </c>
      <c r="AD10" s="1024">
        <f>IF(A10='🎯 SÓI v42 — TRA CỨU &amp; DEEP DIV'!$C$4,"⭐ ĐANG XEM","")</f>
        <v/>
      </c>
    </row>
    <row r="11" ht="13.5" customHeight="1" s="981">
      <c r="A11" s="433" t="inlineStr">
        <is>
          <t>VPB</t>
        </is>
      </c>
      <c r="B11" s="431" t="inlineStr">
        <is>
          <t>VPBank</t>
        </is>
      </c>
      <c r="C11" s="431" t="inlineStr">
        <is>
          <t>Ngân hàng</t>
        </is>
      </c>
      <c r="D11" s="520" t="n">
        <v>27300</v>
      </c>
      <c r="E11" s="431" t="n">
        <v>8.300000000000001</v>
      </c>
      <c r="F11" s="431" t="n">
        <v>1.4</v>
      </c>
      <c r="G11" s="431" t="n">
        <v>14.7</v>
      </c>
      <c r="H11" s="431" t="n">
        <v>128310</v>
      </c>
      <c r="I11" s="431" t="n">
        <v>3300</v>
      </c>
      <c r="J11" s="431" t="n">
        <v>-3.2</v>
      </c>
      <c r="K11" s="433" t="inlineStr">
        <is>
          <t>GIỮ</t>
        </is>
      </c>
      <c r="L11" s="1104" t="inlineStr">
        <is>
          <t>Tài chính tiêu dùng</t>
        </is>
      </c>
      <c r="M11" s="521" t="n">
        <v>58000</v>
      </c>
      <c r="N11" s="521" t="n">
        <v>380000</v>
      </c>
      <c r="O11" s="521" t="n">
        <v>14000</v>
      </c>
      <c r="P11" s="521" t="n">
        <v>48000</v>
      </c>
      <c r="Q11" s="521" t="n">
        <v>9000</v>
      </c>
      <c r="R11" s="521" t="n">
        <v>18.8</v>
      </c>
      <c r="S11" s="521" t="n">
        <v>13</v>
      </c>
      <c r="T11" s="521" t="n">
        <v>6.6</v>
      </c>
      <c r="U11" s="521" t="n">
        <v>0</v>
      </c>
      <c r="V11" s="521" t="n">
        <v>0</v>
      </c>
      <c r="W11" s="521" t="n">
        <v>15.2</v>
      </c>
      <c r="X11" s="521" t="n">
        <v>1.9</v>
      </c>
      <c r="Y11" s="521" t="inlineStr">
        <is>
          <t>Ngô Chí Dũng</t>
        </is>
      </c>
      <c r="Z11" s="521" t="n">
        <v>68</v>
      </c>
      <c r="AA11" s="521" t="inlineStr">
        <is>
          <t>🟡 TB</t>
        </is>
      </c>
      <c r="AB11" s="521" t="inlineStr">
        <is>
          <t>Nợ xấu tiêu dùng</t>
        </is>
      </c>
      <c r="AC11" s="522" t="inlineStr">
        <is>
          <t>HOSE</t>
        </is>
      </c>
      <c r="AD11" s="1024">
        <f>IF(A11='🎯 SÓI v42 — TRA CỨU &amp; DEEP DIV'!$C$4,"⭐ ĐANG XEM","")</f>
        <v/>
      </c>
    </row>
    <row r="12" ht="13.5" customHeight="1" s="981">
      <c r="A12" s="437" t="inlineStr">
        <is>
          <t>HDB</t>
        </is>
      </c>
      <c r="B12" s="435" t="inlineStr">
        <is>
          <t>HDBank</t>
        </is>
      </c>
      <c r="C12" s="435" t="inlineStr">
        <is>
          <t>Ngân hàng</t>
        </is>
      </c>
      <c r="D12" s="523" t="n">
        <v>25850</v>
      </c>
      <c r="E12" s="435" t="n">
        <v>5.7</v>
      </c>
      <c r="F12" s="435" t="n">
        <v>1.5</v>
      </c>
      <c r="G12" s="435" t="n">
        <v>22.1</v>
      </c>
      <c r="H12" s="435" t="n">
        <v>82720</v>
      </c>
      <c r="I12" s="435" t="n">
        <v>4500</v>
      </c>
      <c r="J12" s="435" t="n">
        <v>8.699999999999999</v>
      </c>
      <c r="K12" s="524" t="inlineStr">
        <is>
          <t>MUA</t>
        </is>
      </c>
      <c r="L12" s="438" t="inlineStr">
        <is>
          <t>NH bán lẻ tốt</t>
        </is>
      </c>
      <c r="M12" s="521" t="n">
        <v>28000</v>
      </c>
      <c r="N12" s="521" t="n">
        <v>265000</v>
      </c>
      <c r="O12" s="521" t="n">
        <v>9000</v>
      </c>
      <c r="P12" s="521" t="n">
        <v>32000</v>
      </c>
      <c r="Q12" s="521" t="n">
        <v>5500</v>
      </c>
      <c r="R12" s="521" t="n">
        <v>17.2</v>
      </c>
      <c r="S12" s="521" t="n">
        <v>14</v>
      </c>
      <c r="T12" s="521" t="n">
        <v>9.5</v>
      </c>
      <c r="U12" s="521" t="n">
        <v>1.8</v>
      </c>
      <c r="V12" s="521" t="n">
        <v>540</v>
      </c>
      <c r="W12" s="521" t="n">
        <v>18.5</v>
      </c>
      <c r="X12" s="521" t="n">
        <v>2.1</v>
      </c>
      <c r="Y12" s="521" t="inlineStr">
        <is>
          <t>Kim Byoungho</t>
        </is>
      </c>
      <c r="Z12" s="521" t="n">
        <v>65</v>
      </c>
      <c r="AA12" s="521" t="inlineStr">
        <is>
          <t>🟡 TB</t>
        </is>
      </c>
      <c r="AB12" s="521" t="n"/>
      <c r="AC12" s="522" t="inlineStr">
        <is>
          <t>HOSE</t>
        </is>
      </c>
      <c r="AD12" s="1024">
        <f>IF(A12='🎯 SÓI v42 — TRA CỨU &amp; DEEP DIV'!$C$4,"⭐ ĐANG XEM","")</f>
        <v/>
      </c>
    </row>
    <row r="13" ht="13.5" customHeight="1" s="981">
      <c r="A13" s="433" t="inlineStr">
        <is>
          <t>STB</t>
        </is>
      </c>
      <c r="B13" s="431" t="inlineStr">
        <is>
          <t>Sacombank</t>
        </is>
      </c>
      <c r="C13" s="431" t="inlineStr">
        <is>
          <t>Ngân hàng</t>
        </is>
      </c>
      <c r="D13" s="520" t="n">
        <v>68000</v>
      </c>
      <c r="E13" s="431" t="n">
        <v>7.8</v>
      </c>
      <c r="F13" s="431" t="n">
        <v>1.2</v>
      </c>
      <c r="G13" s="431" t="n">
        <v>16.2</v>
      </c>
      <c r="H13" s="431" t="n">
        <v>374000</v>
      </c>
      <c r="I13" s="431" t="n">
        <v>8700</v>
      </c>
      <c r="J13" s="431" t="n">
        <v>-4.1</v>
      </c>
      <c r="K13" s="433" t="inlineStr">
        <is>
          <t>GIỮ</t>
        </is>
      </c>
      <c r="L13" s="1104" t="inlineStr">
        <is>
          <t>Cải tổ sau khủng hoảng</t>
        </is>
      </c>
      <c r="M13" s="521" t="n">
        <v>24000</v>
      </c>
      <c r="N13" s="521" t="n">
        <v>420000</v>
      </c>
      <c r="O13" s="521" t="n">
        <v>7500</v>
      </c>
      <c r="P13" s="521" t="n">
        <v>28000</v>
      </c>
      <c r="Q13" s="521" t="n">
        <v>4200</v>
      </c>
      <c r="R13" s="521" t="n">
        <v>15</v>
      </c>
      <c r="S13" s="521" t="n">
        <v>9.5</v>
      </c>
      <c r="T13" s="521" t="n">
        <v>17.5</v>
      </c>
      <c r="U13" s="521" t="n">
        <v>1.5</v>
      </c>
      <c r="V13" s="521" t="n">
        <v>300</v>
      </c>
      <c r="W13" s="521" t="n">
        <v>10.2</v>
      </c>
      <c r="X13" s="521" t="n">
        <v>1.5</v>
      </c>
      <c r="Y13" s="521" t="inlineStr">
        <is>
          <t>Dương Công Minh</t>
        </is>
      </c>
      <c r="Z13" s="521" t="n">
        <v>58</v>
      </c>
      <c r="AA13" s="521" t="inlineStr">
        <is>
          <t>🟡 TB</t>
        </is>
      </c>
      <c r="AB13" s="521" t="inlineStr">
        <is>
          <t>Đang tái cơ cấu</t>
        </is>
      </c>
      <c r="AC13" s="522" t="inlineStr">
        <is>
          <t>HOSE</t>
        </is>
      </c>
      <c r="AD13" s="1024">
        <f>IF(A13='🎯 SÓI v42 — TRA CỨU &amp; DEEP DIV'!$C$4,"⭐ ĐANG XEM","")</f>
        <v/>
      </c>
    </row>
    <row r="14" ht="13.5" customHeight="1" s="981">
      <c r="A14" s="437" t="inlineStr">
        <is>
          <t>VIB</t>
        </is>
      </c>
      <c r="B14" s="435" t="inlineStr">
        <is>
          <t>VIB Bank</t>
        </is>
      </c>
      <c r="C14" s="435" t="inlineStr">
        <is>
          <t>Ngân hàng</t>
        </is>
      </c>
      <c r="D14" s="523" t="n">
        <v>16300</v>
      </c>
      <c r="E14" s="435" t="n">
        <v>5.3</v>
      </c>
      <c r="F14" s="435" t="n">
        <v>1.4</v>
      </c>
      <c r="G14" s="435" t="n">
        <v>21.8</v>
      </c>
      <c r="H14" s="435" t="n">
        <v>48900</v>
      </c>
      <c r="I14" s="435" t="n">
        <v>3100</v>
      </c>
      <c r="J14" s="435" t="n">
        <v>5.6</v>
      </c>
      <c r="K14" s="524" t="inlineStr">
        <is>
          <t>MUA</t>
        </is>
      </c>
      <c r="L14" s="438" t="inlineStr">
        <is>
          <t>Tăng trưởng ổn</t>
        </is>
      </c>
      <c r="M14" s="521" t="n">
        <v>22000</v>
      </c>
      <c r="N14" s="521" t="n">
        <v>210000</v>
      </c>
      <c r="O14" s="521" t="n">
        <v>7000</v>
      </c>
      <c r="P14" s="521" t="n">
        <v>26000</v>
      </c>
      <c r="Q14" s="521" t="n">
        <v>4500</v>
      </c>
      <c r="R14" s="521" t="n">
        <v>17.3</v>
      </c>
      <c r="S14" s="521" t="n">
        <v>14.5</v>
      </c>
      <c r="T14" s="521" t="n">
        <v>9.5</v>
      </c>
      <c r="U14" s="521" t="n">
        <v>2</v>
      </c>
      <c r="V14" s="521" t="n">
        <v>600</v>
      </c>
      <c r="W14" s="521" t="n">
        <v>16.8</v>
      </c>
      <c r="X14" s="521" t="n">
        <v>2</v>
      </c>
      <c r="Y14" s="521" t="inlineStr">
        <is>
          <t>Đặng Khắc Vỹ</t>
        </is>
      </c>
      <c r="Z14" s="521" t="n">
        <v>70</v>
      </c>
      <c r="AA14" s="521" t="inlineStr">
        <is>
          <t>🟡 TB</t>
        </is>
      </c>
      <c r="AB14" s="521" t="n"/>
      <c r="AC14" s="522" t="inlineStr">
        <is>
          <t>HOSE</t>
        </is>
      </c>
      <c r="AD14" s="1024">
        <f>IF(A14='🎯 SÓI v42 — TRA CỨU &amp; DEEP DIV'!$C$4,"⭐ ĐANG XEM","")</f>
        <v/>
      </c>
    </row>
    <row r="15" ht="13.5" customHeight="1" s="981">
      <c r="A15" s="433" t="inlineStr">
        <is>
          <t>TPB</t>
        </is>
      </c>
      <c r="B15" s="431" t="inlineStr">
        <is>
          <t>TPBank</t>
        </is>
      </c>
      <c r="C15" s="431" t="inlineStr">
        <is>
          <t>Ngân hàng</t>
        </is>
      </c>
      <c r="D15" s="520" t="n">
        <v>15900</v>
      </c>
      <c r="E15" s="431" t="n">
        <v>6.4</v>
      </c>
      <c r="F15" s="431" t="n">
        <v>1.3</v>
      </c>
      <c r="G15" s="431" t="n">
        <v>16.7</v>
      </c>
      <c r="H15" s="431" t="n">
        <v>55650</v>
      </c>
      <c r="I15" s="431" t="n">
        <v>2500</v>
      </c>
      <c r="J15" s="431" t="n">
        <v>-8.199999999999999</v>
      </c>
      <c r="K15" s="433" t="inlineStr">
        <is>
          <t>GIỮ</t>
        </is>
      </c>
      <c r="L15" s="1104" t="inlineStr">
        <is>
          <t>Bị áp lực TPDN</t>
        </is>
      </c>
      <c r="M15" s="521" t="n">
        <v>18000</v>
      </c>
      <c r="N15" s="521" t="n">
        <v>195000</v>
      </c>
      <c r="O15" s="521" t="n">
        <v>5800</v>
      </c>
      <c r="P15" s="521" t="n">
        <v>22000</v>
      </c>
      <c r="Q15" s="521" t="n">
        <v>3800</v>
      </c>
      <c r="R15" s="521" t="n">
        <v>17.3</v>
      </c>
      <c r="S15" s="521" t="n">
        <v>13</v>
      </c>
      <c r="T15" s="521" t="n">
        <v>10.8</v>
      </c>
      <c r="U15" s="521" t="n">
        <v>2</v>
      </c>
      <c r="V15" s="521" t="n">
        <v>500</v>
      </c>
      <c r="W15" s="521" t="n">
        <v>14.5</v>
      </c>
      <c r="X15" s="521" t="n">
        <v>1.8</v>
      </c>
      <c r="Y15" s="521" t="inlineStr">
        <is>
          <t>Đỗ Minh Phú</t>
        </is>
      </c>
      <c r="Z15" s="521" t="n">
        <v>67</v>
      </c>
      <c r="AA15" s="521" t="inlineStr">
        <is>
          <t>🟡 TB</t>
        </is>
      </c>
      <c r="AB15" s="521" t="n"/>
      <c r="AC15" s="522" t="inlineStr">
        <is>
          <t>HOSE</t>
        </is>
      </c>
      <c r="AD15" s="1024">
        <f>IF(A15='🎯 SÓI v42 — TRA CỨU &amp; DEEP DIV'!$C$4,"⭐ ĐANG XEM","")</f>
        <v/>
      </c>
    </row>
    <row r="16" ht="13.5" customHeight="1" s="981">
      <c r="A16" s="437" t="inlineStr">
        <is>
          <t>SHB</t>
        </is>
      </c>
      <c r="B16" s="435" t="inlineStr">
        <is>
          <t>SHB</t>
        </is>
      </c>
      <c r="C16" s="435" t="inlineStr">
        <is>
          <t>Ngân hàng</t>
        </is>
      </c>
      <c r="D16" s="523" t="n">
        <v>13800</v>
      </c>
      <c r="E16" s="435" t="n">
        <v>5.2</v>
      </c>
      <c r="F16" s="435" t="n">
        <v>0.95</v>
      </c>
      <c r="G16" s="435" t="n">
        <v>17.4</v>
      </c>
      <c r="H16" s="435" t="n">
        <v>55200</v>
      </c>
      <c r="I16" s="435" t="n">
        <v>2654</v>
      </c>
      <c r="J16" s="435" t="n">
        <v>-2.5</v>
      </c>
      <c r="K16" s="437" t="inlineStr">
        <is>
          <t>GIỮ</t>
        </is>
      </c>
      <c r="L16" s="438" t="inlineStr">
        <is>
          <t>NH cải tổ</t>
        </is>
      </c>
      <c r="M16" s="521" t="n">
        <v>22000</v>
      </c>
      <c r="N16" s="521" t="n">
        <v>380000</v>
      </c>
      <c r="O16" s="521" t="n">
        <v>8000</v>
      </c>
      <c r="P16" s="521" t="n">
        <v>25000</v>
      </c>
      <c r="Q16" s="521" t="n">
        <v>4000</v>
      </c>
      <c r="R16" s="521" t="n">
        <v>16</v>
      </c>
      <c r="S16" s="521" t="n">
        <v>10</v>
      </c>
      <c r="T16" s="521" t="n">
        <v>17.3</v>
      </c>
      <c r="U16" s="521" t="n">
        <v>1.5</v>
      </c>
      <c r="V16" s="521" t="n">
        <v>300</v>
      </c>
      <c r="W16" s="521" t="n">
        <v>14.2</v>
      </c>
      <c r="X16" s="521" t="n">
        <v>1.4</v>
      </c>
      <c r="Y16" s="521" t="inlineStr">
        <is>
          <t>Đỗ Quang Hiển</t>
        </is>
      </c>
      <c r="Z16" s="521" t="n">
        <v>60</v>
      </c>
      <c r="AA16" s="521" t="inlineStr">
        <is>
          <t>🟡 TB</t>
        </is>
      </c>
      <c r="AB16" s="521" t="inlineStr">
        <is>
          <t>Nợ xấu cao</t>
        </is>
      </c>
      <c r="AC16" s="522" t="inlineStr">
        <is>
          <t>HOSE</t>
        </is>
      </c>
      <c r="AD16" s="1024">
        <f>IF(A16='🎯 SÓI v42 — TRA CỨU &amp; DEEP DIV'!$C$4,"⭐ ĐANG XEM","")</f>
        <v/>
      </c>
    </row>
    <row r="17" ht="13.5" customHeight="1" s="981">
      <c r="A17" s="433" t="inlineStr">
        <is>
          <t>EIB</t>
        </is>
      </c>
      <c r="B17" s="431" t="inlineStr">
        <is>
          <t>Eximbank</t>
        </is>
      </c>
      <c r="C17" s="431" t="inlineStr">
        <is>
          <t>Ngân hàng</t>
        </is>
      </c>
      <c r="D17" s="520" t="n">
        <v>21350</v>
      </c>
      <c r="E17" s="431" t="n">
        <v>12.4</v>
      </c>
      <c r="F17" s="431" t="n">
        <v>1.5</v>
      </c>
      <c r="G17" s="431" t="n">
        <v>9.800000000000001</v>
      </c>
      <c r="H17" s="431" t="n">
        <v>55510</v>
      </c>
      <c r="I17" s="431" t="n">
        <v>1722</v>
      </c>
      <c r="J17" s="431" t="n">
        <v>12.8</v>
      </c>
      <c r="K17" s="433" t="inlineStr">
        <is>
          <t>GIỮ</t>
        </is>
      </c>
      <c r="L17" s="1104" t="inlineStr">
        <is>
          <t>Hồi phục tốt</t>
        </is>
      </c>
      <c r="M17" s="521" t="n">
        <v>5000</v>
      </c>
      <c r="N17" s="521" t="n">
        <v>3000</v>
      </c>
      <c r="O17" s="521" t="n">
        <v>1500</v>
      </c>
      <c r="P17" s="521" t="n">
        <v>8000</v>
      </c>
      <c r="Q17" s="521" t="n">
        <v>1000</v>
      </c>
      <c r="R17" s="521" t="n">
        <v>12.5</v>
      </c>
      <c r="S17" s="521" t="n">
        <v>12</v>
      </c>
      <c r="T17" s="521" t="n">
        <v>0.6</v>
      </c>
      <c r="U17" s="521" t="n">
        <v>1.5</v>
      </c>
      <c r="V17" s="521" t="n">
        <v>500</v>
      </c>
      <c r="W17" s="521" t="n">
        <v>12</v>
      </c>
      <c r="X17" s="521" t="n">
        <v>3</v>
      </c>
      <c r="Y17" s="521" t="inlineStr">
        <is>
          <t>Ban lãnh đạo</t>
        </is>
      </c>
      <c r="Z17" s="521" t="n">
        <v>65</v>
      </c>
      <c r="AA17" s="521" t="inlineStr">
        <is>
          <t>🟡 TB</t>
        </is>
      </c>
      <c r="AB17" s="521" t="n"/>
      <c r="AC17" s="522" t="inlineStr">
        <is>
          <t>HOSE</t>
        </is>
      </c>
      <c r="AD17" s="1024">
        <f>IF(A17='🎯 SÓI v42 — TRA CỨU &amp; DEEP DIV'!$C$4,"⭐ ĐANG XEM","")</f>
        <v/>
      </c>
    </row>
    <row r="18" ht="13.5" customHeight="1" s="981">
      <c r="A18" s="437" t="inlineStr">
        <is>
          <t>MSB</t>
        </is>
      </c>
      <c r="B18" s="435" t="inlineStr">
        <is>
          <t>MSB Bank</t>
        </is>
      </c>
      <c r="C18" s="435" t="inlineStr">
        <is>
          <t>Ngân hàng</t>
        </is>
      </c>
      <c r="D18" s="523" t="n">
        <v>15100</v>
      </c>
      <c r="E18" s="435" t="n">
        <v>5.7</v>
      </c>
      <c r="F18" s="435" t="n">
        <v>0.95</v>
      </c>
      <c r="G18" s="435" t="n">
        <v>14.2</v>
      </c>
      <c r="H18" s="435" t="n">
        <v>31710</v>
      </c>
      <c r="I18" s="435" t="n">
        <v>2649</v>
      </c>
      <c r="J18" s="435" t="n">
        <v>-12</v>
      </c>
      <c r="K18" s="437" t="inlineStr">
        <is>
          <t>GIỮ</t>
        </is>
      </c>
      <c r="L18" s="438" t="inlineStr">
        <is>
          <t>Đầu tư giá trị</t>
        </is>
      </c>
      <c r="M18" s="521" t="n">
        <v>16000</v>
      </c>
      <c r="N18" s="521" t="n">
        <v>185000</v>
      </c>
      <c r="O18" s="521" t="n">
        <v>5000</v>
      </c>
      <c r="P18" s="521" t="n">
        <v>19000</v>
      </c>
      <c r="Q18" s="521" t="n">
        <v>3200</v>
      </c>
      <c r="R18" s="521" t="n">
        <v>16.8</v>
      </c>
      <c r="S18" s="521" t="n">
        <v>12</v>
      </c>
      <c r="T18" s="521" t="n">
        <v>11.6</v>
      </c>
      <c r="U18" s="521" t="n">
        <v>1.5</v>
      </c>
      <c r="V18" s="521" t="n">
        <v>300</v>
      </c>
      <c r="W18" s="521" t="n">
        <v>13.5</v>
      </c>
      <c r="X18" s="521" t="n">
        <v>1.6</v>
      </c>
      <c r="Y18" s="521" t="inlineStr">
        <is>
          <t>Huỳnh Bích Ngọc</t>
        </is>
      </c>
      <c r="Z18" s="521" t="n">
        <v>64</v>
      </c>
      <c r="AA18" s="521" t="inlineStr">
        <is>
          <t>🟡 TB</t>
        </is>
      </c>
      <c r="AB18" s="521" t="n"/>
      <c r="AC18" s="522" t="inlineStr">
        <is>
          <t>HOSE</t>
        </is>
      </c>
      <c r="AD18" s="1024">
        <f>IF(A18='🎯 SÓI v42 — TRA CỨU &amp; DEEP DIV'!$C$4,"⭐ ĐANG XEM","")</f>
        <v/>
      </c>
    </row>
    <row r="19" ht="13.5" customHeight="1" s="981">
      <c r="A19" s="433" t="inlineStr">
        <is>
          <t>OCB</t>
        </is>
      </c>
      <c r="B19" s="431" t="inlineStr">
        <is>
          <t>OCB Bank</t>
        </is>
      </c>
      <c r="C19" s="431" t="inlineStr">
        <is>
          <t>Ngân hàng</t>
        </is>
      </c>
      <c r="D19" s="520" t="n">
        <v>11750</v>
      </c>
      <c r="E19" s="431" t="n">
        <v>7.5</v>
      </c>
      <c r="F19" s="431" t="n">
        <v>1</v>
      </c>
      <c r="G19" s="431" t="n">
        <v>12.8</v>
      </c>
      <c r="H19" s="431" t="n">
        <v>21150</v>
      </c>
      <c r="I19" s="431" t="n">
        <v>1567</v>
      </c>
      <c r="J19" s="431" t="n">
        <v>-5</v>
      </c>
      <c r="K19" s="433" t="inlineStr">
        <is>
          <t>GIỮ</t>
        </is>
      </c>
      <c r="L19" s="1104" t="n"/>
      <c r="M19" s="521" t="n">
        <v>14000</v>
      </c>
      <c r="N19" s="521" t="n">
        <v>175000</v>
      </c>
      <c r="O19" s="521" t="n">
        <v>4500</v>
      </c>
      <c r="P19" s="521" t="n">
        <v>18000</v>
      </c>
      <c r="Q19" s="521" t="n">
        <v>2800</v>
      </c>
      <c r="R19" s="521" t="n">
        <v>15.6</v>
      </c>
      <c r="S19" s="521" t="n">
        <v>11</v>
      </c>
      <c r="T19" s="521" t="n">
        <v>12.5</v>
      </c>
      <c r="U19" s="521" t="n">
        <v>1.5</v>
      </c>
      <c r="V19" s="521" t="n">
        <v>350</v>
      </c>
      <c r="W19" s="521" t="n">
        <v>12.8</v>
      </c>
      <c r="X19" s="521" t="n">
        <v>1.5</v>
      </c>
      <c r="Y19" s="521" t="inlineStr">
        <is>
          <t>Trịnh Văn Tuấn</t>
        </is>
      </c>
      <c r="Z19" s="521" t="n">
        <v>62</v>
      </c>
      <c r="AA19" s="521" t="inlineStr">
        <is>
          <t>🟡 TB</t>
        </is>
      </c>
      <c r="AB19" s="521" t="n"/>
      <c r="AC19" s="522" t="inlineStr">
        <is>
          <t>HOSE</t>
        </is>
      </c>
      <c r="AD19" s="1024">
        <f>IF(A19='🎯 SÓI v42 — TRA CỨU &amp; DEEP DIV'!$C$4,"⭐ ĐANG XEM","")</f>
        <v/>
      </c>
    </row>
    <row r="20" ht="13.5" customHeight="1" s="981">
      <c r="A20" s="437" t="inlineStr">
        <is>
          <t>LPB</t>
        </is>
      </c>
      <c r="B20" s="435" t="inlineStr">
        <is>
          <t>LienVietPostBank</t>
        </is>
      </c>
      <c r="C20" s="435" t="inlineStr">
        <is>
          <t>Ngân hàng</t>
        </is>
      </c>
      <c r="D20" s="523" t="n">
        <v>53000</v>
      </c>
      <c r="E20" s="435" t="n">
        <v>6.8</v>
      </c>
      <c r="F20" s="435" t="n">
        <v>1.5</v>
      </c>
      <c r="G20" s="435" t="n">
        <v>21.3</v>
      </c>
      <c r="H20" s="435" t="n">
        <v>132500</v>
      </c>
      <c r="I20" s="435" t="n">
        <v>7794</v>
      </c>
      <c r="J20" s="435" t="n">
        <v>6.2</v>
      </c>
      <c r="K20" s="437" t="inlineStr">
        <is>
          <t>GIỮ</t>
        </is>
      </c>
      <c r="L20" s="438" t="inlineStr">
        <is>
          <t>NH bán lẻ</t>
        </is>
      </c>
      <c r="M20" s="521" t="n">
        <v>5000</v>
      </c>
      <c r="N20" s="521" t="n">
        <v>3000</v>
      </c>
      <c r="O20" s="521" t="n">
        <v>1500</v>
      </c>
      <c r="P20" s="521" t="n">
        <v>8000</v>
      </c>
      <c r="Q20" s="521" t="n">
        <v>1000</v>
      </c>
      <c r="R20" s="521" t="n">
        <v>12.5</v>
      </c>
      <c r="S20" s="521" t="n">
        <v>12</v>
      </c>
      <c r="T20" s="521" t="n">
        <v>0.6</v>
      </c>
      <c r="U20" s="521" t="n">
        <v>1.5</v>
      </c>
      <c r="V20" s="521" t="n">
        <v>500</v>
      </c>
      <c r="W20" s="521" t="n">
        <v>12</v>
      </c>
      <c r="X20" s="521" t="n">
        <v>3</v>
      </c>
      <c r="Y20" s="521" t="inlineStr">
        <is>
          <t>Ban lãnh đạo</t>
        </is>
      </c>
      <c r="Z20" s="521" t="n">
        <v>65</v>
      </c>
      <c r="AA20" s="521" t="inlineStr">
        <is>
          <t>🟡 TB</t>
        </is>
      </c>
      <c r="AB20" s="521" t="n"/>
      <c r="AC20" s="522" t="inlineStr">
        <is>
          <t>HOSE</t>
        </is>
      </c>
      <c r="AD20" s="1024">
        <f>IF(A20='🎯 SÓI v42 — TRA CỨU &amp; DEEP DIV'!$C$4,"⭐ ĐANG XEM","")</f>
        <v/>
      </c>
    </row>
    <row r="21" ht="13.5" customHeight="1" s="981">
      <c r="A21" s="433" t="inlineStr">
        <is>
          <t>VIC</t>
        </is>
      </c>
      <c r="B21" s="431" t="inlineStr">
        <is>
          <t>Vingroup</t>
        </is>
      </c>
      <c r="C21" s="431" t="inlineStr">
        <is>
          <t>Bất động sản</t>
        </is>
      </c>
      <c r="D21" s="520" t="n">
        <v>210800</v>
      </c>
      <c r="E21" s="431" t="n">
        <v>28.4</v>
      </c>
      <c r="F21" s="431" t="n">
        <v>1.2</v>
      </c>
      <c r="G21" s="431" t="n">
        <v>4.2</v>
      </c>
      <c r="H21" s="431" t="n">
        <v>801</v>
      </c>
      <c r="I21" s="431" t="n">
        <v>7423</v>
      </c>
      <c r="J21" s="431" t="n">
        <v>-15.3</v>
      </c>
      <c r="K21" s="526" t="inlineStr">
        <is>
          <t>GIẢM</t>
        </is>
      </c>
      <c r="L21" s="1104" t="inlineStr">
        <is>
          <t>BĐS lớn nhất VN, áp lực nợ</t>
        </is>
      </c>
      <c r="M21" s="521" t="n">
        <v>5000</v>
      </c>
      <c r="N21" s="521" t="n">
        <v>3000</v>
      </c>
      <c r="O21" s="521" t="n">
        <v>1500</v>
      </c>
      <c r="P21" s="521" t="n">
        <v>8000</v>
      </c>
      <c r="Q21" s="521" t="n">
        <v>1000</v>
      </c>
      <c r="R21" s="521" t="n">
        <v>12.5</v>
      </c>
      <c r="S21" s="521" t="n">
        <v>12</v>
      </c>
      <c r="T21" s="521" t="n">
        <v>0.6</v>
      </c>
      <c r="U21" s="521" t="n">
        <v>1.5</v>
      </c>
      <c r="V21" s="521" t="n">
        <v>500</v>
      </c>
      <c r="W21" s="521" t="n">
        <v>12</v>
      </c>
      <c r="X21" s="521" t="n">
        <v>3</v>
      </c>
      <c r="Y21" s="521" t="inlineStr">
        <is>
          <t>Ban lãnh đạo</t>
        </is>
      </c>
      <c r="Z21" s="521" t="n">
        <v>65</v>
      </c>
      <c r="AA21" s="521" t="inlineStr">
        <is>
          <t>🟡 TB</t>
        </is>
      </c>
      <c r="AB21" s="521" t="n"/>
      <c r="AC21" s="522" t="inlineStr">
        <is>
          <t>HOSE</t>
        </is>
      </c>
      <c r="AD21" s="1024">
        <f>IF(A21='🎯 SÓI v42 — TRA CỨU &amp; DEEP DIV'!$C$4,"⭐ ĐANG XEM","")</f>
        <v/>
      </c>
    </row>
    <row r="22" ht="13.5" customHeight="1" s="981">
      <c r="A22" s="437" t="inlineStr">
        <is>
          <t>VHM</t>
        </is>
      </c>
      <c r="B22" s="435" t="inlineStr">
        <is>
          <t>Vinhomes</t>
        </is>
      </c>
      <c r="C22" s="435" t="inlineStr">
        <is>
          <t>Bất động sản</t>
        </is>
      </c>
      <c r="D22" s="523" t="n">
        <v>157700</v>
      </c>
      <c r="E22" s="435" t="n">
        <v>12.3</v>
      </c>
      <c r="F22" s="435" t="n">
        <v>0.95</v>
      </c>
      <c r="G22" s="435" t="n">
        <v>7.8</v>
      </c>
      <c r="H22" s="435" t="n">
        <v>693880</v>
      </c>
      <c r="I22" s="435" t="n">
        <v>12821</v>
      </c>
      <c r="J22" s="435" t="n">
        <v>-22.4</v>
      </c>
      <c r="K22" s="437" t="inlineStr">
        <is>
          <t>GIỮ</t>
        </is>
      </c>
      <c r="L22" s="438" t="inlineStr">
        <is>
          <t>Mảng nhà ở Vingroup</t>
        </is>
      </c>
      <c r="M22" s="521" t="n">
        <v>45000</v>
      </c>
      <c r="N22" s="521" t="n">
        <v>85000</v>
      </c>
      <c r="O22" s="521" t="n">
        <v>28000</v>
      </c>
      <c r="P22" s="521" t="n">
        <v>95000</v>
      </c>
      <c r="Q22" s="521" t="n">
        <v>18000</v>
      </c>
      <c r="R22" s="521" t="n">
        <v>18.9</v>
      </c>
      <c r="S22" s="521" t="n">
        <v>22</v>
      </c>
      <c r="T22" s="521" t="n">
        <v>1.9</v>
      </c>
      <c r="U22" s="521" t="n">
        <v>1</v>
      </c>
      <c r="V22" s="521" t="n">
        <v>2000</v>
      </c>
      <c r="W22" s="521" t="n">
        <v>18.5</v>
      </c>
      <c r="X22" s="521" t="n">
        <v>5.8</v>
      </c>
      <c r="Y22" s="521" t="inlineStr">
        <is>
          <t>Phạm Nhật Vượng</t>
        </is>
      </c>
      <c r="Z22" s="521" t="n">
        <v>70</v>
      </c>
      <c r="AA22" s="521" t="inlineStr">
        <is>
          <t>🟡 TB</t>
        </is>
      </c>
      <c r="AB22" s="521" t="inlineStr">
        <is>
          <t>BĐS rủi ro vĩ mô</t>
        </is>
      </c>
      <c r="AC22" s="522" t="inlineStr">
        <is>
          <t>HOSE</t>
        </is>
      </c>
      <c r="AD22" s="1024">
        <f>IF(A22='🎯 SÓI v42 — TRA CỨU &amp; DEEP DIV'!$C$4,"⭐ ĐANG XEM","")</f>
        <v/>
      </c>
    </row>
    <row r="23" ht="13.5" customHeight="1" s="981">
      <c r="A23" s="433" t="inlineStr">
        <is>
          <t>VRE</t>
        </is>
      </c>
      <c r="B23" s="431" t="inlineStr">
        <is>
          <t>Vincom Retail</t>
        </is>
      </c>
      <c r="C23" s="431" t="inlineStr">
        <is>
          <t>Bất động sản</t>
        </is>
      </c>
      <c r="D23" s="520" t="n">
        <v>32250</v>
      </c>
      <c r="E23" s="431" t="n">
        <v>23</v>
      </c>
      <c r="F23" s="431" t="n">
        <v>1.3</v>
      </c>
      <c r="G23" s="431" t="n">
        <v>8.5</v>
      </c>
      <c r="H23" s="431" t="n">
        <v>74175</v>
      </c>
      <c r="I23" s="431" t="n">
        <v>1400</v>
      </c>
      <c r="J23" s="431" t="n">
        <v>-18.5</v>
      </c>
      <c r="K23" s="433" t="inlineStr">
        <is>
          <t>GIỮ</t>
        </is>
      </c>
      <c r="L23" s="1104" t="inlineStr">
        <is>
          <t>TTTM Vincom</t>
        </is>
      </c>
      <c r="M23" s="521" t="n">
        <v>18000</v>
      </c>
      <c r="N23" s="521" t="n">
        <v>12000</v>
      </c>
      <c r="O23" s="521" t="n">
        <v>4500</v>
      </c>
      <c r="P23" s="521" t="n">
        <v>8500</v>
      </c>
      <c r="Q23" s="521" t="n">
        <v>2800</v>
      </c>
      <c r="R23" s="521" t="n">
        <v>32.9</v>
      </c>
      <c r="S23" s="521" t="n">
        <v>18</v>
      </c>
      <c r="T23" s="521" t="n">
        <v>0.7</v>
      </c>
      <c r="U23" s="521" t="n">
        <v>2.5</v>
      </c>
      <c r="V23" s="521" t="n">
        <v>500</v>
      </c>
      <c r="W23" s="521" t="n">
        <v>25.5</v>
      </c>
      <c r="X23" s="521" t="n">
        <v>2.5</v>
      </c>
      <c r="Y23" s="521" t="inlineStr">
        <is>
          <t>Nguyễn Việt Quang</t>
        </is>
      </c>
      <c r="Z23" s="521" t="n">
        <v>75</v>
      </c>
      <c r="AA23" s="521" t="inlineStr">
        <is>
          <t>🟢 Tốt</t>
        </is>
      </c>
      <c r="AB23" s="521" t="n"/>
      <c r="AC23" s="522" t="inlineStr">
        <is>
          <t>HOSE</t>
        </is>
      </c>
      <c r="AD23" s="1024">
        <f>IF(A23='🎯 SÓI v42 — TRA CỨU &amp; DEEP DIV'!$C$4,"⭐ ĐANG XEM","")</f>
        <v/>
      </c>
    </row>
    <row r="24" ht="13.5" customHeight="1" s="981">
      <c r="A24" s="437" t="inlineStr">
        <is>
          <t>NVL</t>
        </is>
      </c>
      <c r="B24" s="435" t="inlineStr">
        <is>
          <t>Novaland</t>
        </is>
      </c>
      <c r="C24" s="435" t="inlineStr">
        <is>
          <t>Bất động sản</t>
        </is>
      </c>
      <c r="D24" s="523" t="n">
        <v>15050</v>
      </c>
      <c r="E24" s="435">
        <f>IFERROR(INDEX('📡 LIVE PRICE FEED'!$H$4:$H$300,MATCH(A24,'📡 LIVE PRICE FEED'!$A$4:$A$300,0)),0)</f>
        <v/>
      </c>
      <c r="F24" s="435" t="n">
        <v>0.5</v>
      </c>
      <c r="G24" s="435" t="n"/>
      <c r="H24" s="435" t="n">
        <v>30100</v>
      </c>
      <c r="I24" s="435" t="n"/>
      <c r="J24" s="435" t="n">
        <v>-65.2</v>
      </c>
      <c r="K24" s="527" t="inlineStr">
        <is>
          <t>TRÁNH</t>
        </is>
      </c>
      <c r="L24" s="438" t="inlineStr">
        <is>
          <t>Phá sản kỹ thuật</t>
        </is>
      </c>
      <c r="M24" s="521" t="n">
        <v>28000</v>
      </c>
      <c r="N24" s="521" t="n">
        <v>65000</v>
      </c>
      <c r="O24" s="521" t="n">
        <v>8000</v>
      </c>
      <c r="P24" s="521" t="n">
        <v>25000</v>
      </c>
      <c r="Q24" s="521" t="n">
        <v>2500</v>
      </c>
      <c r="R24" s="521" t="n">
        <v>10</v>
      </c>
      <c r="S24" s="521" t="n">
        <v>5</v>
      </c>
      <c r="T24" s="521" t="n">
        <v>2.3</v>
      </c>
      <c r="U24" s="521" t="n">
        <v>0</v>
      </c>
      <c r="V24" s="521" t="n">
        <v>0</v>
      </c>
      <c r="W24" s="521" t="n">
        <v>12.5</v>
      </c>
      <c r="X24" s="521" t="n">
        <v>12.5</v>
      </c>
      <c r="Y24" s="521" t="inlineStr">
        <is>
          <t>Nguyễn Bá Sáng</t>
        </is>
      </c>
      <c r="Z24" s="521" t="n">
        <v>48</v>
      </c>
      <c r="AA24" s="521" t="inlineStr">
        <is>
          <t>🔴 Thấp</t>
        </is>
      </c>
      <c r="AB24" s="521" t="inlineStr">
        <is>
          <t>⚠ Nợ cao + pháp lý</t>
        </is>
      </c>
      <c r="AC24" s="522" t="inlineStr">
        <is>
          <t>HOSE</t>
        </is>
      </c>
      <c r="AD24" s="1024">
        <f>IF(A24='🎯 SÓI v42 — TRA CỨU &amp; DEEP DIV'!$C$4,"⭐ ĐANG XEM","")</f>
        <v/>
      </c>
    </row>
    <row r="25" ht="13.5" customHeight="1" s="981">
      <c r="A25" s="433" t="inlineStr">
        <is>
          <t>PDR</t>
        </is>
      </c>
      <c r="B25" s="431" t="inlineStr">
        <is>
          <t>Phát Đạt</t>
        </is>
      </c>
      <c r="C25" s="431" t="inlineStr">
        <is>
          <t>Bất động sản</t>
        </is>
      </c>
      <c r="D25" s="520" t="n">
        <v>16500</v>
      </c>
      <c r="E25" s="431" t="n">
        <v>22.5</v>
      </c>
      <c r="F25" s="431" t="n">
        <v>1.5</v>
      </c>
      <c r="G25" s="431" t="n">
        <v>6.7</v>
      </c>
      <c r="H25" s="431" t="n">
        <v>14520</v>
      </c>
      <c r="I25" s="431" t="n">
        <v>733</v>
      </c>
      <c r="J25" s="431" t="n">
        <v>-25.5</v>
      </c>
      <c r="K25" s="433" t="inlineStr">
        <is>
          <t>GIỮ</t>
        </is>
      </c>
      <c r="L25" s="1104" t="inlineStr">
        <is>
          <t>BĐS nghỉ dưỡng</t>
        </is>
      </c>
      <c r="M25" s="521" t="n">
        <v>6500</v>
      </c>
      <c r="N25" s="521" t="n">
        <v>22000</v>
      </c>
      <c r="O25" s="521" t="n">
        <v>2200</v>
      </c>
      <c r="P25" s="521" t="n">
        <v>8000</v>
      </c>
      <c r="Q25" s="521" t="n">
        <v>900</v>
      </c>
      <c r="R25" s="521" t="n">
        <v>11.3</v>
      </c>
      <c r="S25" s="521" t="n">
        <v>8</v>
      </c>
      <c r="T25" s="521" t="n">
        <v>3.4</v>
      </c>
      <c r="U25" s="521" t="n">
        <v>0</v>
      </c>
      <c r="V25" s="521" t="n">
        <v>0</v>
      </c>
      <c r="W25" s="521" t="n">
        <v>8.5</v>
      </c>
      <c r="X25" s="521" t="n">
        <v>22.5</v>
      </c>
      <c r="Y25" s="521" t="inlineStr">
        <is>
          <t>Nguyễn Văn Đạt</t>
        </is>
      </c>
      <c r="Z25" s="521" t="n">
        <v>42</v>
      </c>
      <c r="AA25" s="521" t="inlineStr">
        <is>
          <t>🔴 Thấp</t>
        </is>
      </c>
      <c r="AB25" s="521" t="inlineStr">
        <is>
          <t>⚠ Nợ cao + pháp lý</t>
        </is>
      </c>
      <c r="AC25" s="522" t="inlineStr">
        <is>
          <t>HOSE</t>
        </is>
      </c>
      <c r="AD25" s="1024">
        <f>IF(A25='🎯 SÓI v42 — TRA CỨU &amp; DEEP DIV'!$C$4,"⭐ ĐANG XEM","")</f>
        <v/>
      </c>
    </row>
    <row r="26" ht="13.5" customHeight="1" s="981">
      <c r="A26" s="437" t="inlineStr">
        <is>
          <t>DXG</t>
        </is>
      </c>
      <c r="B26" s="435" t="inlineStr">
        <is>
          <t>Đất Xanh</t>
        </is>
      </c>
      <c r="C26" s="435" t="inlineStr">
        <is>
          <t>Bất động sản</t>
        </is>
      </c>
      <c r="D26" s="523" t="n">
        <v>13350</v>
      </c>
      <c r="E26" s="435" t="n">
        <v>24.7</v>
      </c>
      <c r="F26" s="435" t="n">
        <v>1.1</v>
      </c>
      <c r="G26" s="435" t="n">
        <v>4.5</v>
      </c>
      <c r="H26" s="435" t="n">
        <v>8544</v>
      </c>
      <c r="I26" s="435" t="n">
        <v>540</v>
      </c>
      <c r="J26" s="435" t="n">
        <v>5.5</v>
      </c>
      <c r="K26" s="524" t="inlineStr">
        <is>
          <t>MUA</t>
        </is>
      </c>
      <c r="L26" s="438" t="inlineStr">
        <is>
          <t>Phục hồi tốt</t>
        </is>
      </c>
      <c r="M26" s="521" t="n">
        <v>5500</v>
      </c>
      <c r="N26" s="521" t="n">
        <v>15000</v>
      </c>
      <c r="O26" s="521" t="n">
        <v>1800</v>
      </c>
      <c r="P26" s="521" t="n">
        <v>6500</v>
      </c>
      <c r="Q26" s="521" t="n">
        <v>800</v>
      </c>
      <c r="R26" s="521" t="n">
        <v>12.3</v>
      </c>
      <c r="S26" s="521" t="n">
        <v>7</v>
      </c>
      <c r="T26" s="521" t="n">
        <v>2.7</v>
      </c>
      <c r="U26" s="521" t="n">
        <v>0</v>
      </c>
      <c r="V26" s="521" t="n">
        <v>0</v>
      </c>
      <c r="W26" s="521" t="n">
        <v>12.5</v>
      </c>
      <c r="X26" s="521" t="n">
        <v>15.5</v>
      </c>
      <c r="Y26" s="521" t="inlineStr">
        <is>
          <t>Lương Trí Thìn</t>
        </is>
      </c>
      <c r="Z26" s="521" t="n">
        <v>50</v>
      </c>
      <c r="AA26" s="521" t="inlineStr">
        <is>
          <t>🟡 TB</t>
        </is>
      </c>
      <c r="AB26" s="521" t="n"/>
      <c r="AC26" s="522" t="inlineStr">
        <is>
          <t>HOSE</t>
        </is>
      </c>
      <c r="AD26" s="1024">
        <f>IF(A26='🎯 SÓI v42 — TRA CỨU &amp; DEEP DIV'!$C$4,"⭐ ĐANG XEM","")</f>
        <v/>
      </c>
    </row>
    <row r="27" ht="13.5" customHeight="1" s="981">
      <c r="A27" s="433" t="inlineStr">
        <is>
          <t>KDH</t>
        </is>
      </c>
      <c r="B27" s="431" t="inlineStr">
        <is>
          <t>Khang Điền</t>
        </is>
      </c>
      <c r="C27" s="431" t="inlineStr">
        <is>
          <t>Bất động sản</t>
        </is>
      </c>
      <c r="D27" s="520" t="n">
        <v>23000</v>
      </c>
      <c r="E27" s="431" t="n">
        <v>17.2</v>
      </c>
      <c r="F27" s="431" t="n">
        <v>1.5</v>
      </c>
      <c r="G27" s="431" t="n">
        <v>8.699999999999999</v>
      </c>
      <c r="H27" s="431" t="n">
        <v>23000</v>
      </c>
      <c r="I27" s="431" t="n">
        <v>1337</v>
      </c>
      <c r="J27" s="431" t="n">
        <v>-8.199999999999999</v>
      </c>
      <c r="K27" s="433" t="inlineStr">
        <is>
          <t>GIỮ</t>
        </is>
      </c>
      <c r="L27" s="1104" t="inlineStr">
        <is>
          <t>Phát triển KCN</t>
        </is>
      </c>
      <c r="M27" s="521" t="n">
        <v>8500</v>
      </c>
      <c r="N27" s="521" t="n">
        <v>8500</v>
      </c>
      <c r="O27" s="521" t="n">
        <v>2800</v>
      </c>
      <c r="P27" s="521" t="n">
        <v>6500</v>
      </c>
      <c r="Q27" s="521" t="n">
        <v>1200</v>
      </c>
      <c r="R27" s="521" t="n">
        <v>18.5</v>
      </c>
      <c r="S27" s="521" t="n">
        <v>15</v>
      </c>
      <c r="T27" s="521" t="n">
        <v>1</v>
      </c>
      <c r="U27" s="521" t="n">
        <v>2</v>
      </c>
      <c r="V27" s="521" t="n">
        <v>800</v>
      </c>
      <c r="W27" s="521" t="n">
        <v>8.5</v>
      </c>
      <c r="X27" s="521" t="n">
        <v>18.5</v>
      </c>
      <c r="Y27" s="521" t="inlineStr">
        <is>
          <t>Đoàn Ngọc Hải</t>
        </is>
      </c>
      <c r="Z27" s="521" t="n">
        <v>72</v>
      </c>
      <c r="AA27" s="521" t="inlineStr">
        <is>
          <t>🟢 Tốt</t>
        </is>
      </c>
      <c r="AB27" s="521" t="n"/>
      <c r="AC27" s="522" t="inlineStr">
        <is>
          <t>HOSE</t>
        </is>
      </c>
      <c r="AD27" s="1024">
        <f>IF(A27='🎯 SÓI v42 — TRA CỨU &amp; DEEP DIV'!$C$4,"⭐ ĐANG XEM","")</f>
        <v/>
      </c>
    </row>
    <row r="28" ht="13.5" customHeight="1" s="981">
      <c r="A28" s="437" t="inlineStr">
        <is>
          <t>NLG</t>
        </is>
      </c>
      <c r="B28" s="435" t="inlineStr">
        <is>
          <t>Nam Long</t>
        </is>
      </c>
      <c r="C28" s="435" t="inlineStr">
        <is>
          <t>Bất động sản</t>
        </is>
      </c>
      <c r="D28" s="523" t="n">
        <v>26550</v>
      </c>
      <c r="E28" s="435" t="n">
        <v>22.5</v>
      </c>
      <c r="F28" s="435" t="n">
        <v>1.4</v>
      </c>
      <c r="G28" s="435" t="n">
        <v>6.2</v>
      </c>
      <c r="H28" s="435" t="n">
        <v>10354</v>
      </c>
      <c r="I28" s="435" t="n">
        <v>1180</v>
      </c>
      <c r="J28" s="435" t="n">
        <v>2.5</v>
      </c>
      <c r="K28" s="524" t="inlineStr">
        <is>
          <t>MUA</t>
        </is>
      </c>
      <c r="L28" s="438" t="inlineStr">
        <is>
          <t>Quản trị tốt</t>
        </is>
      </c>
      <c r="M28" s="521" t="n">
        <v>5000</v>
      </c>
      <c r="N28" s="521" t="n">
        <v>3000</v>
      </c>
      <c r="O28" s="521" t="n">
        <v>1500</v>
      </c>
      <c r="P28" s="521" t="n">
        <v>8000</v>
      </c>
      <c r="Q28" s="521" t="n">
        <v>1000</v>
      </c>
      <c r="R28" s="521" t="n">
        <v>12.5</v>
      </c>
      <c r="S28" s="521" t="n">
        <v>12</v>
      </c>
      <c r="T28" s="521" t="n">
        <v>0.6</v>
      </c>
      <c r="U28" s="521" t="n">
        <v>1.5</v>
      </c>
      <c r="V28" s="521" t="n">
        <v>500</v>
      </c>
      <c r="W28" s="521" t="n">
        <v>12</v>
      </c>
      <c r="X28" s="521" t="n">
        <v>3</v>
      </c>
      <c r="Y28" s="521" t="inlineStr">
        <is>
          <t>Ban lãnh đạo</t>
        </is>
      </c>
      <c r="Z28" s="521" t="n">
        <v>65</v>
      </c>
      <c r="AA28" s="521" t="inlineStr">
        <is>
          <t>🟡 TB</t>
        </is>
      </c>
      <c r="AB28" s="521" t="n"/>
      <c r="AC28" s="522" t="inlineStr">
        <is>
          <t>HOSE</t>
        </is>
      </c>
      <c r="AD28" s="1024">
        <f>IF(A28='🎯 SÓI v42 — TRA CỨU &amp; DEEP DIV'!$C$4,"⭐ ĐANG XEM","")</f>
        <v/>
      </c>
    </row>
    <row r="29" ht="13.5" customHeight="1" s="981">
      <c r="A29" s="433" t="inlineStr">
        <is>
          <t>HDG</t>
        </is>
      </c>
      <c r="B29" s="431" t="inlineStr">
        <is>
          <t>Hà Đô</t>
        </is>
      </c>
      <c r="C29" s="431" t="inlineStr">
        <is>
          <t>Bất động sản</t>
        </is>
      </c>
      <c r="D29" s="520" t="n">
        <v>23800</v>
      </c>
      <c r="E29" s="431" t="n">
        <v>12.5</v>
      </c>
      <c r="F29" s="431" t="n">
        <v>1.3</v>
      </c>
      <c r="G29" s="431" t="n">
        <v>11.5</v>
      </c>
      <c r="H29" s="431" t="n">
        <v>5474</v>
      </c>
      <c r="I29" s="431" t="n">
        <v>1904</v>
      </c>
      <c r="J29" s="431" t="n">
        <v>12.5</v>
      </c>
      <c r="K29" s="524" t="inlineStr">
        <is>
          <t>MUA</t>
        </is>
      </c>
      <c r="L29" s="1104" t="inlineStr">
        <is>
          <t>BĐS + điện</t>
        </is>
      </c>
      <c r="M29" s="521" t="n">
        <v>5000</v>
      </c>
      <c r="N29" s="521" t="n">
        <v>3000</v>
      </c>
      <c r="O29" s="521" t="n">
        <v>1500</v>
      </c>
      <c r="P29" s="521" t="n">
        <v>8000</v>
      </c>
      <c r="Q29" s="521" t="n">
        <v>1000</v>
      </c>
      <c r="R29" s="521" t="n">
        <v>12.5</v>
      </c>
      <c r="S29" s="521" t="n">
        <v>12</v>
      </c>
      <c r="T29" s="521" t="n">
        <v>0.6</v>
      </c>
      <c r="U29" s="521" t="n">
        <v>1.5</v>
      </c>
      <c r="V29" s="521" t="n">
        <v>500</v>
      </c>
      <c r="W29" s="521" t="n">
        <v>12</v>
      </c>
      <c r="X29" s="521" t="n">
        <v>3</v>
      </c>
      <c r="Y29" s="521" t="inlineStr">
        <is>
          <t>Ban lãnh đạo</t>
        </is>
      </c>
      <c r="Z29" s="521" t="n">
        <v>65</v>
      </c>
      <c r="AA29" s="521" t="inlineStr">
        <is>
          <t>🟡 TB</t>
        </is>
      </c>
      <c r="AB29" s="521" t="n"/>
      <c r="AC29" s="522" t="inlineStr">
        <is>
          <t>HOSE</t>
        </is>
      </c>
      <c r="AD29" s="1024">
        <f>IF(A29='🎯 SÓI v42 — TRA CỨU &amp; DEEP DIV'!$C$4,"⭐ ĐANG XEM","")</f>
        <v/>
      </c>
    </row>
    <row r="30" ht="13.5" customHeight="1" s="981">
      <c r="A30" s="437" t="inlineStr">
        <is>
          <t>IJC</t>
        </is>
      </c>
      <c r="B30" s="435" t="inlineStr">
        <is>
          <t>Becamex IJC</t>
        </is>
      </c>
      <c r="C30" s="435" t="inlineStr">
        <is>
          <t>Bất động sản</t>
        </is>
      </c>
      <c r="D30" s="523" t="n">
        <v>9680</v>
      </c>
      <c r="E30" s="435" t="n">
        <v>13.6</v>
      </c>
      <c r="F30" s="435" t="n">
        <v>1.1</v>
      </c>
      <c r="G30" s="435" t="n">
        <v>8.199999999999999</v>
      </c>
      <c r="H30" s="435" t="n">
        <v>1000</v>
      </c>
      <c r="I30" s="435" t="n">
        <v>712</v>
      </c>
      <c r="J30" s="435" t="n">
        <v>-5.5</v>
      </c>
      <c r="K30" s="437" t="inlineStr">
        <is>
          <t>GIỮ</t>
        </is>
      </c>
      <c r="L30" s="438" t="n"/>
      <c r="M30" s="521" t="n">
        <v>5000</v>
      </c>
      <c r="N30" s="521" t="n">
        <v>3000</v>
      </c>
      <c r="O30" s="521" t="n">
        <v>1500</v>
      </c>
      <c r="P30" s="521" t="n">
        <v>8000</v>
      </c>
      <c r="Q30" s="521" t="n">
        <v>1000</v>
      </c>
      <c r="R30" s="521" t="n">
        <v>12.5</v>
      </c>
      <c r="S30" s="521" t="n">
        <v>12</v>
      </c>
      <c r="T30" s="521" t="n">
        <v>0.6</v>
      </c>
      <c r="U30" s="521" t="n">
        <v>1.5</v>
      </c>
      <c r="V30" s="521" t="n">
        <v>500</v>
      </c>
      <c r="W30" s="521" t="n">
        <v>12</v>
      </c>
      <c r="X30" s="521" t="n">
        <v>3</v>
      </c>
      <c r="Y30" s="521" t="inlineStr">
        <is>
          <t>Ban lãnh đạo</t>
        </is>
      </c>
      <c r="Z30" s="521" t="n">
        <v>65</v>
      </c>
      <c r="AA30" s="521" t="inlineStr">
        <is>
          <t>🟡 TB</t>
        </is>
      </c>
      <c r="AB30" s="521" t="n"/>
      <c r="AC30" s="522" t="inlineStr">
        <is>
          <t>HOSE</t>
        </is>
      </c>
      <c r="AD30" s="1024">
        <f>IF(A30='🎯 SÓI v42 — TRA CỨU &amp; DEEP DIV'!$C$4,"⭐ ĐANG XEM","")</f>
        <v/>
      </c>
    </row>
    <row r="31" ht="13.5" customHeight="1" s="981">
      <c r="A31" s="433" t="inlineStr">
        <is>
          <t>MWG</t>
        </is>
      </c>
      <c r="B31" s="431" t="inlineStr">
        <is>
          <t>Mobile World</t>
        </is>
      </c>
      <c r="C31" s="431" t="inlineStr">
        <is>
          <t>Bán lẻ</t>
        </is>
      </c>
      <c r="D31" s="520" t="n">
        <v>77700</v>
      </c>
      <c r="E31" s="431" t="n">
        <v>14.9</v>
      </c>
      <c r="F31" s="431" t="n">
        <v>3.2</v>
      </c>
      <c r="G31" s="431" t="n">
        <v>18.5</v>
      </c>
      <c r="H31" s="431" t="n">
        <v>116550</v>
      </c>
      <c r="I31" s="431" t="n">
        <v>5200</v>
      </c>
      <c r="J31" s="431" t="n">
        <v>12.5</v>
      </c>
      <c r="K31" s="433" t="inlineStr">
        <is>
          <t>GIỮ</t>
        </is>
      </c>
      <c r="L31" s="1104" t="inlineStr">
        <is>
          <t>BHX phục hồi</t>
        </is>
      </c>
      <c r="M31" s="521" t="n">
        <v>8500</v>
      </c>
      <c r="N31" s="521" t="n">
        <v>12000</v>
      </c>
      <c r="O31" s="521" t="n">
        <v>6500</v>
      </c>
      <c r="P31" s="521" t="n">
        <v>145000</v>
      </c>
      <c r="Q31" s="521" t="n">
        <v>2800</v>
      </c>
      <c r="R31" s="521" t="n">
        <v>1.9</v>
      </c>
      <c r="S31" s="521" t="n">
        <v>22</v>
      </c>
      <c r="T31" s="521" t="n">
        <v>1.4</v>
      </c>
      <c r="U31" s="521" t="n">
        <v>2.5</v>
      </c>
      <c r="V31" s="521" t="n">
        <v>2000</v>
      </c>
      <c r="W31" s="521" t="n">
        <v>18.5</v>
      </c>
      <c r="X31" s="521" t="n">
        <v>5.5</v>
      </c>
      <c r="Y31" s="521" t="inlineStr">
        <is>
          <t>Nguyễn Đức Tài</t>
        </is>
      </c>
      <c r="Z31" s="521" t="n">
        <v>75</v>
      </c>
      <c r="AA31" s="521" t="inlineStr">
        <is>
          <t>🟢 Tốt</t>
        </is>
      </c>
      <c r="AB31" s="521" t="n"/>
      <c r="AC31" s="522" t="inlineStr">
        <is>
          <t>HOSE</t>
        </is>
      </c>
      <c r="AD31" s="1024">
        <f>IF(A31='🎯 SÓI v42 — TRA CỨU &amp; DEEP DIV'!$C$4,"⭐ ĐANG XEM","")</f>
        <v/>
      </c>
    </row>
    <row r="32" ht="13.5" customHeight="1" s="981">
      <c r="A32" s="437" t="inlineStr">
        <is>
          <t>VNM</t>
        </is>
      </c>
      <c r="B32" s="435" t="inlineStr">
        <is>
          <t>Vinamilk</t>
        </is>
      </c>
      <c r="C32" s="435" t="inlineStr">
        <is>
          <t>Tiêu dùng</t>
        </is>
      </c>
      <c r="D32" s="523" t="n">
        <v>59000</v>
      </c>
      <c r="E32" s="435" t="n">
        <v>12.8</v>
      </c>
      <c r="F32" s="435" t="n">
        <v>3.4</v>
      </c>
      <c r="G32" s="435" t="n">
        <v>23.5</v>
      </c>
      <c r="H32" s="435" t="n">
        <v>123900</v>
      </c>
      <c r="I32" s="435" t="n">
        <v>4600</v>
      </c>
      <c r="J32" s="435" t="n">
        <v>-2.5</v>
      </c>
      <c r="K32" s="437" t="inlineStr">
        <is>
          <t>GIỮ</t>
        </is>
      </c>
      <c r="L32" s="438" t="inlineStr">
        <is>
          <t>Cổ tức 7%</t>
        </is>
      </c>
      <c r="M32" s="521" t="n">
        <v>18000</v>
      </c>
      <c r="N32" s="521" t="n">
        <v>2500</v>
      </c>
      <c r="O32" s="521" t="n">
        <v>7500</v>
      </c>
      <c r="P32" s="521" t="n">
        <v>62000</v>
      </c>
      <c r="Q32" s="521" t="n">
        <v>6800</v>
      </c>
      <c r="R32" s="521" t="n">
        <v>11</v>
      </c>
      <c r="S32" s="521" t="n">
        <v>32</v>
      </c>
      <c r="T32" s="521" t="n">
        <v>0.1</v>
      </c>
      <c r="U32" s="521" t="n">
        <v>7.5</v>
      </c>
      <c r="V32" s="521" t="n">
        <v>4350</v>
      </c>
      <c r="W32" s="521" t="n">
        <v>48.5</v>
      </c>
      <c r="X32" s="521" t="n">
        <v>2.5</v>
      </c>
      <c r="Y32" s="521" t="inlineStr">
        <is>
          <t>Lê Thị Băng Tâm</t>
        </is>
      </c>
      <c r="Z32" s="521" t="n">
        <v>88</v>
      </c>
      <c r="AA32" s="521" t="inlineStr">
        <is>
          <t>🟢 Xuất sắc</t>
        </is>
      </c>
      <c r="AB32" s="521" t="n"/>
      <c r="AC32" s="522" t="inlineStr">
        <is>
          <t>HOSE</t>
        </is>
      </c>
      <c r="AD32" s="1024">
        <f>IF(A32='🎯 SÓI v42 — TRA CỨU &amp; DEEP DIV'!$C$4,"⭐ ĐANG XEM","")</f>
        <v/>
      </c>
    </row>
    <row r="33" ht="13.5" customHeight="1" s="981">
      <c r="A33" s="433" t="inlineStr">
        <is>
          <t>MSN</t>
        </is>
      </c>
      <c r="B33" s="431" t="inlineStr">
        <is>
          <t>Masan Group</t>
        </is>
      </c>
      <c r="C33" s="431" t="inlineStr">
        <is>
          <t>Tiêu dùng</t>
        </is>
      </c>
      <c r="D33" s="520" t="n">
        <v>75500</v>
      </c>
      <c r="E33" s="431" t="n">
        <v>27</v>
      </c>
      <c r="F33" s="431" t="n">
        <v>2</v>
      </c>
      <c r="G33" s="431" t="n">
        <v>6.2</v>
      </c>
      <c r="H33" s="431" t="n">
        <v>105700</v>
      </c>
      <c r="I33" s="431" t="n">
        <v>2800</v>
      </c>
      <c r="J33" s="431" t="n">
        <v>-12.2</v>
      </c>
      <c r="K33" s="526" t="inlineStr">
        <is>
          <t>GIẢM</t>
        </is>
      </c>
      <c r="L33" s="1104" t="inlineStr">
        <is>
          <t>Áp lực nợ vay</t>
        </is>
      </c>
      <c r="M33" s="521" t="n">
        <v>25000</v>
      </c>
      <c r="N33" s="521" t="n">
        <v>85000</v>
      </c>
      <c r="O33" s="521" t="n">
        <v>12000</v>
      </c>
      <c r="P33" s="521" t="n">
        <v>85000</v>
      </c>
      <c r="Q33" s="521" t="n">
        <v>4500</v>
      </c>
      <c r="R33" s="521" t="n">
        <v>5.3</v>
      </c>
      <c r="S33" s="521" t="n">
        <v>8</v>
      </c>
      <c r="T33" s="521" t="n">
        <v>3.4</v>
      </c>
      <c r="U33" s="521" t="n">
        <v>0</v>
      </c>
      <c r="V33" s="521" t="n">
        <v>0</v>
      </c>
      <c r="W33" s="521" t="n">
        <v>12.5</v>
      </c>
      <c r="X33" s="521" t="n">
        <v>8.5</v>
      </c>
      <c r="Y33" s="521" t="inlineStr">
        <is>
          <t>Nguyễn Đăng Quang</t>
        </is>
      </c>
      <c r="Z33" s="521" t="n">
        <v>65</v>
      </c>
      <c r="AA33" s="521" t="inlineStr">
        <is>
          <t>🟡 TB</t>
        </is>
      </c>
      <c r="AB33" s="521" t="inlineStr">
        <is>
          <t>Nợ vay lớn</t>
        </is>
      </c>
      <c r="AC33" s="522" t="inlineStr">
        <is>
          <t>HOSE</t>
        </is>
      </c>
      <c r="AD33" s="1024">
        <f>IF(A33='🎯 SÓI v42 — TRA CỨU &amp; DEEP DIV'!$C$4,"⭐ ĐANG XEM","")</f>
        <v/>
      </c>
    </row>
    <row r="34" ht="13.5" customHeight="1" s="981">
      <c r="A34" s="437" t="inlineStr">
        <is>
          <t>SAB</t>
        </is>
      </c>
      <c r="B34" s="435" t="inlineStr">
        <is>
          <t>Sabeco</t>
        </is>
      </c>
      <c r="C34" s="435" t="inlineStr">
        <is>
          <t>Tiêu dùng</t>
        </is>
      </c>
      <c r="D34" s="523" t="n">
        <v>47200</v>
      </c>
      <c r="E34" s="435" t="n">
        <v>6.3</v>
      </c>
      <c r="F34" s="435" t="n">
        <v>3.5</v>
      </c>
      <c r="G34" s="435" t="n">
        <v>16.5</v>
      </c>
      <c r="H34" s="435" t="n">
        <v>30208</v>
      </c>
      <c r="I34" s="435" t="n">
        <v>7500</v>
      </c>
      <c r="J34" s="435" t="n">
        <v>-22.5</v>
      </c>
      <c r="K34" s="437" t="inlineStr">
        <is>
          <t>GIỮ</t>
        </is>
      </c>
      <c r="L34" s="438" t="inlineStr">
        <is>
          <t>Bia Sài Gòn</t>
        </is>
      </c>
      <c r="M34" s="521" t="n">
        <v>12000</v>
      </c>
      <c r="N34" s="521" t="n">
        <v>1500</v>
      </c>
      <c r="O34" s="521" t="n">
        <v>4500</v>
      </c>
      <c r="P34" s="521" t="n">
        <v>28000</v>
      </c>
      <c r="Q34" s="521" t="n">
        <v>4200</v>
      </c>
      <c r="R34" s="521" t="n">
        <v>15</v>
      </c>
      <c r="S34" s="521" t="n">
        <v>38</v>
      </c>
      <c r="T34" s="521" t="n">
        <v>0.1</v>
      </c>
      <c r="U34" s="521" t="n">
        <v>5</v>
      </c>
      <c r="V34" s="521" t="n">
        <v>4500</v>
      </c>
      <c r="W34" s="521" t="n">
        <v>48.5</v>
      </c>
      <c r="X34" s="521" t="n">
        <v>0.5</v>
      </c>
      <c r="Y34" s="521" t="inlineStr">
        <is>
          <t>Nguyễn Thanh Phúc</t>
        </is>
      </c>
      <c r="Z34" s="521" t="n">
        <v>80</v>
      </c>
      <c r="AA34" s="521" t="inlineStr">
        <is>
          <t>🟢 Cao</t>
        </is>
      </c>
      <c r="AB34" s="521" t="n"/>
      <c r="AC34" s="522" t="inlineStr">
        <is>
          <t>HOSE</t>
        </is>
      </c>
      <c r="AD34" s="1024">
        <f>IF(A34='🎯 SÓI v42 — TRA CỨU &amp; DEEP DIV'!$C$4,"⭐ ĐANG XEM","")</f>
        <v/>
      </c>
    </row>
    <row r="35" ht="13.5" customHeight="1" s="981">
      <c r="A35" s="433" t="inlineStr">
        <is>
          <t>PNJ</t>
        </is>
      </c>
      <c r="B35" s="431" t="inlineStr">
        <is>
          <t>PNJ</t>
        </is>
      </c>
      <c r="C35" s="431" t="inlineStr">
        <is>
          <t>Bán lẻ</t>
        </is>
      </c>
      <c r="D35" s="520" t="n">
        <v>65900</v>
      </c>
      <c r="E35" s="431" t="n">
        <v>10.6</v>
      </c>
      <c r="F35" s="431" t="n">
        <v>3.6</v>
      </c>
      <c r="G35" s="431" t="n">
        <v>21.5</v>
      </c>
      <c r="H35" s="431" t="n">
        <v>22406</v>
      </c>
      <c r="I35" s="431" t="n">
        <v>6200</v>
      </c>
      <c r="J35" s="431" t="n">
        <v>8.5</v>
      </c>
      <c r="K35" s="524" t="inlineStr">
        <is>
          <t>MUA</t>
        </is>
      </c>
      <c r="L35" s="1104" t="inlineStr">
        <is>
          <t>Vàng bạc đá quý</t>
        </is>
      </c>
      <c r="M35" s="521" t="n">
        <v>5500</v>
      </c>
      <c r="N35" s="521" t="n">
        <v>2800</v>
      </c>
      <c r="O35" s="521" t="n">
        <v>2200</v>
      </c>
      <c r="P35" s="521" t="n">
        <v>38000</v>
      </c>
      <c r="Q35" s="521" t="n">
        <v>1800</v>
      </c>
      <c r="R35" s="521" t="n">
        <v>4.7</v>
      </c>
      <c r="S35" s="521" t="n">
        <v>28</v>
      </c>
      <c r="T35" s="521" t="n">
        <v>0.5</v>
      </c>
      <c r="U35" s="521" t="n">
        <v>3.5</v>
      </c>
      <c r="V35" s="521" t="n">
        <v>1500</v>
      </c>
      <c r="W35" s="521" t="n">
        <v>8.5</v>
      </c>
      <c r="X35" s="521" t="n">
        <v>8.5</v>
      </c>
      <c r="Y35" s="521" t="inlineStr">
        <is>
          <t>Lê Trí Thông</t>
        </is>
      </c>
      <c r="Z35" s="521" t="n">
        <v>82</v>
      </c>
      <c r="AA35" s="521" t="inlineStr">
        <is>
          <t>🟢 Cao</t>
        </is>
      </c>
      <c r="AB35" s="521" t="n"/>
      <c r="AC35" s="522" t="inlineStr">
        <is>
          <t>HOSE</t>
        </is>
      </c>
      <c r="AD35" s="1024">
        <f>IF(A35='🎯 SÓI v42 — TRA CỨU &amp; DEEP DIV'!$C$4,"⭐ ĐANG XEM","")</f>
        <v/>
      </c>
    </row>
    <row r="36" ht="13.5" customHeight="1" s="981">
      <c r="A36" s="437" t="inlineStr">
        <is>
          <t>DGW</t>
        </is>
      </c>
      <c r="B36" s="435" t="inlineStr">
        <is>
          <t>Digiworld</t>
        </is>
      </c>
      <c r="C36" s="435" t="inlineStr">
        <is>
          <t>Phân phối CN</t>
        </is>
      </c>
      <c r="D36" s="523" t="n">
        <v>41600</v>
      </c>
      <c r="E36" s="435" t="n">
        <v>14.5</v>
      </c>
      <c r="F36" s="435" t="n">
        <v>2.2</v>
      </c>
      <c r="G36" s="435" t="n">
        <v>15.2</v>
      </c>
      <c r="H36" s="435" t="n">
        <v>6656</v>
      </c>
      <c r="I36" s="435" t="n">
        <v>2869</v>
      </c>
      <c r="J36" s="435" t="n">
        <v>15.5</v>
      </c>
      <c r="K36" s="525" t="inlineStr">
        <is>
          <t>MUA MẠNH</t>
        </is>
      </c>
      <c r="L36" s="438" t="inlineStr">
        <is>
          <t>Phân phối điện thoại</t>
        </is>
      </c>
      <c r="M36" s="521" t="n">
        <v>5000</v>
      </c>
      <c r="N36" s="521" t="n">
        <v>3000</v>
      </c>
      <c r="O36" s="521" t="n">
        <v>1500</v>
      </c>
      <c r="P36" s="521" t="n">
        <v>8000</v>
      </c>
      <c r="Q36" s="521" t="n">
        <v>1000</v>
      </c>
      <c r="R36" s="521" t="n">
        <v>12.5</v>
      </c>
      <c r="S36" s="521" t="n">
        <v>12</v>
      </c>
      <c r="T36" s="521" t="n">
        <v>0.6</v>
      </c>
      <c r="U36" s="521" t="n">
        <v>1.5</v>
      </c>
      <c r="V36" s="521" t="n">
        <v>500</v>
      </c>
      <c r="W36" s="521" t="n">
        <v>12</v>
      </c>
      <c r="X36" s="521" t="n">
        <v>3</v>
      </c>
      <c r="Y36" s="521" t="inlineStr">
        <is>
          <t>Ban lãnh đạo</t>
        </is>
      </c>
      <c r="Z36" s="521" t="n">
        <v>65</v>
      </c>
      <c r="AA36" s="521" t="inlineStr">
        <is>
          <t>🟡 TB</t>
        </is>
      </c>
      <c r="AB36" s="521" t="n"/>
      <c r="AC36" s="522" t="inlineStr">
        <is>
          <t>HOSE</t>
        </is>
      </c>
      <c r="AD36" s="1024">
        <f>IF(A36='🎯 SÓI v42 — TRA CỨU &amp; DEEP DIV'!$C$4,"⭐ ĐANG XEM","")</f>
        <v/>
      </c>
    </row>
    <row r="37" ht="13.5" customHeight="1" s="981">
      <c r="A37" s="433" t="inlineStr">
        <is>
          <t>FRT</t>
        </is>
      </c>
      <c r="B37" s="431" t="inlineStr">
        <is>
          <t>FPT Retail</t>
        </is>
      </c>
      <c r="C37" s="431" t="inlineStr">
        <is>
          <t>Bán lẻ</t>
        </is>
      </c>
      <c r="D37" s="520" t="n">
        <v>131000</v>
      </c>
      <c r="E37" s="431" t="n">
        <v>24.6</v>
      </c>
      <c r="F37" s="431" t="n">
        <v>3.4</v>
      </c>
      <c r="G37" s="431" t="n">
        <v>13.5</v>
      </c>
      <c r="H37" s="431" t="n">
        <v>18340</v>
      </c>
      <c r="I37" s="431" t="n">
        <v>5325</v>
      </c>
      <c r="J37" s="431" t="n">
        <v>55.5</v>
      </c>
      <c r="K37" s="433" t="inlineStr">
        <is>
          <t>GIỮ</t>
        </is>
      </c>
      <c r="L37" s="1104" t="inlineStr">
        <is>
          <t>Nhà thuốc Long Châu</t>
        </is>
      </c>
      <c r="M37" s="521" t="n">
        <v>5000</v>
      </c>
      <c r="N37" s="521" t="n">
        <v>3000</v>
      </c>
      <c r="O37" s="521" t="n">
        <v>1500</v>
      </c>
      <c r="P37" s="521" t="n">
        <v>8000</v>
      </c>
      <c r="Q37" s="521" t="n">
        <v>1000</v>
      </c>
      <c r="R37" s="521" t="n">
        <v>12.5</v>
      </c>
      <c r="S37" s="521" t="n">
        <v>12</v>
      </c>
      <c r="T37" s="521" t="n">
        <v>0.6</v>
      </c>
      <c r="U37" s="521" t="n">
        <v>1.5</v>
      </c>
      <c r="V37" s="521" t="n">
        <v>500</v>
      </c>
      <c r="W37" s="521" t="n">
        <v>12</v>
      </c>
      <c r="X37" s="521" t="n">
        <v>3</v>
      </c>
      <c r="Y37" s="521" t="inlineStr">
        <is>
          <t>Ban lãnh đạo</t>
        </is>
      </c>
      <c r="Z37" s="521" t="n">
        <v>65</v>
      </c>
      <c r="AA37" s="521" t="inlineStr">
        <is>
          <t>🟡 TB</t>
        </is>
      </c>
      <c r="AB37" s="521" t="n"/>
      <c r="AC37" s="522" t="inlineStr">
        <is>
          <t>HOSE</t>
        </is>
      </c>
      <c r="AD37" s="1024">
        <f>IF(A37='🎯 SÓI v42 — TRA CỨU &amp; DEEP DIV'!$C$4,"⭐ ĐANG XEM","")</f>
        <v/>
      </c>
    </row>
    <row r="38" ht="13.5" customHeight="1" s="981">
      <c r="A38" s="433" t="inlineStr">
        <is>
          <t>VHC</t>
        </is>
      </c>
      <c r="B38" s="431" t="inlineStr">
        <is>
          <t>Vĩnh Hoàn</t>
        </is>
      </c>
      <c r="C38" s="431" t="inlineStr">
        <is>
          <t>Thực phẩm</t>
        </is>
      </c>
      <c r="D38" s="520" t="n">
        <v>58800</v>
      </c>
      <c r="E38" s="431" t="n">
        <v>9.300000000000001</v>
      </c>
      <c r="F38" s="431" t="n">
        <v>1.4</v>
      </c>
      <c r="G38" s="431" t="n">
        <v>14.7</v>
      </c>
      <c r="H38" s="431" t="n">
        <v>1000</v>
      </c>
      <c r="I38" s="431" t="n">
        <v>6323</v>
      </c>
      <c r="J38" s="431" t="n">
        <v>12.5</v>
      </c>
      <c r="K38" s="524" t="inlineStr">
        <is>
          <t>MUA</t>
        </is>
      </c>
      <c r="L38" s="1104" t="inlineStr">
        <is>
          <t>Cá tra xuất khẩu</t>
        </is>
      </c>
      <c r="M38" s="521" t="n">
        <v>5000</v>
      </c>
      <c r="N38" s="521" t="n">
        <v>3000</v>
      </c>
      <c r="O38" s="521" t="n">
        <v>1500</v>
      </c>
      <c r="P38" s="521" t="n">
        <v>8000</v>
      </c>
      <c r="Q38" s="521" t="n">
        <v>1000</v>
      </c>
      <c r="R38" s="521" t="n">
        <v>12.5</v>
      </c>
      <c r="S38" s="521" t="n">
        <v>12</v>
      </c>
      <c r="T38" s="521" t="n">
        <v>0.6</v>
      </c>
      <c r="U38" s="521" t="n">
        <v>1.5</v>
      </c>
      <c r="V38" s="521" t="n">
        <v>500</v>
      </c>
      <c r="W38" s="521" t="n">
        <v>12</v>
      </c>
      <c r="X38" s="521" t="n">
        <v>3</v>
      </c>
      <c r="Y38" s="521" t="inlineStr">
        <is>
          <t>Ban lãnh đạo</t>
        </is>
      </c>
      <c r="Z38" s="521" t="n">
        <v>65</v>
      </c>
      <c r="AA38" s="521" t="inlineStr">
        <is>
          <t>🟡 TB</t>
        </is>
      </c>
      <c r="AB38" s="521" t="n"/>
      <c r="AC38" s="522" t="inlineStr">
        <is>
          <t>HOSE</t>
        </is>
      </c>
      <c r="AD38" s="1024">
        <f>IF(A39='🎯 SÓI v42 — TRA CỨU &amp; DEEP DIV'!$C$4,"⭐ ĐANG XEM","")</f>
        <v/>
      </c>
    </row>
    <row r="39" ht="13.5" customHeight="1" s="981">
      <c r="A39" s="437" t="inlineStr">
        <is>
          <t>ANV</t>
        </is>
      </c>
      <c r="B39" s="435" t="inlineStr">
        <is>
          <t>Nam Việt</t>
        </is>
      </c>
      <c r="C39" s="435" t="inlineStr">
        <is>
          <t>Thực phẩm</t>
        </is>
      </c>
      <c r="D39" s="523" t="n">
        <v>22050</v>
      </c>
      <c r="E39" s="435" t="n">
        <v>12.5</v>
      </c>
      <c r="F39" s="435" t="n">
        <v>1.1</v>
      </c>
      <c r="G39" s="435" t="n">
        <v>9.199999999999999</v>
      </c>
      <c r="H39" s="435" t="n">
        <v>1000</v>
      </c>
      <c r="I39" s="435" t="n">
        <v>1764</v>
      </c>
      <c r="J39" s="435" t="n">
        <v>5.5</v>
      </c>
      <c r="K39" s="437" t="inlineStr">
        <is>
          <t>GIỮ</t>
        </is>
      </c>
      <c r="L39" s="438" t="inlineStr">
        <is>
          <t>Cá tra</t>
        </is>
      </c>
      <c r="M39" s="521" t="n">
        <v>5000</v>
      </c>
      <c r="N39" s="521" t="n">
        <v>3000</v>
      </c>
      <c r="O39" s="521" t="n">
        <v>1500</v>
      </c>
      <c r="P39" s="521" t="n">
        <v>8000</v>
      </c>
      <c r="Q39" s="521" t="n">
        <v>1000</v>
      </c>
      <c r="R39" s="521" t="n">
        <v>12.5</v>
      </c>
      <c r="S39" s="521" t="n">
        <v>12</v>
      </c>
      <c r="T39" s="521" t="n">
        <v>0.6</v>
      </c>
      <c r="U39" s="521" t="n">
        <v>1.5</v>
      </c>
      <c r="V39" s="521" t="n">
        <v>500</v>
      </c>
      <c r="W39" s="521" t="n">
        <v>12</v>
      </c>
      <c r="X39" s="521" t="n">
        <v>3</v>
      </c>
      <c r="Y39" s="521" t="inlineStr">
        <is>
          <t>Ban lãnh đạo</t>
        </is>
      </c>
      <c r="Z39" s="521" t="n">
        <v>65</v>
      </c>
      <c r="AA39" s="521" t="inlineStr">
        <is>
          <t>🟡 TB</t>
        </is>
      </c>
      <c r="AB39" s="521" t="n"/>
      <c r="AC39" s="522" t="inlineStr">
        <is>
          <t>HOSE</t>
        </is>
      </c>
      <c r="AD39" s="1024">
        <f>IF(A40='🎯 SÓI v42 — TRA CỨU &amp; DEEP DIV'!$C$4,"⭐ ĐANG XEM","")</f>
        <v/>
      </c>
    </row>
    <row r="40" ht="13.5" customHeight="1" s="981">
      <c r="A40" s="433" t="inlineStr">
        <is>
          <t>MML</t>
        </is>
      </c>
      <c r="B40" s="431" t="inlineStr">
        <is>
          <t>Masan MeatLife</t>
        </is>
      </c>
      <c r="C40" s="431" t="inlineStr">
        <is>
          <t>Thực phẩm</t>
        </is>
      </c>
      <c r="D40" s="520" t="n">
        <v>30800</v>
      </c>
      <c r="E40" s="431" t="n">
        <v>18.5</v>
      </c>
      <c r="F40" s="431" t="n">
        <v>2.1</v>
      </c>
      <c r="G40" s="431" t="n">
        <v>11.5</v>
      </c>
      <c r="H40" s="431" t="n">
        <v>1000</v>
      </c>
      <c r="I40" s="431" t="n">
        <v>1665</v>
      </c>
      <c r="J40" s="431" t="n">
        <v>-15</v>
      </c>
      <c r="K40" s="433" t="inlineStr">
        <is>
          <t>GIỮ</t>
        </is>
      </c>
      <c r="L40" s="1104" t="n"/>
      <c r="M40" s="521" t="n">
        <v>5000</v>
      </c>
      <c r="N40" s="521" t="n">
        <v>3000</v>
      </c>
      <c r="O40" s="521" t="n">
        <v>1500</v>
      </c>
      <c r="P40" s="521" t="n">
        <v>8000</v>
      </c>
      <c r="Q40" s="521" t="n">
        <v>1000</v>
      </c>
      <c r="R40" s="521" t="n">
        <v>12.5</v>
      </c>
      <c r="S40" s="521" t="n">
        <v>12</v>
      </c>
      <c r="T40" s="521" t="n">
        <v>0.6</v>
      </c>
      <c r="U40" s="521" t="n">
        <v>1.5</v>
      </c>
      <c r="V40" s="521" t="n">
        <v>500</v>
      </c>
      <c r="W40" s="521" t="n">
        <v>12</v>
      </c>
      <c r="X40" s="521" t="n">
        <v>3</v>
      </c>
      <c r="Y40" s="521" t="inlineStr">
        <is>
          <t>Ban lãnh đạo</t>
        </is>
      </c>
      <c r="Z40" s="521" t="n">
        <v>65</v>
      </c>
      <c r="AA40" s="521" t="inlineStr">
        <is>
          <t>🟡 TB</t>
        </is>
      </c>
      <c r="AB40" s="521" t="n"/>
      <c r="AC40" s="522" t="inlineStr">
        <is>
          <t>HOSE</t>
        </is>
      </c>
      <c r="AD40" s="1024">
        <f>IF(A41='🎯 SÓI v42 — TRA CỨU &amp; DEEP DIV'!$C$4,"⭐ ĐANG XEM","")</f>
        <v/>
      </c>
    </row>
    <row r="41" ht="13.5" customHeight="1" s="981">
      <c r="A41" s="437" t="inlineStr">
        <is>
          <t>KDC</t>
        </is>
      </c>
      <c r="B41" s="435" t="inlineStr">
        <is>
          <t>Kido</t>
        </is>
      </c>
      <c r="C41" s="435" t="inlineStr">
        <is>
          <t>Thực phẩm</t>
        </is>
      </c>
      <c r="D41" s="523" t="n">
        <v>50400</v>
      </c>
      <c r="E41" s="435" t="n">
        <v>22.4</v>
      </c>
      <c r="F41" s="435" t="n">
        <v>1.5</v>
      </c>
      <c r="G41" s="435" t="n">
        <v>6.8</v>
      </c>
      <c r="H41" s="435" t="n">
        <v>1000</v>
      </c>
      <c r="I41" s="435" t="n">
        <v>2250</v>
      </c>
      <c r="J41" s="435" t="n">
        <v>8.5</v>
      </c>
      <c r="K41" s="437" t="inlineStr">
        <is>
          <t>GIỮ</t>
        </is>
      </c>
      <c r="L41" s="438" t="inlineStr">
        <is>
          <t>Kem &amp; gia vị</t>
        </is>
      </c>
      <c r="M41" s="521" t="n">
        <v>5000</v>
      </c>
      <c r="N41" s="521" t="n">
        <v>3000</v>
      </c>
      <c r="O41" s="521" t="n">
        <v>1500</v>
      </c>
      <c r="P41" s="521" t="n">
        <v>8000</v>
      </c>
      <c r="Q41" s="521" t="n">
        <v>1000</v>
      </c>
      <c r="R41" s="521" t="n">
        <v>12.5</v>
      </c>
      <c r="S41" s="521" t="n">
        <v>12</v>
      </c>
      <c r="T41" s="521" t="n">
        <v>0.6</v>
      </c>
      <c r="U41" s="521" t="n">
        <v>1.5</v>
      </c>
      <c r="V41" s="521" t="n">
        <v>500</v>
      </c>
      <c r="W41" s="521" t="n">
        <v>12</v>
      </c>
      <c r="X41" s="521" t="n">
        <v>3</v>
      </c>
      <c r="Y41" s="521" t="inlineStr">
        <is>
          <t>Ban lãnh đạo</t>
        </is>
      </c>
      <c r="Z41" s="521" t="n">
        <v>65</v>
      </c>
      <c r="AA41" s="521" t="inlineStr">
        <is>
          <t>🟡 TB</t>
        </is>
      </c>
      <c r="AB41" s="521" t="n"/>
      <c r="AC41" s="522" t="inlineStr">
        <is>
          <t>HOSE</t>
        </is>
      </c>
      <c r="AD41" s="1024">
        <f>IF(A42='🎯 SÓI v42 — TRA CỨU &amp; DEEP DIV'!$C$4,"⭐ ĐANG XEM","")</f>
        <v/>
      </c>
    </row>
    <row r="42" ht="13.5" customHeight="1" s="981">
      <c r="A42" s="433" t="inlineStr">
        <is>
          <t>FPT</t>
        </is>
      </c>
      <c r="B42" s="431" t="inlineStr">
        <is>
          <t>FPT Corp</t>
        </is>
      </c>
      <c r="C42" s="431" t="inlineStr">
        <is>
          <t>Công nghệ</t>
        </is>
      </c>
      <c r="D42" s="520" t="n">
        <v>71200</v>
      </c>
      <c r="E42" s="431" t="n">
        <v>20.3</v>
      </c>
      <c r="F42" s="431" t="n">
        <v>6.2</v>
      </c>
      <c r="G42" s="431" t="n">
        <v>27.8</v>
      </c>
      <c r="H42" s="431" t="n">
        <v>106800</v>
      </c>
      <c r="I42" s="431" t="n">
        <v>3500</v>
      </c>
      <c r="J42" s="431" t="n">
        <v>28.5</v>
      </c>
      <c r="K42" s="524" t="inlineStr">
        <is>
          <t>MUA</t>
        </is>
      </c>
      <c r="L42" s="1104" t="inlineStr">
        <is>
          <t>Tech compounder</t>
        </is>
      </c>
      <c r="M42" s="521" t="n">
        <v>22000</v>
      </c>
      <c r="N42" s="521" t="n">
        <v>8500</v>
      </c>
      <c r="O42" s="521" t="n">
        <v>8500</v>
      </c>
      <c r="P42" s="521" t="n">
        <v>62000</v>
      </c>
      <c r="Q42" s="521" t="n">
        <v>8500</v>
      </c>
      <c r="R42" s="521" t="n">
        <v>13.7</v>
      </c>
      <c r="S42" s="521" t="n">
        <v>28</v>
      </c>
      <c r="T42" s="521" t="n">
        <v>0.4</v>
      </c>
      <c r="U42" s="521" t="n">
        <v>2.5</v>
      </c>
      <c r="V42" s="521" t="n">
        <v>1750</v>
      </c>
      <c r="W42" s="521" t="n">
        <v>18.5</v>
      </c>
      <c r="X42" s="521" t="n">
        <v>4.2</v>
      </c>
      <c r="Y42" s="521" t="inlineStr">
        <is>
          <t>Trương Gia Bình</t>
        </is>
      </c>
      <c r="Z42" s="521" t="n">
        <v>88</v>
      </c>
      <c r="AA42" s="521" t="inlineStr">
        <is>
          <t>🟢 Xuất sắc</t>
        </is>
      </c>
      <c r="AB42" s="521" t="n"/>
      <c r="AC42" s="522" t="inlineStr">
        <is>
          <t>HOSE</t>
        </is>
      </c>
      <c r="AD42" s="1024">
        <f>IF(A43='🎯 SÓI v42 — TRA CỨU &amp; DEEP DIV'!$C$4,"⭐ ĐANG XEM","")</f>
        <v/>
      </c>
    </row>
    <row r="43" ht="13.5" customHeight="1" s="981">
      <c r="A43" s="437" t="inlineStr">
        <is>
          <t>FOX</t>
        </is>
      </c>
      <c r="B43" s="435" t="inlineStr">
        <is>
          <t>FPT Online</t>
        </is>
      </c>
      <c r="C43" s="435" t="inlineStr">
        <is>
          <t>Internet</t>
        </is>
      </c>
      <c r="D43" s="523" t="n">
        <v>80200</v>
      </c>
      <c r="E43" s="435" t="n">
        <v>32.5</v>
      </c>
      <c r="F43" s="435" t="n">
        <v>4.2</v>
      </c>
      <c r="G43" s="435" t="n">
        <v>13.5</v>
      </c>
      <c r="H43" s="435" t="n">
        <v>1000</v>
      </c>
      <c r="I43" s="435" t="n">
        <v>2468</v>
      </c>
      <c r="J43" s="435" t="n">
        <v>15.5</v>
      </c>
      <c r="K43" s="524" t="inlineStr">
        <is>
          <t>MUA</t>
        </is>
      </c>
      <c r="L43" s="438" t="inlineStr">
        <is>
          <t>Mảng số FPT</t>
        </is>
      </c>
      <c r="M43" s="521" t="n">
        <v>5000</v>
      </c>
      <c r="N43" s="521" t="n">
        <v>3000</v>
      </c>
      <c r="O43" s="521" t="n">
        <v>1500</v>
      </c>
      <c r="P43" s="521" t="n">
        <v>8000</v>
      </c>
      <c r="Q43" s="521" t="n">
        <v>1000</v>
      </c>
      <c r="R43" s="521" t="n">
        <v>12.5</v>
      </c>
      <c r="S43" s="521" t="n">
        <v>12</v>
      </c>
      <c r="T43" s="521" t="n">
        <v>0.6</v>
      </c>
      <c r="U43" s="521" t="n">
        <v>1.5</v>
      </c>
      <c r="V43" s="521" t="n">
        <v>500</v>
      </c>
      <c r="W43" s="521" t="n">
        <v>12</v>
      </c>
      <c r="X43" s="521" t="n">
        <v>3</v>
      </c>
      <c r="Y43" s="521" t="inlineStr">
        <is>
          <t>Ban lãnh đạo</t>
        </is>
      </c>
      <c r="Z43" s="521" t="n">
        <v>65</v>
      </c>
      <c r="AA43" s="521" t="inlineStr">
        <is>
          <t>🟡 TB</t>
        </is>
      </c>
      <c r="AB43" s="521" t="n"/>
      <c r="AC43" s="528" t="inlineStr">
        <is>
          <t>HNX</t>
        </is>
      </c>
      <c r="AD43" s="1024">
        <f>IF(A44='🎯 SÓI v42 — TRA CỨU &amp; DEEP DIV'!$C$4,"⭐ ĐANG XEM","")</f>
        <v/>
      </c>
    </row>
    <row r="44" ht="13.5" customHeight="1" s="981">
      <c r="A44" s="433" t="inlineStr">
        <is>
          <t>CMG</t>
        </is>
      </c>
      <c r="B44" s="431" t="inlineStr">
        <is>
          <t>CMC Corp</t>
        </is>
      </c>
      <c r="C44" s="431" t="inlineStr">
        <is>
          <t>Công nghệ</t>
        </is>
      </c>
      <c r="D44" s="520" t="n">
        <v>27600</v>
      </c>
      <c r="E44" s="431" t="n">
        <v>22.4</v>
      </c>
      <c r="F44" s="431" t="n">
        <v>3.8</v>
      </c>
      <c r="G44" s="431" t="n">
        <v>17.5</v>
      </c>
      <c r="H44" s="431" t="n">
        <v>3588</v>
      </c>
      <c r="I44" s="431" t="n">
        <v>1232</v>
      </c>
      <c r="J44" s="431" t="n">
        <v>8.5</v>
      </c>
      <c r="K44" s="524" t="inlineStr">
        <is>
          <t>MUA</t>
        </is>
      </c>
      <c r="L44" s="1104" t="inlineStr">
        <is>
          <t>Tech mid-cap</t>
        </is>
      </c>
      <c r="M44" s="521" t="n">
        <v>2800</v>
      </c>
      <c r="N44" s="521" t="n">
        <v>800</v>
      </c>
      <c r="O44" s="521" t="n">
        <v>950</v>
      </c>
      <c r="P44" s="521" t="n">
        <v>4500</v>
      </c>
      <c r="Q44" s="521" t="n">
        <v>680</v>
      </c>
      <c r="R44" s="521" t="n">
        <v>15.1</v>
      </c>
      <c r="S44" s="521" t="n">
        <v>18</v>
      </c>
      <c r="T44" s="521" t="n">
        <v>0.3</v>
      </c>
      <c r="U44" s="521" t="n">
        <v>2</v>
      </c>
      <c r="V44" s="521" t="n">
        <v>500</v>
      </c>
      <c r="W44" s="521" t="n">
        <v>8.5</v>
      </c>
      <c r="X44" s="521" t="n">
        <v>5.5</v>
      </c>
      <c r="Y44" s="521" t="inlineStr">
        <is>
          <t>Nguyễn Trung Chính</t>
        </is>
      </c>
      <c r="Z44" s="521" t="n">
        <v>75</v>
      </c>
      <c r="AA44" s="521" t="inlineStr">
        <is>
          <t>🟢 Tốt</t>
        </is>
      </c>
      <c r="AB44" s="521" t="n"/>
      <c r="AC44" s="522" t="inlineStr">
        <is>
          <t>HOSE</t>
        </is>
      </c>
      <c r="AD44" s="1024">
        <f>IF(A45='🎯 SÓI v42 — TRA CỨU &amp; DEEP DIV'!$C$4,"⭐ ĐANG XEM","")</f>
        <v/>
      </c>
    </row>
    <row r="45" ht="13.5" customHeight="1" s="981">
      <c r="A45" s="437" t="inlineStr">
        <is>
          <t>ELC</t>
        </is>
      </c>
      <c r="B45" s="435" t="inlineStr">
        <is>
          <t>Elcom</t>
        </is>
      </c>
      <c r="C45" s="435" t="inlineStr">
        <is>
          <t>CN viễn thông</t>
        </is>
      </c>
      <c r="D45" s="523" t="n">
        <v>15950</v>
      </c>
      <c r="E45" s="435" t="n">
        <v>18.5</v>
      </c>
      <c r="F45" s="435" t="n">
        <v>2.1</v>
      </c>
      <c r="G45" s="435" t="n">
        <v>13.5</v>
      </c>
      <c r="H45" s="435" t="n">
        <v>1000</v>
      </c>
      <c r="I45" s="435" t="n">
        <v>862</v>
      </c>
      <c r="J45" s="435" t="n">
        <v>5.5</v>
      </c>
      <c r="K45" s="437" t="inlineStr">
        <is>
          <t>GIỮ</t>
        </is>
      </c>
      <c r="L45" s="438" t="n"/>
      <c r="M45" s="521" t="n">
        <v>5000</v>
      </c>
      <c r="N45" s="521" t="n">
        <v>3000</v>
      </c>
      <c r="O45" s="521" t="n">
        <v>1500</v>
      </c>
      <c r="P45" s="521" t="n">
        <v>8000</v>
      </c>
      <c r="Q45" s="521" t="n">
        <v>1000</v>
      </c>
      <c r="R45" s="521" t="n">
        <v>12.5</v>
      </c>
      <c r="S45" s="521" t="n">
        <v>12</v>
      </c>
      <c r="T45" s="521" t="n">
        <v>0.6</v>
      </c>
      <c r="U45" s="521" t="n">
        <v>1.5</v>
      </c>
      <c r="V45" s="521" t="n">
        <v>500</v>
      </c>
      <c r="W45" s="521" t="n">
        <v>12</v>
      </c>
      <c r="X45" s="521" t="n">
        <v>3</v>
      </c>
      <c r="Y45" s="521" t="inlineStr">
        <is>
          <t>Ban lãnh đạo</t>
        </is>
      </c>
      <c r="Z45" s="521" t="n">
        <v>65</v>
      </c>
      <c r="AA45" s="521" t="inlineStr">
        <is>
          <t>🟡 TB</t>
        </is>
      </c>
      <c r="AB45" s="521" t="n"/>
      <c r="AC45" s="522" t="inlineStr">
        <is>
          <t>HOSE</t>
        </is>
      </c>
      <c r="AD45" s="1024">
        <f>IF(A46='🎯 SÓI v42 — TRA CỨU &amp; DEEP DIV'!$C$4,"⭐ ĐANG XEM","")</f>
        <v/>
      </c>
    </row>
    <row r="46" ht="13.5" customHeight="1" s="981">
      <c r="A46" s="433" t="inlineStr">
        <is>
          <t>ICT</t>
        </is>
      </c>
      <c r="B46" s="431" t="inlineStr">
        <is>
          <t>Viettel Pay</t>
        </is>
      </c>
      <c r="C46" s="431" t="inlineStr">
        <is>
          <t>CN viễn thông</t>
        </is>
      </c>
      <c r="D46" s="520" t="n">
        <v>17300</v>
      </c>
      <c r="E46" s="431" t="n">
        <v>14.5</v>
      </c>
      <c r="F46" s="431" t="n">
        <v>1.8</v>
      </c>
      <c r="G46" s="431" t="n">
        <v>12.5</v>
      </c>
      <c r="H46" s="431" t="n">
        <v>1000</v>
      </c>
      <c r="I46" s="431" t="n">
        <v>1193</v>
      </c>
      <c r="J46" s="431" t="n">
        <v>15.5</v>
      </c>
      <c r="K46" s="524" t="inlineStr">
        <is>
          <t>MUA</t>
        </is>
      </c>
      <c r="L46" s="1104" t="inlineStr">
        <is>
          <t>Fintech Viettel</t>
        </is>
      </c>
      <c r="M46" s="521" t="n">
        <v>5000</v>
      </c>
      <c r="N46" s="521" t="n">
        <v>3000</v>
      </c>
      <c r="O46" s="521" t="n">
        <v>1500</v>
      </c>
      <c r="P46" s="521" t="n">
        <v>8000</v>
      </c>
      <c r="Q46" s="521" t="n">
        <v>1000</v>
      </c>
      <c r="R46" s="521" t="n">
        <v>12.5</v>
      </c>
      <c r="S46" s="521" t="n">
        <v>12</v>
      </c>
      <c r="T46" s="521" t="n">
        <v>0.6</v>
      </c>
      <c r="U46" s="521" t="n">
        <v>1.5</v>
      </c>
      <c r="V46" s="521" t="n">
        <v>500</v>
      </c>
      <c r="W46" s="521" t="n">
        <v>12</v>
      </c>
      <c r="X46" s="521" t="n">
        <v>3</v>
      </c>
      <c r="Y46" s="521" t="inlineStr">
        <is>
          <t>Ban lãnh đạo</t>
        </is>
      </c>
      <c r="Z46" s="521" t="n">
        <v>65</v>
      </c>
      <c r="AA46" s="521" t="inlineStr">
        <is>
          <t>🟡 TB</t>
        </is>
      </c>
      <c r="AB46" s="521" t="n"/>
      <c r="AC46" s="522" t="inlineStr">
        <is>
          <t>HOSE</t>
        </is>
      </c>
      <c r="AD46" s="1024">
        <f>IF(A47='🎯 SÓI v42 — TRA CỨU &amp; DEEP DIV'!$C$4,"⭐ ĐANG XEM","")</f>
        <v/>
      </c>
    </row>
    <row r="47" ht="13.5" customHeight="1" s="981">
      <c r="A47" s="437" t="inlineStr">
        <is>
          <t>CTR</t>
        </is>
      </c>
      <c r="B47" s="435" t="inlineStr">
        <is>
          <t>Viettel Construction</t>
        </is>
      </c>
      <c r="C47" s="435" t="inlineStr">
        <is>
          <t>Hạ tầng</t>
        </is>
      </c>
      <c r="D47" s="523" t="n">
        <v>90000</v>
      </c>
      <c r="E47" s="435" t="n">
        <v>15.5</v>
      </c>
      <c r="F47" s="435" t="n">
        <v>4.5</v>
      </c>
      <c r="G47" s="435" t="n">
        <v>18.5</v>
      </c>
      <c r="H47" s="435" t="n">
        <v>1000</v>
      </c>
      <c r="I47" s="435" t="n">
        <v>5800</v>
      </c>
      <c r="J47" s="435" t="n">
        <v>28.5</v>
      </c>
      <c r="K47" s="437" t="inlineStr">
        <is>
          <t>GIỮ</t>
        </is>
      </c>
      <c r="L47" s="438" t="inlineStr">
        <is>
          <t>5G + hạ tầng</t>
        </is>
      </c>
      <c r="M47" s="521" t="n">
        <v>2200</v>
      </c>
      <c r="N47" s="521" t="n">
        <v>1800</v>
      </c>
      <c r="O47" s="521" t="n">
        <v>1200</v>
      </c>
      <c r="P47" s="521" t="n">
        <v>8500</v>
      </c>
      <c r="Q47" s="521" t="n">
        <v>1100</v>
      </c>
      <c r="R47" s="521" t="n">
        <v>12.9</v>
      </c>
      <c r="S47" s="521" t="n">
        <v>25</v>
      </c>
      <c r="T47" s="521" t="n">
        <v>0.8</v>
      </c>
      <c r="U47" s="521" t="n">
        <v>2.5</v>
      </c>
      <c r="V47" s="521" t="n">
        <v>2000</v>
      </c>
      <c r="W47" s="521" t="n">
        <v>5.2</v>
      </c>
      <c r="X47" s="521" t="n">
        <v>12.5</v>
      </c>
      <c r="Y47" s="521" t="inlineStr">
        <is>
          <t>Nguyễn Thanh Nam</t>
        </is>
      </c>
      <c r="Z47" s="521" t="n">
        <v>78</v>
      </c>
      <c r="AA47" s="521" t="inlineStr">
        <is>
          <t>🟢 Cao</t>
        </is>
      </c>
      <c r="AB47" s="521" t="n"/>
      <c r="AC47" s="522" t="inlineStr">
        <is>
          <t>HOSE</t>
        </is>
      </c>
      <c r="AD47" s="1024">
        <f>IF(A48='🎯 SÓI v42 — TRA CỨU &amp; DEEP DIV'!$C$4,"⭐ ĐANG XEM","")</f>
        <v/>
      </c>
    </row>
    <row r="48" ht="13.5" customHeight="1" s="981">
      <c r="A48" s="433" t="inlineStr">
        <is>
          <t>HBC</t>
        </is>
      </c>
      <c r="B48" s="431" t="inlineStr">
        <is>
          <t>Hòa Bình Group</t>
        </is>
      </c>
      <c r="C48" s="431" t="inlineStr">
        <is>
          <t>Xây dựng</t>
        </is>
      </c>
      <c r="D48" s="520" t="n">
        <v>5000</v>
      </c>
      <c r="E48" s="431">
        <f>IFERROR(INDEX('📡 LIVE PRICE FEED'!$H$4:$H$300,MATCH(A49,'📡 LIVE PRICE FEED'!$A$4:$A$300,0)),12.5)</f>
        <v/>
      </c>
      <c r="F48" s="431" t="n">
        <v>0.65</v>
      </c>
      <c r="G48" s="431" t="n"/>
      <c r="H48" s="431" t="n"/>
      <c r="I48" s="431" t="n"/>
      <c r="J48" s="431" t="n">
        <v>18.5</v>
      </c>
      <c r="K48" s="524" t="inlineStr">
        <is>
          <t>MUA</t>
        </is>
      </c>
      <c r="L48" s="1104" t="inlineStr">
        <is>
          <t>Phục hồi mạnh</t>
        </is>
      </c>
      <c r="M48" s="521" t="n">
        <v>5000</v>
      </c>
      <c r="N48" s="521" t="n">
        <v>3000</v>
      </c>
      <c r="O48" s="521" t="n">
        <v>1500</v>
      </c>
      <c r="P48" s="521" t="n">
        <v>8000</v>
      </c>
      <c r="Q48" s="521" t="n">
        <v>1000</v>
      </c>
      <c r="R48" s="521" t="n">
        <v>12.5</v>
      </c>
      <c r="S48" s="521" t="n">
        <v>12</v>
      </c>
      <c r="T48" s="521" t="n">
        <v>0.6</v>
      </c>
      <c r="U48" s="521" t="n">
        <v>1.5</v>
      </c>
      <c r="V48" s="521" t="n">
        <v>500</v>
      </c>
      <c r="W48" s="521" t="n">
        <v>12</v>
      </c>
      <c r="X48" s="521" t="n">
        <v>3</v>
      </c>
      <c r="Y48" s="521" t="inlineStr">
        <is>
          <t>Ban lãnh đạo</t>
        </is>
      </c>
      <c r="Z48" s="521" t="n">
        <v>65</v>
      </c>
      <c r="AA48" s="521" t="inlineStr">
        <is>
          <t>🟡 TB</t>
        </is>
      </c>
      <c r="AB48" s="521" t="n"/>
      <c r="AC48" s="522" t="inlineStr">
        <is>
          <t>HOSE</t>
        </is>
      </c>
      <c r="AD48" s="1024">
        <f>IF(A49='🎯 SÓI v42 — TRA CỨU &amp; DEEP DIV'!$C$4,"⭐ ĐANG XEM","")</f>
        <v/>
      </c>
    </row>
    <row r="49" ht="13.5" customHeight="1" s="981">
      <c r="A49" s="437" t="inlineStr">
        <is>
          <t>CTD</t>
        </is>
      </c>
      <c r="B49" s="435" t="inlineStr">
        <is>
          <t>Coteccons</t>
        </is>
      </c>
      <c r="C49" s="435" t="inlineStr">
        <is>
          <t>Xây dựng</t>
        </is>
      </c>
      <c r="D49" s="523" t="n">
        <v>72200</v>
      </c>
      <c r="E49" s="435" t="n">
        <v>15.4</v>
      </c>
      <c r="F49" s="435" t="n">
        <v>0.95</v>
      </c>
      <c r="G49" s="435" t="n">
        <v>6.2</v>
      </c>
      <c r="H49" s="435" t="n">
        <v>1000</v>
      </c>
      <c r="I49" s="435" t="n">
        <v>4688</v>
      </c>
      <c r="J49" s="435" t="n">
        <v>32.5</v>
      </c>
      <c r="K49" s="524" t="inlineStr">
        <is>
          <t>MUA</t>
        </is>
      </c>
      <c r="L49" s="438" t="inlineStr">
        <is>
          <t>Top xây dựng VN</t>
        </is>
      </c>
      <c r="M49" s="521" t="n">
        <v>5000</v>
      </c>
      <c r="N49" s="521" t="n">
        <v>3000</v>
      </c>
      <c r="O49" s="521" t="n">
        <v>1500</v>
      </c>
      <c r="P49" s="521" t="n">
        <v>8000</v>
      </c>
      <c r="Q49" s="521" t="n">
        <v>1000</v>
      </c>
      <c r="R49" s="521" t="n">
        <v>12.5</v>
      </c>
      <c r="S49" s="521" t="n">
        <v>12</v>
      </c>
      <c r="T49" s="521" t="n">
        <v>0.6</v>
      </c>
      <c r="U49" s="521" t="n">
        <v>1.5</v>
      </c>
      <c r="V49" s="521" t="n">
        <v>500</v>
      </c>
      <c r="W49" s="521" t="n">
        <v>12</v>
      </c>
      <c r="X49" s="521" t="n">
        <v>3</v>
      </c>
      <c r="Y49" s="521" t="inlineStr">
        <is>
          <t>Ban lãnh đạo</t>
        </is>
      </c>
      <c r="Z49" s="521" t="n">
        <v>65</v>
      </c>
      <c r="AA49" s="521" t="inlineStr">
        <is>
          <t>🟡 TB</t>
        </is>
      </c>
      <c r="AB49" s="521" t="n"/>
      <c r="AC49" s="522" t="inlineStr">
        <is>
          <t>HOSE</t>
        </is>
      </c>
      <c r="AD49" s="1024">
        <f>IF(A50='🎯 SÓI v42 — TRA CỨU &amp; DEEP DIV'!$C$4,"⭐ ĐANG XEM","")</f>
        <v/>
      </c>
    </row>
    <row r="50" ht="13.5" customHeight="1" s="981">
      <c r="A50" s="433" t="inlineStr">
        <is>
          <t>VCG</t>
        </is>
      </c>
      <c r="B50" s="431" t="inlineStr">
        <is>
          <t>Vinaconex</t>
        </is>
      </c>
      <c r="C50" s="431" t="inlineStr">
        <is>
          <t>Xây dựng</t>
        </is>
      </c>
      <c r="D50" s="520" t="n">
        <v>20600</v>
      </c>
      <c r="E50" s="431" t="n">
        <v>14.6</v>
      </c>
      <c r="F50" s="431" t="n">
        <v>1.4</v>
      </c>
      <c r="G50" s="431" t="n">
        <v>9.800000000000001</v>
      </c>
      <c r="H50" s="431" t="n">
        <v>1000</v>
      </c>
      <c r="I50" s="431" t="n">
        <v>1411</v>
      </c>
      <c r="J50" s="431" t="n">
        <v>-5.5</v>
      </c>
      <c r="K50" s="433" t="inlineStr">
        <is>
          <t>GIỮ</t>
        </is>
      </c>
      <c r="L50" s="1104" t="n"/>
      <c r="M50" s="521" t="n">
        <v>5000</v>
      </c>
      <c r="N50" s="521" t="n">
        <v>3000</v>
      </c>
      <c r="O50" s="521" t="n">
        <v>1500</v>
      </c>
      <c r="P50" s="521" t="n">
        <v>8000</v>
      </c>
      <c r="Q50" s="521" t="n">
        <v>1000</v>
      </c>
      <c r="R50" s="521" t="n">
        <v>12.5</v>
      </c>
      <c r="S50" s="521" t="n">
        <v>12</v>
      </c>
      <c r="T50" s="521" t="n">
        <v>0.6</v>
      </c>
      <c r="U50" s="521" t="n">
        <v>1.5</v>
      </c>
      <c r="V50" s="521" t="n">
        <v>500</v>
      </c>
      <c r="W50" s="521" t="n">
        <v>12</v>
      </c>
      <c r="X50" s="521" t="n">
        <v>3</v>
      </c>
      <c r="Y50" s="521" t="inlineStr">
        <is>
          <t>Ban lãnh đạo</t>
        </is>
      </c>
      <c r="Z50" s="521" t="n">
        <v>65</v>
      </c>
      <c r="AA50" s="521" t="inlineStr">
        <is>
          <t>🟡 TB</t>
        </is>
      </c>
      <c r="AB50" s="521" t="n"/>
      <c r="AC50" s="522" t="inlineStr">
        <is>
          <t>HOSE</t>
        </is>
      </c>
      <c r="AD50" s="1024">
        <f>IF(A51='🎯 SÓI v42 — TRA CỨU &amp; DEEP DIV'!$C$4,"⭐ ĐANG XEM","")</f>
        <v/>
      </c>
    </row>
    <row r="51" ht="13.5" customHeight="1" s="981">
      <c r="A51" s="437" t="inlineStr">
        <is>
          <t>HHV</t>
        </is>
      </c>
      <c r="B51" s="435" t="inlineStr">
        <is>
          <t>Đèo Cả</t>
        </is>
      </c>
      <c r="C51" s="435" t="inlineStr">
        <is>
          <t>Hạ tầng</t>
        </is>
      </c>
      <c r="D51" s="523" t="n">
        <v>11800</v>
      </c>
      <c r="E51" s="435" t="n">
        <v>15.5</v>
      </c>
      <c r="F51" s="435" t="n">
        <v>1.2</v>
      </c>
      <c r="G51" s="435" t="n">
        <v>8.5</v>
      </c>
      <c r="H51" s="435" t="n">
        <v>1000</v>
      </c>
      <c r="I51" s="435" t="n">
        <v>761</v>
      </c>
      <c r="J51" s="435" t="n">
        <v>12.5</v>
      </c>
      <c r="K51" s="437" t="inlineStr">
        <is>
          <t>GIỮ</t>
        </is>
      </c>
      <c r="L51" s="438" t="inlineStr">
        <is>
          <t>BOT đèo cả</t>
        </is>
      </c>
      <c r="M51" s="521" t="n">
        <v>5000</v>
      </c>
      <c r="N51" s="521" t="n">
        <v>3000</v>
      </c>
      <c r="O51" s="521" t="n">
        <v>1500</v>
      </c>
      <c r="P51" s="521" t="n">
        <v>8000</v>
      </c>
      <c r="Q51" s="521" t="n">
        <v>1000</v>
      </c>
      <c r="R51" s="521" t="n">
        <v>12.5</v>
      </c>
      <c r="S51" s="521" t="n">
        <v>12</v>
      </c>
      <c r="T51" s="521" t="n">
        <v>0.6</v>
      </c>
      <c r="U51" s="521" t="n">
        <v>1.5</v>
      </c>
      <c r="V51" s="521" t="n">
        <v>500</v>
      </c>
      <c r="W51" s="521" t="n">
        <v>12</v>
      </c>
      <c r="X51" s="521" t="n">
        <v>3</v>
      </c>
      <c r="Y51" s="521" t="inlineStr">
        <is>
          <t>Ban lãnh đạo</t>
        </is>
      </c>
      <c r="Z51" s="521" t="n">
        <v>65</v>
      </c>
      <c r="AA51" s="521" t="inlineStr">
        <is>
          <t>🟡 TB</t>
        </is>
      </c>
      <c r="AB51" s="521" t="n"/>
      <c r="AC51" s="522" t="inlineStr">
        <is>
          <t>HOSE</t>
        </is>
      </c>
      <c r="AD51" s="1024">
        <f>IF(A52='🎯 SÓI v42 — TRA CỨU &amp; DEEP DIV'!$C$4,"⭐ ĐANG XEM","")</f>
        <v/>
      </c>
    </row>
    <row r="52" ht="13.5" customHeight="1" s="981">
      <c r="A52" s="433" t="inlineStr">
        <is>
          <t>LCG</t>
        </is>
      </c>
      <c r="B52" s="431" t="inlineStr">
        <is>
          <t>Licogi 16</t>
        </is>
      </c>
      <c r="C52" s="431" t="inlineStr">
        <is>
          <t>Xây dựng</t>
        </is>
      </c>
      <c r="D52" s="520" t="n">
        <v>9180</v>
      </c>
      <c r="E52" s="431" t="n">
        <v>18.4</v>
      </c>
      <c r="F52" s="431" t="n">
        <v>1.2</v>
      </c>
      <c r="G52" s="431" t="n">
        <v>6.5</v>
      </c>
      <c r="H52" s="431" t="n">
        <v>1000</v>
      </c>
      <c r="I52" s="431" t="n">
        <v>499</v>
      </c>
      <c r="J52" s="431" t="n">
        <v>8.5</v>
      </c>
      <c r="K52" s="433" t="inlineStr">
        <is>
          <t>GIỮ</t>
        </is>
      </c>
      <c r="L52" s="1104" t="n"/>
      <c r="M52" s="521" t="n">
        <v>5000</v>
      </c>
      <c r="N52" s="521" t="n">
        <v>3000</v>
      </c>
      <c r="O52" s="521" t="n">
        <v>1500</v>
      </c>
      <c r="P52" s="521" t="n">
        <v>8000</v>
      </c>
      <c r="Q52" s="521" t="n">
        <v>1000</v>
      </c>
      <c r="R52" s="521" t="n">
        <v>12.5</v>
      </c>
      <c r="S52" s="521" t="n">
        <v>12</v>
      </c>
      <c r="T52" s="521" t="n">
        <v>0.6</v>
      </c>
      <c r="U52" s="521" t="n">
        <v>1.5</v>
      </c>
      <c r="V52" s="521" t="n">
        <v>500</v>
      </c>
      <c r="W52" s="521" t="n">
        <v>12</v>
      </c>
      <c r="X52" s="521" t="n">
        <v>3</v>
      </c>
      <c r="Y52" s="521" t="inlineStr">
        <is>
          <t>Ban lãnh đạo</t>
        </is>
      </c>
      <c r="Z52" s="521" t="n">
        <v>65</v>
      </c>
      <c r="AA52" s="521" t="inlineStr">
        <is>
          <t>🟡 TB</t>
        </is>
      </c>
      <c r="AB52" s="521" t="n"/>
      <c r="AC52" s="522" t="inlineStr">
        <is>
          <t>HOSE</t>
        </is>
      </c>
      <c r="AD52" s="1024">
        <f>IF(A53='🎯 SÓI v42 — TRA CỨU &amp; DEEP DIV'!$C$4,"⭐ ĐANG XEM","")</f>
        <v/>
      </c>
    </row>
    <row r="53" ht="13.5" customHeight="1" s="981">
      <c r="A53" s="437" t="inlineStr">
        <is>
          <t>PC1</t>
        </is>
      </c>
      <c r="B53" s="435" t="inlineStr">
        <is>
          <t>PC1 Group</t>
        </is>
      </c>
      <c r="C53" s="435" t="inlineStr">
        <is>
          <t>Xây dựng</t>
        </is>
      </c>
      <c r="D53" s="523" t="n">
        <v>19050</v>
      </c>
      <c r="E53" s="435" t="n">
        <v>13.5</v>
      </c>
      <c r="F53" s="435" t="n">
        <v>1.5</v>
      </c>
      <c r="G53" s="435" t="n">
        <v>11.5</v>
      </c>
      <c r="H53" s="435" t="n">
        <v>5715</v>
      </c>
      <c r="I53" s="435" t="n">
        <v>1411</v>
      </c>
      <c r="J53" s="435" t="n">
        <v>15.5</v>
      </c>
      <c r="K53" s="437" t="inlineStr">
        <is>
          <t>GIỮ</t>
        </is>
      </c>
      <c r="L53" s="438" t="inlineStr">
        <is>
          <t>Cơ điện + điện</t>
        </is>
      </c>
      <c r="M53" s="521" t="n">
        <v>5000</v>
      </c>
      <c r="N53" s="521" t="n">
        <v>3000</v>
      </c>
      <c r="O53" s="521" t="n">
        <v>1500</v>
      </c>
      <c r="P53" s="521" t="n">
        <v>8000</v>
      </c>
      <c r="Q53" s="521" t="n">
        <v>1000</v>
      </c>
      <c r="R53" s="521" t="n">
        <v>12.5</v>
      </c>
      <c r="S53" s="521" t="n">
        <v>12</v>
      </c>
      <c r="T53" s="521" t="n">
        <v>0.6</v>
      </c>
      <c r="U53" s="521" t="n">
        <v>1.5</v>
      </c>
      <c r="V53" s="521" t="n">
        <v>500</v>
      </c>
      <c r="W53" s="521" t="n">
        <v>12</v>
      </c>
      <c r="X53" s="521" t="n">
        <v>3</v>
      </c>
      <c r="Y53" s="521" t="inlineStr">
        <is>
          <t>Ban lãnh đạo</t>
        </is>
      </c>
      <c r="Z53" s="521" t="n">
        <v>65</v>
      </c>
      <c r="AA53" s="521" t="inlineStr">
        <is>
          <t>🟡 TB</t>
        </is>
      </c>
      <c r="AB53" s="521" t="n"/>
      <c r="AC53" s="522" t="inlineStr">
        <is>
          <t>HOSE</t>
        </is>
      </c>
      <c r="AD53" s="1024">
        <f>IF(A54='🎯 SÓI v42 — TRA CỨU &amp; DEEP DIV'!$C$4,"⭐ ĐANG XEM","")</f>
        <v/>
      </c>
    </row>
    <row r="54" ht="13.5" customHeight="1" s="981">
      <c r="A54" s="433" t="inlineStr">
        <is>
          <t>REE</t>
        </is>
      </c>
      <c r="B54" s="431" t="inlineStr">
        <is>
          <t>REE Corp</t>
        </is>
      </c>
      <c r="C54" s="431" t="inlineStr">
        <is>
          <t>Cơ điện</t>
        </is>
      </c>
      <c r="D54" s="520" t="n">
        <v>53000</v>
      </c>
      <c r="E54" s="431" t="n">
        <v>12.4</v>
      </c>
      <c r="F54" s="431" t="n">
        <v>1.4</v>
      </c>
      <c r="G54" s="431" t="n">
        <v>11.5</v>
      </c>
      <c r="H54" s="431" t="n">
        <v>24910</v>
      </c>
      <c r="I54" s="431" t="n">
        <v>4274</v>
      </c>
      <c r="J54" s="431" t="n">
        <v>5.5</v>
      </c>
      <c r="K54" s="524" t="inlineStr">
        <is>
          <t>MUA</t>
        </is>
      </c>
      <c r="L54" s="1104" t="inlineStr">
        <is>
          <t>Cơ điện + nước</t>
        </is>
      </c>
      <c r="M54" s="521" t="n">
        <v>5000</v>
      </c>
      <c r="N54" s="521" t="n">
        <v>3000</v>
      </c>
      <c r="O54" s="521" t="n">
        <v>1500</v>
      </c>
      <c r="P54" s="521" t="n">
        <v>8000</v>
      </c>
      <c r="Q54" s="521" t="n">
        <v>1000</v>
      </c>
      <c r="R54" s="521" t="n">
        <v>12.5</v>
      </c>
      <c r="S54" s="521" t="n">
        <v>12</v>
      </c>
      <c r="T54" s="521" t="n">
        <v>0.6</v>
      </c>
      <c r="U54" s="521" t="n">
        <v>1.5</v>
      </c>
      <c r="V54" s="521" t="n">
        <v>500</v>
      </c>
      <c r="W54" s="521" t="n">
        <v>12</v>
      </c>
      <c r="X54" s="521" t="n">
        <v>3</v>
      </c>
      <c r="Y54" s="521" t="inlineStr">
        <is>
          <t>Ban lãnh đạo</t>
        </is>
      </c>
      <c r="Z54" s="521" t="n">
        <v>65</v>
      </c>
      <c r="AA54" s="521" t="inlineStr">
        <is>
          <t>🟡 TB</t>
        </is>
      </c>
      <c r="AB54" s="521" t="n"/>
      <c r="AC54" s="522" t="inlineStr">
        <is>
          <t>HOSE</t>
        </is>
      </c>
      <c r="AD54" s="1024">
        <f>IF(A55='🎯 SÓI v42 — TRA CỨU &amp; DEEP DIV'!$C$4,"⭐ ĐANG XEM","")</f>
        <v/>
      </c>
    </row>
    <row r="55" ht="13.5" customHeight="1" s="981">
      <c r="A55" s="437" t="inlineStr">
        <is>
          <t>ROS</t>
        </is>
      </c>
      <c r="B55" s="435" t="inlineStr">
        <is>
          <t>FLC Faros</t>
        </is>
      </c>
      <c r="C55" s="435" t="inlineStr">
        <is>
          <t>Xây dựng</t>
        </is>
      </c>
      <c r="D55" s="523" t="n">
        <v>2510</v>
      </c>
      <c r="E55" s="435">
        <f>IFERROR(INDEX('📡 LIVE PRICE FEED'!$H$4:$H$300,MATCH(A56,'📡 LIVE PRICE FEED'!$A$4:$A$300,0)),0)</f>
        <v/>
      </c>
      <c r="F55" s="435" t="n">
        <v>0.1</v>
      </c>
      <c r="G55" s="435" t="n"/>
      <c r="H55" s="435" t="n">
        <v>2800</v>
      </c>
      <c r="I55" s="435" t="n"/>
      <c r="J55" s="435" t="n">
        <v>-45</v>
      </c>
      <c r="K55" s="527" t="inlineStr">
        <is>
          <t>TRÁNH</t>
        </is>
      </c>
      <c r="L55" s="438" t="inlineStr">
        <is>
          <t>FLC group</t>
        </is>
      </c>
      <c r="M55" s="521" t="n">
        <v>5000</v>
      </c>
      <c r="N55" s="521" t="n">
        <v>3000</v>
      </c>
      <c r="O55" s="521" t="n">
        <v>1500</v>
      </c>
      <c r="P55" s="521" t="n">
        <v>8000</v>
      </c>
      <c r="Q55" s="521" t="n">
        <v>1000</v>
      </c>
      <c r="R55" s="521" t="n">
        <v>12.5</v>
      </c>
      <c r="S55" s="521" t="n">
        <v>12</v>
      </c>
      <c r="T55" s="521" t="n">
        <v>0.6</v>
      </c>
      <c r="U55" s="521" t="n">
        <v>1.5</v>
      </c>
      <c r="V55" s="521" t="n">
        <v>500</v>
      </c>
      <c r="W55" s="521" t="n">
        <v>12</v>
      </c>
      <c r="X55" s="521" t="n">
        <v>3</v>
      </c>
      <c r="Y55" s="521" t="inlineStr">
        <is>
          <t>Ban lãnh đạo</t>
        </is>
      </c>
      <c r="Z55" s="521" t="n">
        <v>65</v>
      </c>
      <c r="AA55" s="521" t="inlineStr">
        <is>
          <t>🟡 TB</t>
        </is>
      </c>
      <c r="AB55" s="521" t="n"/>
      <c r="AC55" s="522" t="inlineStr">
        <is>
          <t>HOSE</t>
        </is>
      </c>
      <c r="AD55" s="1024">
        <f>IF(A56='🎯 SÓI v42 — TRA CỨU &amp; DEEP DIV'!$C$4,"⭐ ĐANG XEM","")</f>
        <v/>
      </c>
    </row>
    <row r="56" ht="13.5" customHeight="1" s="981">
      <c r="A56" s="433" t="inlineStr">
        <is>
          <t>GAS</t>
        </is>
      </c>
      <c r="B56" s="431" t="inlineStr">
        <is>
          <t>PV Gas</t>
        </is>
      </c>
      <c r="C56" s="431" t="inlineStr">
        <is>
          <t>Dầu khí</t>
        </is>
      </c>
      <c r="D56" s="520" t="n">
        <v>81700</v>
      </c>
      <c r="E56" s="431" t="n">
        <v>12.6</v>
      </c>
      <c r="F56" s="431" t="n">
        <v>2.6</v>
      </c>
      <c r="G56" s="431" t="n">
        <v>17.8</v>
      </c>
      <c r="H56" s="431" t="n">
        <v>155230</v>
      </c>
      <c r="I56" s="431" t="n">
        <v>6500</v>
      </c>
      <c r="J56" s="431" t="n">
        <v>15.5</v>
      </c>
      <c r="K56" s="524" t="inlineStr">
        <is>
          <t>MUA</t>
        </is>
      </c>
      <c r="L56" s="1104" t="inlineStr">
        <is>
          <t>Cổ tức 6%</t>
        </is>
      </c>
      <c r="M56" s="521" t="n">
        <v>28000</v>
      </c>
      <c r="N56" s="521" t="n">
        <v>12000</v>
      </c>
      <c r="O56" s="521" t="n">
        <v>18000</v>
      </c>
      <c r="P56" s="521" t="n">
        <v>78000</v>
      </c>
      <c r="Q56" s="521" t="n">
        <v>12000</v>
      </c>
      <c r="R56" s="521" t="n">
        <v>15.4</v>
      </c>
      <c r="S56" s="521" t="n">
        <v>28</v>
      </c>
      <c r="T56" s="521" t="n">
        <v>0.4</v>
      </c>
      <c r="U56" s="521" t="n">
        <v>5.5</v>
      </c>
      <c r="V56" s="521" t="n">
        <v>4290</v>
      </c>
      <c r="W56" s="521" t="n">
        <v>5.2</v>
      </c>
      <c r="X56" s="521" t="n">
        <v>0.5</v>
      </c>
      <c r="Y56" s="521" t="inlineStr">
        <is>
          <t>Phạm Văn Phong</t>
        </is>
      </c>
      <c r="Z56" s="521" t="n">
        <v>80</v>
      </c>
      <c r="AA56" s="521" t="inlineStr">
        <is>
          <t>🟢 Cao</t>
        </is>
      </c>
      <c r="AB56" s="521" t="n"/>
      <c r="AC56" s="522" t="inlineStr">
        <is>
          <t>HOSE</t>
        </is>
      </c>
      <c r="AD56" s="1024">
        <f>IF(A57='🎯 SÓI v42 — TRA CỨU &amp; DEEP DIV'!$C$4,"⭐ ĐANG XEM","")</f>
        <v/>
      </c>
    </row>
    <row r="57" ht="13.5" customHeight="1" s="981">
      <c r="A57" s="437" t="inlineStr">
        <is>
          <t>PLX</t>
        </is>
      </c>
      <c r="B57" s="435" t="inlineStr">
        <is>
          <t>Petrolimex</t>
        </is>
      </c>
      <c r="C57" s="435" t="inlineStr">
        <is>
          <t>Dầu khí</t>
        </is>
      </c>
      <c r="D57" s="523" t="n">
        <v>39450</v>
      </c>
      <c r="E57" s="435" t="n">
        <v>10.4</v>
      </c>
      <c r="F57" s="435" t="n">
        <v>2.1</v>
      </c>
      <c r="G57" s="435" t="n">
        <v>12.5</v>
      </c>
      <c r="H57" s="435" t="n">
        <v>51285</v>
      </c>
      <c r="I57" s="435" t="n">
        <v>3800</v>
      </c>
      <c r="J57" s="435" t="n">
        <v>-5.5</v>
      </c>
      <c r="K57" s="437" t="inlineStr">
        <is>
          <t>GIỮ</t>
        </is>
      </c>
      <c r="L57" s="438" t="inlineStr">
        <is>
          <t>Xăng dầu lớn nhất</t>
        </is>
      </c>
      <c r="M57" s="521" t="n">
        <v>18000</v>
      </c>
      <c r="N57" s="521" t="n">
        <v>8500</v>
      </c>
      <c r="O57" s="521" t="n">
        <v>8500</v>
      </c>
      <c r="P57" s="521" t="n">
        <v>225000</v>
      </c>
      <c r="Q57" s="521" t="n">
        <v>2500</v>
      </c>
      <c r="R57" s="521" t="n">
        <v>1.1</v>
      </c>
      <c r="S57" s="521" t="n">
        <v>8</v>
      </c>
      <c r="T57" s="521" t="n">
        <v>0.5</v>
      </c>
      <c r="U57" s="521" t="n">
        <v>3</v>
      </c>
      <c r="V57" s="521" t="n">
        <v>900</v>
      </c>
      <c r="W57" s="521" t="n">
        <v>5.5</v>
      </c>
      <c r="X57" s="521" t="n">
        <v>0.8</v>
      </c>
      <c r="Y57" s="521" t="inlineStr">
        <is>
          <t>Lê Mạnh Hùng</t>
        </is>
      </c>
      <c r="Z57" s="521" t="n">
        <v>70</v>
      </c>
      <c r="AA57" s="521" t="inlineStr">
        <is>
          <t>🟡 TB</t>
        </is>
      </c>
      <c r="AB57" s="521" t="n"/>
      <c r="AC57" s="522" t="inlineStr">
        <is>
          <t>HOSE</t>
        </is>
      </c>
      <c r="AD57" s="1024">
        <f>IF(A58='🎯 SÓI v42 — TRA CỨU &amp; DEEP DIV'!$C$4,"⭐ ĐANG XEM","")</f>
        <v/>
      </c>
    </row>
    <row r="58" ht="13.5" customHeight="1" s="981">
      <c r="A58" s="433" t="inlineStr">
        <is>
          <t>PVD</t>
        </is>
      </c>
      <c r="B58" s="431" t="inlineStr">
        <is>
          <t>PV Drilling</t>
        </is>
      </c>
      <c r="C58" s="431" t="inlineStr">
        <is>
          <t>Dầu khí</t>
        </is>
      </c>
      <c r="D58" s="520" t="n">
        <v>30000</v>
      </c>
      <c r="E58" s="431" t="n">
        <v>15.8</v>
      </c>
      <c r="F58" s="431" t="n">
        <v>0.95</v>
      </c>
      <c r="G58" s="431" t="n">
        <v>6.2</v>
      </c>
      <c r="H58" s="431" t="n">
        <v>23400</v>
      </c>
      <c r="I58" s="431" t="n">
        <v>1899</v>
      </c>
      <c r="J58" s="431" t="n">
        <v>15.5</v>
      </c>
      <c r="K58" s="433" t="inlineStr">
        <is>
          <t>GIỮ</t>
        </is>
      </c>
      <c r="L58" s="1104" t="inlineStr">
        <is>
          <t>Khoan dầu</t>
        </is>
      </c>
      <c r="M58" s="521" t="n">
        <v>8500</v>
      </c>
      <c r="N58" s="521" t="n">
        <v>5500</v>
      </c>
      <c r="O58" s="521" t="n">
        <v>2800</v>
      </c>
      <c r="P58" s="521" t="n">
        <v>8500</v>
      </c>
      <c r="Q58" s="521" t="n">
        <v>1200</v>
      </c>
      <c r="R58" s="521" t="n">
        <v>14.1</v>
      </c>
      <c r="S58" s="521" t="n">
        <v>12</v>
      </c>
      <c r="T58" s="521" t="n">
        <v>0.6</v>
      </c>
      <c r="U58" s="521" t="n">
        <v>0</v>
      </c>
      <c r="V58" s="521" t="n">
        <v>0</v>
      </c>
      <c r="W58" s="521" t="n">
        <v>28.5</v>
      </c>
      <c r="X58" s="521" t="n">
        <v>2.5</v>
      </c>
      <c r="Y58" s="521" t="inlineStr">
        <is>
          <t>Dương Ngọc Tụ</t>
        </is>
      </c>
      <c r="Z58" s="521" t="n">
        <v>68</v>
      </c>
      <c r="AA58" s="521" t="inlineStr">
        <is>
          <t>🟡 TB</t>
        </is>
      </c>
      <c r="AB58" s="521" t="n"/>
      <c r="AC58" s="522" t="inlineStr">
        <is>
          <t>HOSE</t>
        </is>
      </c>
      <c r="AD58" s="1024">
        <f>IF(A59='🎯 SÓI v42 — TRA CỨU &amp; DEEP DIV'!$C$4,"⭐ ĐANG XEM","")</f>
        <v/>
      </c>
    </row>
    <row r="59" ht="13.5" customHeight="1" s="981">
      <c r="A59" s="437" t="inlineStr">
        <is>
          <t>PVS</t>
        </is>
      </c>
      <c r="B59" s="435" t="inlineStr">
        <is>
          <t>PTSC</t>
        </is>
      </c>
      <c r="C59" s="435" t="inlineStr">
        <is>
          <t>Dầu khí</t>
        </is>
      </c>
      <c r="D59" s="523" t="n">
        <v>38700</v>
      </c>
      <c r="E59" s="435" t="n">
        <v>12.4</v>
      </c>
      <c r="F59" s="435" t="n">
        <v>1.3</v>
      </c>
      <c r="G59" s="435" t="n">
        <v>10.5</v>
      </c>
      <c r="H59" s="435" t="n">
        <v>1000</v>
      </c>
      <c r="I59" s="435" t="n">
        <v>3121</v>
      </c>
      <c r="J59" s="435" t="n">
        <v>22.5</v>
      </c>
      <c r="K59" s="524" t="inlineStr">
        <is>
          <t>MUA</t>
        </is>
      </c>
      <c r="L59" s="438" t="inlineStr">
        <is>
          <t>Dịch vụ dầu khí</t>
        </is>
      </c>
      <c r="M59" s="521" t="n">
        <v>5000</v>
      </c>
      <c r="N59" s="521" t="n">
        <v>3000</v>
      </c>
      <c r="O59" s="521" t="n">
        <v>1500</v>
      </c>
      <c r="P59" s="521" t="n">
        <v>8000</v>
      </c>
      <c r="Q59" s="521" t="n">
        <v>1000</v>
      </c>
      <c r="R59" s="521" t="n">
        <v>12.5</v>
      </c>
      <c r="S59" s="521" t="n">
        <v>12</v>
      </c>
      <c r="T59" s="521" t="n">
        <v>0.6</v>
      </c>
      <c r="U59" s="521" t="n">
        <v>1.5</v>
      </c>
      <c r="V59" s="521" t="n">
        <v>500</v>
      </c>
      <c r="W59" s="521" t="n">
        <v>12</v>
      </c>
      <c r="X59" s="521" t="n">
        <v>3</v>
      </c>
      <c r="Y59" s="521" t="inlineStr">
        <is>
          <t>Ban lãnh đạo</t>
        </is>
      </c>
      <c r="Z59" s="521" t="n">
        <v>65</v>
      </c>
      <c r="AA59" s="521" t="inlineStr">
        <is>
          <t>🟡 TB</t>
        </is>
      </c>
      <c r="AB59" s="521" t="n"/>
      <c r="AC59" s="528" t="inlineStr">
        <is>
          <t>HNX</t>
        </is>
      </c>
      <c r="AD59" s="1024">
        <f>IF(A60='🎯 SÓI v42 — TRA CỨU &amp; DEEP DIV'!$C$4,"⭐ ĐANG XEM","")</f>
        <v/>
      </c>
    </row>
    <row r="60" ht="13.5" customHeight="1" s="981">
      <c r="A60" s="433" t="inlineStr">
        <is>
          <t>BSR</t>
        </is>
      </c>
      <c r="B60" s="431" t="inlineStr">
        <is>
          <t>BSR</t>
        </is>
      </c>
      <c r="C60" s="431" t="inlineStr">
        <is>
          <t>Lọc dầu</t>
        </is>
      </c>
      <c r="D60" s="520" t="n">
        <v>28500</v>
      </c>
      <c r="E60" s="431" t="n">
        <v>7.8</v>
      </c>
      <c r="F60" s="431" t="n">
        <v>1.05</v>
      </c>
      <c r="G60" s="431" t="n">
        <v>13.5</v>
      </c>
      <c r="H60" s="431" t="n">
        <v>1000</v>
      </c>
      <c r="I60" s="431" t="n">
        <v>3654</v>
      </c>
      <c r="J60" s="431" t="n">
        <v>12.5</v>
      </c>
      <c r="K60" s="524" t="inlineStr">
        <is>
          <t>MUA</t>
        </is>
      </c>
      <c r="L60" s="1104" t="inlineStr">
        <is>
          <t>Dung Quất</t>
        </is>
      </c>
      <c r="M60" s="521" t="n">
        <v>5000</v>
      </c>
      <c r="N60" s="521" t="n">
        <v>3000</v>
      </c>
      <c r="O60" s="521" t="n">
        <v>1500</v>
      </c>
      <c r="P60" s="521" t="n">
        <v>8000</v>
      </c>
      <c r="Q60" s="521" t="n">
        <v>1000</v>
      </c>
      <c r="R60" s="521" t="n">
        <v>12.5</v>
      </c>
      <c r="S60" s="521" t="n">
        <v>12</v>
      </c>
      <c r="T60" s="521" t="n">
        <v>0.6</v>
      </c>
      <c r="U60" s="521" t="n">
        <v>1.5</v>
      </c>
      <c r="V60" s="521" t="n">
        <v>500</v>
      </c>
      <c r="W60" s="521" t="n">
        <v>12</v>
      </c>
      <c r="X60" s="521" t="n">
        <v>3</v>
      </c>
      <c r="Y60" s="521" t="inlineStr">
        <is>
          <t>Ban lãnh đạo</t>
        </is>
      </c>
      <c r="Z60" s="521" t="n">
        <v>65</v>
      </c>
      <c r="AA60" s="521" t="inlineStr">
        <is>
          <t>🟡 TB</t>
        </is>
      </c>
      <c r="AB60" s="521" t="n"/>
      <c r="AC60" s="528" t="inlineStr">
        <is>
          <t>UPCoM</t>
        </is>
      </c>
      <c r="AD60" s="1024">
        <f>IF(A61='🎯 SÓI v42 — TRA CỨU &amp; DEEP DIV'!$C$4,"⭐ ĐANG XEM","")</f>
        <v/>
      </c>
    </row>
    <row r="61" ht="13.5" customHeight="1" s="981">
      <c r="A61" s="437" t="inlineStr">
        <is>
          <t>OIL</t>
        </is>
      </c>
      <c r="B61" s="435" t="inlineStr">
        <is>
          <t>PV Oil</t>
        </is>
      </c>
      <c r="C61" s="435" t="inlineStr">
        <is>
          <t>Dầu khí</t>
        </is>
      </c>
      <c r="D61" s="523" t="n">
        <v>14700</v>
      </c>
      <c r="E61" s="435" t="n">
        <v>11.4</v>
      </c>
      <c r="F61" s="435" t="n">
        <v>1.2</v>
      </c>
      <c r="G61" s="435" t="n">
        <v>10.7</v>
      </c>
      <c r="H61" s="435" t="n">
        <v>1000</v>
      </c>
      <c r="I61" s="435" t="n">
        <v>1289</v>
      </c>
      <c r="J61" s="435" t="n">
        <v>8.5</v>
      </c>
      <c r="K61" s="437" t="inlineStr">
        <is>
          <t>GIỮ</t>
        </is>
      </c>
      <c r="L61" s="438" t="n"/>
      <c r="M61" s="521" t="n">
        <v>5000</v>
      </c>
      <c r="N61" s="521" t="n">
        <v>3000</v>
      </c>
      <c r="O61" s="521" t="n">
        <v>1500</v>
      </c>
      <c r="P61" s="521" t="n">
        <v>8000</v>
      </c>
      <c r="Q61" s="521" t="n">
        <v>1000</v>
      </c>
      <c r="R61" s="521" t="n">
        <v>12.5</v>
      </c>
      <c r="S61" s="521" t="n">
        <v>12</v>
      </c>
      <c r="T61" s="521" t="n">
        <v>0.6</v>
      </c>
      <c r="U61" s="521" t="n">
        <v>1.5</v>
      </c>
      <c r="V61" s="521" t="n">
        <v>500</v>
      </c>
      <c r="W61" s="521" t="n">
        <v>12</v>
      </c>
      <c r="X61" s="521" t="n">
        <v>3</v>
      </c>
      <c r="Y61" s="521" t="inlineStr">
        <is>
          <t>Ban lãnh đạo</t>
        </is>
      </c>
      <c r="Z61" s="521" t="n">
        <v>65</v>
      </c>
      <c r="AA61" s="521" t="inlineStr">
        <is>
          <t>🟡 TB</t>
        </is>
      </c>
      <c r="AB61" s="521" t="n"/>
      <c r="AC61" s="528" t="inlineStr">
        <is>
          <t>UPCoM</t>
        </is>
      </c>
      <c r="AD61" s="1024">
        <f>IF(A62='🎯 SÓI v42 — TRA CỨU &amp; DEEP DIV'!$C$4,"⭐ ĐANG XEM","")</f>
        <v/>
      </c>
    </row>
    <row r="62" ht="13.5" customHeight="1" s="981">
      <c r="A62" s="433" t="inlineStr">
        <is>
          <t>POW</t>
        </is>
      </c>
      <c r="B62" s="431" t="inlineStr">
        <is>
          <t>PV Power</t>
        </is>
      </c>
      <c r="C62" s="431" t="inlineStr">
        <is>
          <t>Điện</t>
        </is>
      </c>
      <c r="D62" s="520" t="n">
        <v>13850</v>
      </c>
      <c r="E62" s="431" t="n">
        <v>15.7</v>
      </c>
      <c r="F62" s="431" t="n">
        <v>1</v>
      </c>
      <c r="G62" s="431" t="n">
        <v>6.5</v>
      </c>
      <c r="H62" s="431" t="n">
        <v>31855</v>
      </c>
      <c r="I62" s="431" t="n">
        <v>882</v>
      </c>
      <c r="J62" s="431" t="n">
        <v>-5.5</v>
      </c>
      <c r="K62" s="433" t="inlineStr">
        <is>
          <t>GIỮ</t>
        </is>
      </c>
      <c r="L62" s="1104" t="inlineStr">
        <is>
          <t>Phát điện khí</t>
        </is>
      </c>
      <c r="M62" s="521" t="n">
        <v>5000</v>
      </c>
      <c r="N62" s="521" t="n">
        <v>3000</v>
      </c>
      <c r="O62" s="521" t="n">
        <v>1500</v>
      </c>
      <c r="P62" s="521" t="n">
        <v>8000</v>
      </c>
      <c r="Q62" s="521" t="n">
        <v>1000</v>
      </c>
      <c r="R62" s="521" t="n">
        <v>12.5</v>
      </c>
      <c r="S62" s="521" t="n">
        <v>12</v>
      </c>
      <c r="T62" s="521" t="n">
        <v>0.6</v>
      </c>
      <c r="U62" s="521" t="n">
        <v>1.5</v>
      </c>
      <c r="V62" s="521" t="n">
        <v>500</v>
      </c>
      <c r="W62" s="521" t="n">
        <v>12</v>
      </c>
      <c r="X62" s="521" t="n">
        <v>3</v>
      </c>
      <c r="Y62" s="521" t="inlineStr">
        <is>
          <t>Ban lãnh đạo</t>
        </is>
      </c>
      <c r="Z62" s="521" t="n">
        <v>65</v>
      </c>
      <c r="AA62" s="521" t="inlineStr">
        <is>
          <t>🟡 TB</t>
        </is>
      </c>
      <c r="AB62" s="521" t="n"/>
      <c r="AC62" s="522" t="inlineStr">
        <is>
          <t>HOSE</t>
        </is>
      </c>
      <c r="AD62" s="1024">
        <f>IF(A63='🎯 SÓI v42 — TRA CỨU &amp; DEEP DIV'!$C$4,"⭐ ĐANG XEM","")</f>
        <v/>
      </c>
    </row>
    <row r="63" ht="13.5" customHeight="1" s="981">
      <c r="A63" s="437" t="inlineStr">
        <is>
          <t>HPG</t>
        </is>
      </c>
      <c r="B63" s="435" t="inlineStr">
        <is>
          <t>Hòa Phát</t>
        </is>
      </c>
      <c r="C63" s="435" t="inlineStr">
        <is>
          <t>Thép</t>
        </is>
      </c>
      <c r="D63" s="523" t="n">
        <v>24000</v>
      </c>
      <c r="E63" s="435" t="n">
        <v>11.4</v>
      </c>
      <c r="F63" s="435" t="n">
        <v>1.6</v>
      </c>
      <c r="G63" s="435" t="n">
        <v>11.4</v>
      </c>
      <c r="H63" s="435" t="n">
        <v>156000</v>
      </c>
      <c r="I63" s="435" t="n">
        <v>2100</v>
      </c>
      <c r="J63" s="435" t="n">
        <v>-2.5</v>
      </c>
      <c r="K63" s="437" t="inlineStr">
        <is>
          <t>GIỮ</t>
        </is>
      </c>
      <c r="L63" s="438" t="inlineStr">
        <is>
          <t>Top thép VN</t>
        </is>
      </c>
      <c r="M63" s="521" t="n">
        <v>45000</v>
      </c>
      <c r="N63" s="521" t="n">
        <v>55000</v>
      </c>
      <c r="O63" s="521" t="n">
        <v>25000</v>
      </c>
      <c r="P63" s="521" t="n">
        <v>185000</v>
      </c>
      <c r="Q63" s="521" t="n">
        <v>8500</v>
      </c>
      <c r="R63" s="521" t="n">
        <v>4.6</v>
      </c>
      <c r="S63" s="521" t="n">
        <v>15</v>
      </c>
      <c r="T63" s="521" t="n">
        <v>1.2</v>
      </c>
      <c r="U63" s="521" t="n">
        <v>2.5</v>
      </c>
      <c r="V63" s="521" t="n">
        <v>600</v>
      </c>
      <c r="W63" s="521" t="n">
        <v>14.5</v>
      </c>
      <c r="X63" s="521" t="n">
        <v>8.5</v>
      </c>
      <c r="Y63" s="521" t="inlineStr">
        <is>
          <t>Trần Đình Long</t>
        </is>
      </c>
      <c r="Z63" s="521" t="n">
        <v>72</v>
      </c>
      <c r="AA63" s="521" t="inlineStr">
        <is>
          <t>🟢 Tốt</t>
        </is>
      </c>
      <c r="AB63" s="521" t="n"/>
      <c r="AC63" s="522" t="inlineStr">
        <is>
          <t>HOSE</t>
        </is>
      </c>
      <c r="AD63" s="1024">
        <f>IF(A64='🎯 SÓI v42 — TRA CỨU &amp; DEEP DIV'!$C$4,"⭐ ĐANG XEM","")</f>
        <v/>
      </c>
    </row>
    <row r="64" ht="13.5" customHeight="1" s="981">
      <c r="A64" s="433" t="inlineStr">
        <is>
          <t>HSG</t>
        </is>
      </c>
      <c r="B64" s="431" t="inlineStr">
        <is>
          <t>Tôn Hoa Sen</t>
        </is>
      </c>
      <c r="C64" s="431" t="inlineStr">
        <is>
          <t>Thép</t>
        </is>
      </c>
      <c r="D64" s="520" t="n">
        <v>12550</v>
      </c>
      <c r="E64" s="431" t="n">
        <v>16.5</v>
      </c>
      <c r="F64" s="431" t="n">
        <v>1.1</v>
      </c>
      <c r="G64" s="431" t="n">
        <v>6.8</v>
      </c>
      <c r="H64" s="431" t="n">
        <v>10416</v>
      </c>
      <c r="I64" s="431" t="n">
        <v>761</v>
      </c>
      <c r="J64" s="431" t="n">
        <v>-12.5</v>
      </c>
      <c r="K64" s="433" t="inlineStr">
        <is>
          <t>GIỮ</t>
        </is>
      </c>
      <c r="L64" s="1104" t="n"/>
      <c r="M64" s="521" t="n">
        <v>5500</v>
      </c>
      <c r="N64" s="521" t="n">
        <v>12000</v>
      </c>
      <c r="O64" s="521" t="n">
        <v>2800</v>
      </c>
      <c r="P64" s="521" t="n">
        <v>32000</v>
      </c>
      <c r="Q64" s="521" t="n">
        <v>1200</v>
      </c>
      <c r="R64" s="521" t="n">
        <v>3.8</v>
      </c>
      <c r="S64" s="521" t="n">
        <v>10</v>
      </c>
      <c r="T64" s="521" t="n">
        <v>2.2</v>
      </c>
      <c r="U64" s="521" t="n">
        <v>2.5</v>
      </c>
      <c r="V64" s="521" t="n">
        <v>600</v>
      </c>
      <c r="W64" s="521" t="n">
        <v>8.5</v>
      </c>
      <c r="X64" s="521" t="n">
        <v>8.5</v>
      </c>
      <c r="Y64" s="521" t="inlineStr">
        <is>
          <t>Lê Phước Vũ</t>
        </is>
      </c>
      <c r="Z64" s="521" t="n">
        <v>65</v>
      </c>
      <c r="AA64" s="521" t="inlineStr">
        <is>
          <t>🟡 TB</t>
        </is>
      </c>
      <c r="AB64" s="521" t="n"/>
      <c r="AC64" s="522" t="inlineStr">
        <is>
          <t>HOSE</t>
        </is>
      </c>
      <c r="AD64" s="1024">
        <f>IF(A65='🎯 SÓI v42 — TRA CỨU &amp; DEEP DIV'!$C$4,"⭐ ĐANG XEM","")</f>
        <v/>
      </c>
    </row>
    <row r="65" ht="13.5" customHeight="1" s="981">
      <c r="A65" s="437" t="inlineStr">
        <is>
          <t>NKG</t>
        </is>
      </c>
      <c r="B65" s="435" t="inlineStr">
        <is>
          <t>Thép Nam Kim</t>
        </is>
      </c>
      <c r="C65" s="435" t="inlineStr">
        <is>
          <t>Thép</t>
        </is>
      </c>
      <c r="D65" s="523" t="n">
        <v>13700</v>
      </c>
      <c r="E65" s="435" t="n">
        <v>18.3</v>
      </c>
      <c r="F65" s="435" t="n">
        <v>1.2</v>
      </c>
      <c r="G65" s="435" t="n">
        <v>6.5</v>
      </c>
      <c r="H65" s="435" t="n">
        <v>5206</v>
      </c>
      <c r="I65" s="435" t="n">
        <v>749</v>
      </c>
      <c r="J65" s="435" t="n">
        <v>-8.5</v>
      </c>
      <c r="K65" s="437" t="inlineStr">
        <is>
          <t>GIỮ</t>
        </is>
      </c>
      <c r="L65" s="438" t="n"/>
      <c r="M65" s="521" t="n">
        <v>4200</v>
      </c>
      <c r="N65" s="521" t="n">
        <v>8500</v>
      </c>
      <c r="O65" s="521" t="n">
        <v>2200</v>
      </c>
      <c r="P65" s="521" t="n">
        <v>22000</v>
      </c>
      <c r="Q65" s="521" t="n">
        <v>650</v>
      </c>
      <c r="R65" s="521" t="n">
        <v>3</v>
      </c>
      <c r="S65" s="521" t="n">
        <v>8</v>
      </c>
      <c r="T65" s="521" t="n">
        <v>2</v>
      </c>
      <c r="U65" s="521" t="n">
        <v>2</v>
      </c>
      <c r="V65" s="521" t="n">
        <v>500</v>
      </c>
      <c r="W65" s="521" t="n">
        <v>8.5</v>
      </c>
      <c r="X65" s="521" t="n">
        <v>5.5</v>
      </c>
      <c r="Y65" s="521" t="inlineStr">
        <is>
          <t>Nguyễn Văn Sỹ</t>
        </is>
      </c>
      <c r="Z65" s="521" t="n">
        <v>62</v>
      </c>
      <c r="AA65" s="521" t="inlineStr">
        <is>
          <t>🟡 TB</t>
        </is>
      </c>
      <c r="AB65" s="521" t="inlineStr">
        <is>
          <t>Chu kỳ thép</t>
        </is>
      </c>
      <c r="AC65" s="522" t="inlineStr">
        <is>
          <t>HOSE</t>
        </is>
      </c>
      <c r="AD65" s="1024">
        <f>IF(A66='🎯 SÓI v42 — TRA CỨU &amp; DEEP DIV'!$C$4,"⭐ ĐANG XEM","")</f>
        <v/>
      </c>
    </row>
    <row r="66" ht="13.5" customHeight="1" s="981">
      <c r="A66" s="433" t="inlineStr">
        <is>
          <t>TVN</t>
        </is>
      </c>
      <c r="B66" s="431" t="inlineStr">
        <is>
          <t>Vicasa</t>
        </is>
      </c>
      <c r="C66" s="431" t="inlineStr">
        <is>
          <t>Thép</t>
        </is>
      </c>
      <c r="D66" s="520" t="n">
        <v>11900</v>
      </c>
      <c r="E66" s="431" t="n">
        <v>12.4</v>
      </c>
      <c r="F66" s="431" t="n">
        <v>0.85</v>
      </c>
      <c r="G66" s="431" t="n">
        <v>6.8</v>
      </c>
      <c r="H66" s="431" t="n">
        <v>1000</v>
      </c>
      <c r="I66" s="431" t="n">
        <v>960</v>
      </c>
      <c r="J66" s="431" t="n">
        <v>-22.5</v>
      </c>
      <c r="K66" s="527" t="inlineStr">
        <is>
          <t>TRÁNH</t>
        </is>
      </c>
      <c r="L66" s="1104" t="n"/>
      <c r="M66" s="521" t="n">
        <v>5000</v>
      </c>
      <c r="N66" s="521" t="n">
        <v>3000</v>
      </c>
      <c r="O66" s="521" t="n">
        <v>1500</v>
      </c>
      <c r="P66" s="521" t="n">
        <v>8000</v>
      </c>
      <c r="Q66" s="521" t="n">
        <v>1000</v>
      </c>
      <c r="R66" s="521" t="n">
        <v>12.5</v>
      </c>
      <c r="S66" s="521" t="n">
        <v>12</v>
      </c>
      <c r="T66" s="521" t="n">
        <v>0.6</v>
      </c>
      <c r="U66" s="521" t="n">
        <v>1.5</v>
      </c>
      <c r="V66" s="521" t="n">
        <v>500</v>
      </c>
      <c r="W66" s="521" t="n">
        <v>12</v>
      </c>
      <c r="X66" s="521" t="n">
        <v>3</v>
      </c>
      <c r="Y66" s="521" t="inlineStr">
        <is>
          <t>Ban lãnh đạo</t>
        </is>
      </c>
      <c r="Z66" s="521" t="n">
        <v>65</v>
      </c>
      <c r="AA66" s="521" t="inlineStr">
        <is>
          <t>🟡 TB</t>
        </is>
      </c>
      <c r="AB66" s="521" t="n"/>
      <c r="AC66" s="522" t="inlineStr">
        <is>
          <t>HOSE</t>
        </is>
      </c>
      <c r="AD66" s="1024">
        <f>IF(A67='🎯 SÓI v42 — TRA CỨU &amp; DEEP DIV'!$C$4,"⭐ ĐANG XEM","")</f>
        <v/>
      </c>
    </row>
    <row r="67" ht="13.5" customHeight="1" s="981">
      <c r="A67" s="437" t="inlineStr">
        <is>
          <t>SMC</t>
        </is>
      </c>
      <c r="B67" s="435" t="inlineStr">
        <is>
          <t>SMC Steel</t>
        </is>
      </c>
      <c r="C67" s="435" t="inlineStr">
        <is>
          <t>Thép</t>
        </is>
      </c>
      <c r="D67" s="523" t="n">
        <v>11250</v>
      </c>
      <c r="E67" s="435" t="n">
        <v>24.5</v>
      </c>
      <c r="F67" s="435" t="n">
        <v>0.85</v>
      </c>
      <c r="G67" s="435" t="n">
        <v>3.5</v>
      </c>
      <c r="H67" s="435" t="n">
        <v>1000</v>
      </c>
      <c r="I67" s="435" t="n">
        <v>459</v>
      </c>
      <c r="J67" s="435" t="n">
        <v>-32.5</v>
      </c>
      <c r="K67" s="527" t="inlineStr">
        <is>
          <t>TRÁNH</t>
        </is>
      </c>
      <c r="L67" s="438" t="inlineStr">
        <is>
          <t>Lỗ liên tục</t>
        </is>
      </c>
      <c r="M67" s="521" t="n">
        <v>5000</v>
      </c>
      <c r="N67" s="521" t="n">
        <v>3000</v>
      </c>
      <c r="O67" s="521" t="n">
        <v>1500</v>
      </c>
      <c r="P67" s="521" t="n">
        <v>8000</v>
      </c>
      <c r="Q67" s="521" t="n">
        <v>1000</v>
      </c>
      <c r="R67" s="521" t="n">
        <v>12.5</v>
      </c>
      <c r="S67" s="521" t="n">
        <v>12</v>
      </c>
      <c r="T67" s="521" t="n">
        <v>0.6</v>
      </c>
      <c r="U67" s="521" t="n">
        <v>1.5</v>
      </c>
      <c r="V67" s="521" t="n">
        <v>500</v>
      </c>
      <c r="W67" s="521" t="n">
        <v>12</v>
      </c>
      <c r="X67" s="521" t="n">
        <v>3</v>
      </c>
      <c r="Y67" s="521" t="inlineStr">
        <is>
          <t>Ban lãnh đạo</t>
        </is>
      </c>
      <c r="Z67" s="521" t="n">
        <v>65</v>
      </c>
      <c r="AA67" s="521" t="inlineStr">
        <is>
          <t>🟡 TB</t>
        </is>
      </c>
      <c r="AB67" s="521" t="n"/>
      <c r="AC67" s="522" t="inlineStr">
        <is>
          <t>HOSE</t>
        </is>
      </c>
      <c r="AD67" s="1024">
        <f>IF(A68='🎯 SÓI v42 — TRA CỨU &amp; DEEP DIV'!$C$4,"⭐ ĐANG XEM","")</f>
        <v/>
      </c>
    </row>
    <row r="68" ht="13.5" customHeight="1" s="981">
      <c r="A68" s="433" t="inlineStr">
        <is>
          <t>DGC</t>
        </is>
      </c>
      <c r="B68" s="431" t="inlineStr">
        <is>
          <t>Đức Giang</t>
        </is>
      </c>
      <c r="C68" s="431" t="inlineStr">
        <is>
          <t>Hóa chất</t>
        </is>
      </c>
      <c r="D68" s="520" t="n">
        <v>47600</v>
      </c>
      <c r="E68" s="431" t="n">
        <v>4.5</v>
      </c>
      <c r="F68" s="431" t="n">
        <v>2.1</v>
      </c>
      <c r="G68" s="431" t="n">
        <v>18.5</v>
      </c>
      <c r="H68" s="431" t="n">
        <v>18088</v>
      </c>
      <c r="I68" s="431" t="n">
        <v>10500</v>
      </c>
      <c r="J68" s="431" t="n">
        <v>28.5</v>
      </c>
      <c r="K68" s="524" t="inlineStr">
        <is>
          <t>MUA</t>
        </is>
      </c>
      <c r="L68" s="1104" t="inlineStr">
        <is>
          <t>Photphat hàng đầu</t>
        </is>
      </c>
      <c r="M68" s="521" t="n">
        <v>5000</v>
      </c>
      <c r="N68" s="521" t="n">
        <v>3000</v>
      </c>
      <c r="O68" s="521" t="n">
        <v>1500</v>
      </c>
      <c r="P68" s="521" t="n">
        <v>8000</v>
      </c>
      <c r="Q68" s="521" t="n">
        <v>1000</v>
      </c>
      <c r="R68" s="521" t="n">
        <v>12.5</v>
      </c>
      <c r="S68" s="521" t="n">
        <v>12</v>
      </c>
      <c r="T68" s="521" t="n">
        <v>0.6</v>
      </c>
      <c r="U68" s="521" t="n">
        <v>1.5</v>
      </c>
      <c r="V68" s="521" t="n">
        <v>500</v>
      </c>
      <c r="W68" s="521" t="n">
        <v>12</v>
      </c>
      <c r="X68" s="521" t="n">
        <v>3</v>
      </c>
      <c r="Y68" s="521" t="inlineStr">
        <is>
          <t>Ban lãnh đạo</t>
        </is>
      </c>
      <c r="Z68" s="521" t="n">
        <v>65</v>
      </c>
      <c r="AA68" s="521" t="inlineStr">
        <is>
          <t>🟡 TB</t>
        </is>
      </c>
      <c r="AB68" s="521" t="n"/>
      <c r="AC68" s="522" t="inlineStr">
        <is>
          <t>HOSE</t>
        </is>
      </c>
      <c r="AD68" s="1024">
        <f>IF(A69='🎯 SÓI v42 — TRA CỨU &amp; DEEP DIV'!$C$4,"⭐ ĐANG XEM","")</f>
        <v/>
      </c>
    </row>
    <row r="69" ht="13.5" customHeight="1" s="981">
      <c r="A69" s="437" t="inlineStr">
        <is>
          <t>DPM</t>
        </is>
      </c>
      <c r="B69" s="435" t="inlineStr">
        <is>
          <t>Đạm Phú Mỹ</t>
        </is>
      </c>
      <c r="C69" s="435" t="inlineStr">
        <is>
          <t>Phân bón</t>
        </is>
      </c>
      <c r="D69" s="523" t="n">
        <v>25850</v>
      </c>
      <c r="E69" s="435" t="n">
        <v>12.5</v>
      </c>
      <c r="F69" s="435" t="n">
        <v>1.5</v>
      </c>
      <c r="G69" s="435" t="n">
        <v>13.5</v>
      </c>
      <c r="H69" s="435" t="n">
        <v>10082</v>
      </c>
      <c r="I69" s="435" t="n">
        <v>2068</v>
      </c>
      <c r="J69" s="435" t="n">
        <v>5.5</v>
      </c>
      <c r="K69" s="437" t="inlineStr">
        <is>
          <t>GIỮ</t>
        </is>
      </c>
      <c r="L69" s="438" t="inlineStr">
        <is>
          <t>Đạm urê</t>
        </is>
      </c>
      <c r="M69" s="521" t="n">
        <v>5000</v>
      </c>
      <c r="N69" s="521" t="n">
        <v>3000</v>
      </c>
      <c r="O69" s="521" t="n">
        <v>1500</v>
      </c>
      <c r="P69" s="521" t="n">
        <v>8000</v>
      </c>
      <c r="Q69" s="521" t="n">
        <v>1000</v>
      </c>
      <c r="R69" s="521" t="n">
        <v>12.5</v>
      </c>
      <c r="S69" s="521" t="n">
        <v>12</v>
      </c>
      <c r="T69" s="521" t="n">
        <v>0.6</v>
      </c>
      <c r="U69" s="521" t="n">
        <v>1.5</v>
      </c>
      <c r="V69" s="521" t="n">
        <v>500</v>
      </c>
      <c r="W69" s="521" t="n">
        <v>12</v>
      </c>
      <c r="X69" s="521" t="n">
        <v>3</v>
      </c>
      <c r="Y69" s="521" t="inlineStr">
        <is>
          <t>Ban lãnh đạo</t>
        </is>
      </c>
      <c r="Z69" s="521" t="n">
        <v>65</v>
      </c>
      <c r="AA69" s="521" t="inlineStr">
        <is>
          <t>🟡 TB</t>
        </is>
      </c>
      <c r="AB69" s="521" t="n"/>
      <c r="AC69" s="522" t="inlineStr">
        <is>
          <t>HOSE</t>
        </is>
      </c>
      <c r="AD69" s="1024">
        <f>IF(A70='🎯 SÓI v42 — TRA CỨU &amp; DEEP DIV'!$C$4,"⭐ ĐANG XEM","")</f>
        <v/>
      </c>
    </row>
    <row r="70" ht="13.5" customHeight="1" s="981">
      <c r="A70" s="433" t="inlineStr">
        <is>
          <t>DCM</t>
        </is>
      </c>
      <c r="B70" s="431" t="inlineStr">
        <is>
          <t>Đạm Cà Mau</t>
        </is>
      </c>
      <c r="C70" s="431" t="inlineStr">
        <is>
          <t>Phân bón</t>
        </is>
      </c>
      <c r="D70" s="520" t="n">
        <v>40200</v>
      </c>
      <c r="E70" s="431" t="n">
        <v>10.5</v>
      </c>
      <c r="F70" s="431" t="n">
        <v>1.4</v>
      </c>
      <c r="G70" s="431" t="n">
        <v>14.7</v>
      </c>
      <c r="H70" s="431" t="n">
        <v>40200</v>
      </c>
      <c r="I70" s="431" t="n">
        <v>3829</v>
      </c>
      <c r="J70" s="431" t="n">
        <v>-2.5</v>
      </c>
      <c r="K70" s="433" t="inlineStr">
        <is>
          <t>GIỮ</t>
        </is>
      </c>
      <c r="L70" s="1104" t="n"/>
      <c r="M70" s="521" t="n">
        <v>5000</v>
      </c>
      <c r="N70" s="521" t="n">
        <v>3000</v>
      </c>
      <c r="O70" s="521" t="n">
        <v>1500</v>
      </c>
      <c r="P70" s="521" t="n">
        <v>8000</v>
      </c>
      <c r="Q70" s="521" t="n">
        <v>1000</v>
      </c>
      <c r="R70" s="521" t="n">
        <v>12.5</v>
      </c>
      <c r="S70" s="521" t="n">
        <v>12</v>
      </c>
      <c r="T70" s="521" t="n">
        <v>0.6</v>
      </c>
      <c r="U70" s="521" t="n">
        <v>1.5</v>
      </c>
      <c r="V70" s="521" t="n">
        <v>500</v>
      </c>
      <c r="W70" s="521" t="n">
        <v>12</v>
      </c>
      <c r="X70" s="521" t="n">
        <v>3</v>
      </c>
      <c r="Y70" s="521" t="inlineStr">
        <is>
          <t>Ban lãnh đạo</t>
        </is>
      </c>
      <c r="Z70" s="521" t="n">
        <v>65</v>
      </c>
      <c r="AA70" s="521" t="inlineStr">
        <is>
          <t>🟡 TB</t>
        </is>
      </c>
      <c r="AB70" s="521" t="n"/>
      <c r="AC70" s="522" t="inlineStr">
        <is>
          <t>HOSE</t>
        </is>
      </c>
      <c r="AD70" s="1024">
        <f>IF(A71='🎯 SÓI v42 — TRA CỨU &amp; DEEP DIV'!$C$4,"⭐ ĐANG XEM","")</f>
        <v/>
      </c>
    </row>
    <row r="71" ht="13.5" customHeight="1" s="981">
      <c r="A71" s="437" t="inlineStr">
        <is>
          <t>LAS</t>
        </is>
      </c>
      <c r="B71" s="435" t="inlineStr">
        <is>
          <t>LAS Group</t>
        </is>
      </c>
      <c r="C71" s="435" t="inlineStr">
        <is>
          <t>Hóa chất</t>
        </is>
      </c>
      <c r="D71" s="523" t="n">
        <v>15300</v>
      </c>
      <c r="E71" s="435" t="n">
        <v>12.5</v>
      </c>
      <c r="F71" s="435" t="n">
        <v>1.2</v>
      </c>
      <c r="G71" s="435" t="n">
        <v>11.5</v>
      </c>
      <c r="H71" s="435" t="n">
        <v>1000</v>
      </c>
      <c r="I71" s="435" t="n">
        <v>1224</v>
      </c>
      <c r="J71" s="435" t="n">
        <v>5.5</v>
      </c>
      <c r="K71" s="437" t="inlineStr">
        <is>
          <t>GIỮ</t>
        </is>
      </c>
      <c r="L71" s="438" t="n"/>
      <c r="M71" s="521" t="n">
        <v>5000</v>
      </c>
      <c r="N71" s="521" t="n">
        <v>3000</v>
      </c>
      <c r="O71" s="521" t="n">
        <v>1500</v>
      </c>
      <c r="P71" s="521" t="n">
        <v>8000</v>
      </c>
      <c r="Q71" s="521" t="n">
        <v>1000</v>
      </c>
      <c r="R71" s="521" t="n">
        <v>12.5</v>
      </c>
      <c r="S71" s="521" t="n">
        <v>12</v>
      </c>
      <c r="T71" s="521" t="n">
        <v>0.6</v>
      </c>
      <c r="U71" s="521" t="n">
        <v>1.5</v>
      </c>
      <c r="V71" s="521" t="n">
        <v>500</v>
      </c>
      <c r="W71" s="521" t="n">
        <v>12</v>
      </c>
      <c r="X71" s="521" t="n">
        <v>3</v>
      </c>
      <c r="Y71" s="521" t="inlineStr">
        <is>
          <t>Ban lãnh đạo</t>
        </is>
      </c>
      <c r="Z71" s="521" t="n">
        <v>65</v>
      </c>
      <c r="AA71" s="521" t="inlineStr">
        <is>
          <t>🟡 TB</t>
        </is>
      </c>
      <c r="AB71" s="521" t="n"/>
      <c r="AC71" s="528" t="inlineStr">
        <is>
          <t>HNX</t>
        </is>
      </c>
      <c r="AD71" s="1024">
        <f>IF(A72='🎯 SÓI v42 — TRA CỨU &amp; DEEP DIV'!$C$4,"⭐ ĐANG XEM","")</f>
        <v/>
      </c>
    </row>
    <row r="72" ht="13.5" customHeight="1" s="981">
      <c r="A72" s="433" t="inlineStr">
        <is>
          <t>VHE</t>
        </is>
      </c>
      <c r="B72" s="431" t="inlineStr">
        <is>
          <t>VHE</t>
        </is>
      </c>
      <c r="C72" s="431" t="inlineStr">
        <is>
          <t>Hóa chất</t>
        </is>
      </c>
      <c r="D72" s="520" t="n">
        <v>3200</v>
      </c>
      <c r="E72" s="431" t="n">
        <v>15.4</v>
      </c>
      <c r="F72" s="431" t="n">
        <v>1.4</v>
      </c>
      <c r="G72" s="431" t="n">
        <v>9.5</v>
      </c>
      <c r="H72" s="431" t="n">
        <v>1000</v>
      </c>
      <c r="I72" s="431" t="n">
        <v>208</v>
      </c>
      <c r="J72" s="431" t="n">
        <v>-15.5</v>
      </c>
      <c r="K72" s="433" t="inlineStr">
        <is>
          <t>GIỮ</t>
        </is>
      </c>
      <c r="L72" s="1104" t="n"/>
      <c r="M72" s="521" t="n">
        <v>5000</v>
      </c>
      <c r="N72" s="521" t="n">
        <v>3000</v>
      </c>
      <c r="O72" s="521" t="n">
        <v>1500</v>
      </c>
      <c r="P72" s="521" t="n">
        <v>8000</v>
      </c>
      <c r="Q72" s="521" t="n">
        <v>1000</v>
      </c>
      <c r="R72" s="521" t="n">
        <v>12.5</v>
      </c>
      <c r="S72" s="521" t="n">
        <v>12</v>
      </c>
      <c r="T72" s="521" t="n">
        <v>0.6</v>
      </c>
      <c r="U72" s="521" t="n">
        <v>1.5</v>
      </c>
      <c r="V72" s="521" t="n">
        <v>500</v>
      </c>
      <c r="W72" s="521" t="n">
        <v>12</v>
      </c>
      <c r="X72" s="521" t="n">
        <v>3</v>
      </c>
      <c r="Y72" s="521" t="inlineStr">
        <is>
          <t>Ban lãnh đạo</t>
        </is>
      </c>
      <c r="Z72" s="521" t="n">
        <v>65</v>
      </c>
      <c r="AA72" s="521" t="inlineStr">
        <is>
          <t>🟡 TB</t>
        </is>
      </c>
      <c r="AB72" s="521" t="n"/>
      <c r="AC72" s="528" t="inlineStr">
        <is>
          <t>HNX</t>
        </is>
      </c>
      <c r="AD72" s="1024">
        <f>IF(A73='🎯 SÓI v42 — TRA CỨU &amp; DEEP DIV'!$C$4,"⭐ ĐANG XEM","")</f>
        <v/>
      </c>
    </row>
    <row r="73" ht="13.5" customHeight="1" s="981">
      <c r="A73" s="437" t="inlineStr">
        <is>
          <t>GEX</t>
        </is>
      </c>
      <c r="B73" s="435" t="inlineStr">
        <is>
          <t>Gelex</t>
        </is>
      </c>
      <c r="C73" s="435" t="inlineStr">
        <is>
          <t>Đa ngành</t>
        </is>
      </c>
      <c r="D73" s="523" t="n">
        <v>32299</v>
      </c>
      <c r="E73" s="435" t="n">
        <v>16.4</v>
      </c>
      <c r="F73" s="435" t="n">
        <v>1.3</v>
      </c>
      <c r="G73" s="435" t="n">
        <v>8.199999999999999</v>
      </c>
      <c r="H73" s="435" t="n">
        <v>35529</v>
      </c>
      <c r="I73" s="435" t="n">
        <v>1969</v>
      </c>
      <c r="J73" s="435" t="n">
        <v>8.5</v>
      </c>
      <c r="K73" s="437" t="inlineStr">
        <is>
          <t>GIỮ</t>
        </is>
      </c>
      <c r="L73" s="438" t="inlineStr">
        <is>
          <t>Điện + cấp nước</t>
        </is>
      </c>
      <c r="M73" s="521" t="n">
        <v>5000</v>
      </c>
      <c r="N73" s="521" t="n">
        <v>3000</v>
      </c>
      <c r="O73" s="521" t="n">
        <v>1500</v>
      </c>
      <c r="P73" s="521" t="n">
        <v>8000</v>
      </c>
      <c r="Q73" s="521" t="n">
        <v>1000</v>
      </c>
      <c r="R73" s="521" t="n">
        <v>12.5</v>
      </c>
      <c r="S73" s="521" t="n">
        <v>12</v>
      </c>
      <c r="T73" s="521" t="n">
        <v>0.6</v>
      </c>
      <c r="U73" s="521" t="n">
        <v>1.5</v>
      </c>
      <c r="V73" s="521" t="n">
        <v>500</v>
      </c>
      <c r="W73" s="521" t="n">
        <v>12</v>
      </c>
      <c r="X73" s="521" t="n">
        <v>3</v>
      </c>
      <c r="Y73" s="521" t="inlineStr">
        <is>
          <t>Ban lãnh đạo</t>
        </is>
      </c>
      <c r="Z73" s="521" t="n">
        <v>65</v>
      </c>
      <c r="AA73" s="521" t="inlineStr">
        <is>
          <t>🟡 TB</t>
        </is>
      </c>
      <c r="AB73" s="521" t="n"/>
      <c r="AC73" s="522" t="inlineStr">
        <is>
          <t>HOSE</t>
        </is>
      </c>
      <c r="AD73" s="1024">
        <f>IF(A74='🎯 SÓI v42 — TRA CỨU &amp; DEEP DIV'!$C$4,"⭐ ĐANG XEM","")</f>
        <v/>
      </c>
    </row>
    <row r="74" ht="13.5" customHeight="1" s="981">
      <c r="A74" s="433" t="inlineStr">
        <is>
          <t>PPC</t>
        </is>
      </c>
      <c r="B74" s="431" t="inlineStr">
        <is>
          <t>Nhiệt điện PP</t>
        </is>
      </c>
      <c r="C74" s="431" t="inlineStr">
        <is>
          <t>Điện</t>
        </is>
      </c>
      <c r="D74" s="520" t="n">
        <v>9830</v>
      </c>
      <c r="E74" s="431" t="n">
        <v>8.199999999999999</v>
      </c>
      <c r="F74" s="431" t="n">
        <v>1.05</v>
      </c>
      <c r="G74" s="431" t="n">
        <v>12.8</v>
      </c>
      <c r="H74" s="431" t="n">
        <v>1000</v>
      </c>
      <c r="I74" s="431" t="n">
        <v>1199</v>
      </c>
      <c r="J74" s="431" t="n">
        <v>5.5</v>
      </c>
      <c r="K74" s="433" t="inlineStr">
        <is>
          <t>GIỮ</t>
        </is>
      </c>
      <c r="L74" s="1104" t="n"/>
      <c r="M74" s="521" t="n">
        <v>5000</v>
      </c>
      <c r="N74" s="521" t="n">
        <v>3000</v>
      </c>
      <c r="O74" s="521" t="n">
        <v>1500</v>
      </c>
      <c r="P74" s="521" t="n">
        <v>8000</v>
      </c>
      <c r="Q74" s="521" t="n">
        <v>1000</v>
      </c>
      <c r="R74" s="521" t="n">
        <v>12.5</v>
      </c>
      <c r="S74" s="521" t="n">
        <v>12</v>
      </c>
      <c r="T74" s="521" t="n">
        <v>0.6</v>
      </c>
      <c r="U74" s="521" t="n">
        <v>1.5</v>
      </c>
      <c r="V74" s="521" t="n">
        <v>500</v>
      </c>
      <c r="W74" s="521" t="n">
        <v>12</v>
      </c>
      <c r="X74" s="521" t="n">
        <v>3</v>
      </c>
      <c r="Y74" s="521" t="inlineStr">
        <is>
          <t>Ban lãnh đạo</t>
        </is>
      </c>
      <c r="Z74" s="521" t="n">
        <v>65</v>
      </c>
      <c r="AA74" s="521" t="inlineStr">
        <is>
          <t>🟡 TB</t>
        </is>
      </c>
      <c r="AB74" s="521" t="n"/>
      <c r="AC74" s="522" t="inlineStr">
        <is>
          <t>HOSE</t>
        </is>
      </c>
      <c r="AD74" s="1024">
        <f>IF(A75='🎯 SÓI v42 — TRA CỨU &amp; DEEP DIV'!$C$4,"⭐ ĐANG XEM","")</f>
        <v/>
      </c>
    </row>
    <row r="75" ht="13.5" customHeight="1" s="981">
      <c r="A75" s="437" t="inlineStr">
        <is>
          <t>NT2</t>
        </is>
      </c>
      <c r="B75" s="435" t="inlineStr">
        <is>
          <t>Nhơn Trạch 2</t>
        </is>
      </c>
      <c r="C75" s="435" t="inlineStr">
        <is>
          <t>Điện</t>
        </is>
      </c>
      <c r="D75" s="523" t="n">
        <v>23000</v>
      </c>
      <c r="E75" s="435" t="n">
        <v>9.6</v>
      </c>
      <c r="F75" s="435" t="n">
        <v>1.7</v>
      </c>
      <c r="G75" s="435" t="n">
        <v>17.8</v>
      </c>
      <c r="H75" s="435" t="n">
        <v>1000</v>
      </c>
      <c r="I75" s="435" t="n">
        <v>2396</v>
      </c>
      <c r="J75" s="435" t="n">
        <v>15.5</v>
      </c>
      <c r="K75" s="524" t="inlineStr">
        <is>
          <t>MUA</t>
        </is>
      </c>
      <c r="L75" s="438" t="inlineStr">
        <is>
          <t>Điện khí</t>
        </is>
      </c>
      <c r="M75" s="521" t="n">
        <v>5000</v>
      </c>
      <c r="N75" s="521" t="n">
        <v>3000</v>
      </c>
      <c r="O75" s="521" t="n">
        <v>1500</v>
      </c>
      <c r="P75" s="521" t="n">
        <v>8000</v>
      </c>
      <c r="Q75" s="521" t="n">
        <v>1000</v>
      </c>
      <c r="R75" s="521" t="n">
        <v>12.5</v>
      </c>
      <c r="S75" s="521" t="n">
        <v>12</v>
      </c>
      <c r="T75" s="521" t="n">
        <v>0.6</v>
      </c>
      <c r="U75" s="521" t="n">
        <v>1.5</v>
      </c>
      <c r="V75" s="521" t="n">
        <v>500</v>
      </c>
      <c r="W75" s="521" t="n">
        <v>12</v>
      </c>
      <c r="X75" s="521" t="n">
        <v>3</v>
      </c>
      <c r="Y75" s="521" t="inlineStr">
        <is>
          <t>Ban lãnh đạo</t>
        </is>
      </c>
      <c r="Z75" s="521" t="n">
        <v>65</v>
      </c>
      <c r="AA75" s="521" t="inlineStr">
        <is>
          <t>🟡 TB</t>
        </is>
      </c>
      <c r="AB75" s="521" t="n"/>
      <c r="AC75" s="522" t="inlineStr">
        <is>
          <t>HOSE</t>
        </is>
      </c>
      <c r="AD75" s="1024">
        <f>IF(A76='🎯 SÓI v42 — TRA CỨU &amp; DEEP DIV'!$C$4,"⭐ ĐANG XEM","")</f>
        <v/>
      </c>
    </row>
    <row r="76" ht="13.5" customHeight="1" s="981">
      <c r="A76" s="433" t="inlineStr">
        <is>
          <t>VSH</t>
        </is>
      </c>
      <c r="B76" s="431" t="inlineStr">
        <is>
          <t>Vĩnh Sơn</t>
        </is>
      </c>
      <c r="C76" s="431" t="inlineStr">
        <is>
          <t>Điện</t>
        </is>
      </c>
      <c r="D76" s="520" t="n">
        <v>42800</v>
      </c>
      <c r="E76" s="431" t="n">
        <v>10.5</v>
      </c>
      <c r="F76" s="431" t="n">
        <v>1.2</v>
      </c>
      <c r="G76" s="431" t="n">
        <v>12.5</v>
      </c>
      <c r="H76" s="431" t="n">
        <v>1000</v>
      </c>
      <c r="I76" s="431" t="n">
        <v>4076</v>
      </c>
      <c r="J76" s="431" t="n">
        <v>12.5</v>
      </c>
      <c r="K76" s="524" t="inlineStr">
        <is>
          <t>MUA</t>
        </is>
      </c>
      <c r="L76" s="1104" t="inlineStr">
        <is>
          <t>Thủy điện</t>
        </is>
      </c>
      <c r="M76" s="521" t="n">
        <v>5000</v>
      </c>
      <c r="N76" s="521" t="n">
        <v>3000</v>
      </c>
      <c r="O76" s="521" t="n">
        <v>1500</v>
      </c>
      <c r="P76" s="521" t="n">
        <v>8000</v>
      </c>
      <c r="Q76" s="521" t="n">
        <v>1000</v>
      </c>
      <c r="R76" s="521" t="n">
        <v>12.5</v>
      </c>
      <c r="S76" s="521" t="n">
        <v>12</v>
      </c>
      <c r="T76" s="521" t="n">
        <v>0.6</v>
      </c>
      <c r="U76" s="521" t="n">
        <v>1.5</v>
      </c>
      <c r="V76" s="521" t="n">
        <v>500</v>
      </c>
      <c r="W76" s="521" t="n">
        <v>12</v>
      </c>
      <c r="X76" s="521" t="n">
        <v>3</v>
      </c>
      <c r="Y76" s="521" t="inlineStr">
        <is>
          <t>Ban lãnh đạo</t>
        </is>
      </c>
      <c r="Z76" s="521" t="n">
        <v>65</v>
      </c>
      <c r="AA76" s="521" t="inlineStr">
        <is>
          <t>🟡 TB</t>
        </is>
      </c>
      <c r="AB76" s="521" t="n"/>
      <c r="AC76" s="522" t="inlineStr">
        <is>
          <t>HOSE</t>
        </is>
      </c>
      <c r="AD76" s="1024">
        <f>IF(A77='🎯 SÓI v42 — TRA CỨU &amp; DEEP DIV'!$C$4,"⭐ ĐANG XEM","")</f>
        <v/>
      </c>
    </row>
    <row r="77" ht="13.5" customHeight="1" s="981">
      <c r="A77" s="437" t="inlineStr">
        <is>
          <t>TBC</t>
        </is>
      </c>
      <c r="B77" s="435" t="inlineStr">
        <is>
          <t>Thác Bà</t>
        </is>
      </c>
      <c r="C77" s="435" t="inlineStr">
        <is>
          <t>Điện</t>
        </is>
      </c>
      <c r="D77" s="523" t="n">
        <v>31850</v>
      </c>
      <c r="E77" s="435" t="n">
        <v>11.5</v>
      </c>
      <c r="F77" s="435" t="n">
        <v>1.3</v>
      </c>
      <c r="G77" s="435" t="n">
        <v>12.5</v>
      </c>
      <c r="H77" s="435" t="n">
        <v>1000</v>
      </c>
      <c r="I77" s="435" t="n">
        <v>2770</v>
      </c>
      <c r="J77" s="435" t="n">
        <v>15.5</v>
      </c>
      <c r="K77" s="524" t="inlineStr">
        <is>
          <t>MUA</t>
        </is>
      </c>
      <c r="L77" s="438" t="inlineStr">
        <is>
          <t>Thủy điện nhỏ</t>
        </is>
      </c>
      <c r="M77" s="521" t="n">
        <v>5000</v>
      </c>
      <c r="N77" s="521" t="n">
        <v>3000</v>
      </c>
      <c r="O77" s="521" t="n">
        <v>1500</v>
      </c>
      <c r="P77" s="521" t="n">
        <v>8000</v>
      </c>
      <c r="Q77" s="521" t="n">
        <v>1000</v>
      </c>
      <c r="R77" s="521" t="n">
        <v>12.5</v>
      </c>
      <c r="S77" s="521" t="n">
        <v>12</v>
      </c>
      <c r="T77" s="521" t="n">
        <v>0.6</v>
      </c>
      <c r="U77" s="521" t="n">
        <v>1.5</v>
      </c>
      <c r="V77" s="521" t="n">
        <v>500</v>
      </c>
      <c r="W77" s="521" t="n">
        <v>12</v>
      </c>
      <c r="X77" s="521" t="n">
        <v>3</v>
      </c>
      <c r="Y77" s="521" t="inlineStr">
        <is>
          <t>Ban lãnh đạo</t>
        </is>
      </c>
      <c r="Z77" s="521" t="n">
        <v>65</v>
      </c>
      <c r="AA77" s="521" t="inlineStr">
        <is>
          <t>🟡 TB</t>
        </is>
      </c>
      <c r="AB77" s="521" t="n"/>
      <c r="AC77" s="528" t="inlineStr">
        <is>
          <t>HNX</t>
        </is>
      </c>
      <c r="AD77" s="1024">
        <f>IF(A78='🎯 SÓI v42 — TRA CỨU &amp; DEEP DIV'!$C$4,"⭐ ĐANG XEM","")</f>
        <v/>
      </c>
    </row>
    <row r="78" ht="13.5" customHeight="1" s="981">
      <c r="A78" s="433" t="inlineStr">
        <is>
          <t>GEG</t>
        </is>
      </c>
      <c r="B78" s="431" t="inlineStr">
        <is>
          <t>GIA LAI</t>
        </is>
      </c>
      <c r="C78" s="431" t="inlineStr">
        <is>
          <t>Điện</t>
        </is>
      </c>
      <c r="D78" s="520" t="n">
        <v>14200</v>
      </c>
      <c r="E78" s="431" t="n">
        <v>15.4</v>
      </c>
      <c r="F78" s="431" t="n">
        <v>1.1</v>
      </c>
      <c r="G78" s="431" t="n">
        <v>7.2</v>
      </c>
      <c r="H78" s="431" t="n">
        <v>1000</v>
      </c>
      <c r="I78" s="431" t="n">
        <v>922</v>
      </c>
      <c r="J78" s="431" t="n">
        <v>25.5</v>
      </c>
      <c r="K78" s="433" t="inlineStr">
        <is>
          <t>GIỮ</t>
        </is>
      </c>
      <c r="L78" s="1104" t="inlineStr">
        <is>
          <t>Điện mặt trời</t>
        </is>
      </c>
      <c r="M78" s="521" t="n">
        <v>5000</v>
      </c>
      <c r="N78" s="521" t="n">
        <v>3000</v>
      </c>
      <c r="O78" s="521" t="n">
        <v>1500</v>
      </c>
      <c r="P78" s="521" t="n">
        <v>8000</v>
      </c>
      <c r="Q78" s="521" t="n">
        <v>1000</v>
      </c>
      <c r="R78" s="521" t="n">
        <v>12.5</v>
      </c>
      <c r="S78" s="521" t="n">
        <v>12</v>
      </c>
      <c r="T78" s="521" t="n">
        <v>0.6</v>
      </c>
      <c r="U78" s="521" t="n">
        <v>1.5</v>
      </c>
      <c r="V78" s="521" t="n">
        <v>500</v>
      </c>
      <c r="W78" s="521" t="n">
        <v>12</v>
      </c>
      <c r="X78" s="521" t="n">
        <v>3</v>
      </c>
      <c r="Y78" s="521" t="inlineStr">
        <is>
          <t>Ban lãnh đạo</t>
        </is>
      </c>
      <c r="Z78" s="521" t="n">
        <v>65</v>
      </c>
      <c r="AA78" s="521" t="inlineStr">
        <is>
          <t>🟡 TB</t>
        </is>
      </c>
      <c r="AB78" s="521" t="n"/>
      <c r="AC78" s="528" t="inlineStr">
        <is>
          <t>UPCoM</t>
        </is>
      </c>
      <c r="AD78" s="1024">
        <f>IF(A79='🎯 SÓI v42 — TRA CỨU &amp; DEEP DIV'!$C$4,"⭐ ĐANG XEM","")</f>
        <v/>
      </c>
    </row>
    <row r="79" ht="13.5" customHeight="1" s="981">
      <c r="A79" s="437" t="inlineStr">
        <is>
          <t>VPD</t>
        </is>
      </c>
      <c r="B79" s="435" t="inlineStr">
        <is>
          <t>VPD Power</t>
        </is>
      </c>
      <c r="C79" s="435" t="inlineStr">
        <is>
          <t>Điện</t>
        </is>
      </c>
      <c r="D79" s="523" t="n">
        <v>25400</v>
      </c>
      <c r="E79" s="435" t="n">
        <v>14.5</v>
      </c>
      <c r="F79" s="435" t="n">
        <v>1.2</v>
      </c>
      <c r="G79" s="435" t="n">
        <v>9.5</v>
      </c>
      <c r="H79" s="435" t="n">
        <v>1000</v>
      </c>
      <c r="I79" s="435" t="n">
        <v>1752</v>
      </c>
      <c r="J79" s="435" t="n">
        <v>-5.5</v>
      </c>
      <c r="K79" s="437" t="inlineStr">
        <is>
          <t>GIỮ</t>
        </is>
      </c>
      <c r="L79" s="438" t="n"/>
      <c r="M79" s="521" t="n">
        <v>5000</v>
      </c>
      <c r="N79" s="521" t="n">
        <v>3000</v>
      </c>
      <c r="O79" s="521" t="n">
        <v>1500</v>
      </c>
      <c r="P79" s="521" t="n">
        <v>8000</v>
      </c>
      <c r="Q79" s="521" t="n">
        <v>1000</v>
      </c>
      <c r="R79" s="521" t="n">
        <v>12.5</v>
      </c>
      <c r="S79" s="521" t="n">
        <v>12</v>
      </c>
      <c r="T79" s="521" t="n">
        <v>0.6</v>
      </c>
      <c r="U79" s="521" t="n">
        <v>1.5</v>
      </c>
      <c r="V79" s="521" t="n">
        <v>500</v>
      </c>
      <c r="W79" s="521" t="n">
        <v>12</v>
      </c>
      <c r="X79" s="521" t="n">
        <v>3</v>
      </c>
      <c r="Y79" s="521" t="inlineStr">
        <is>
          <t>Ban lãnh đạo</t>
        </is>
      </c>
      <c r="Z79" s="521" t="n">
        <v>65</v>
      </c>
      <c r="AA79" s="521" t="inlineStr">
        <is>
          <t>🟡 TB</t>
        </is>
      </c>
      <c r="AB79" s="521" t="n"/>
      <c r="AC79" s="522" t="inlineStr">
        <is>
          <t>HOSE</t>
        </is>
      </c>
      <c r="AD79" s="1024">
        <f>IF(A80='🎯 SÓI v42 — TRA CỨU &amp; DEEP DIV'!$C$4,"⭐ ĐANG XEM","")</f>
        <v/>
      </c>
    </row>
    <row r="80" ht="13.5" customHeight="1" s="981">
      <c r="A80" s="437" t="inlineStr">
        <is>
          <t>VIX</t>
        </is>
      </c>
      <c r="B80" s="435" t="inlineStr">
        <is>
          <t>VIX Securities</t>
        </is>
      </c>
      <c r="C80" s="435" t="inlineStr">
        <is>
          <t>Chứng khoán</t>
        </is>
      </c>
      <c r="D80" s="523" t="n">
        <v>17600</v>
      </c>
      <c r="E80" s="435" t="n">
        <v>17.5</v>
      </c>
      <c r="F80" s="435" t="n">
        <v>1.5</v>
      </c>
      <c r="G80" s="435" t="n">
        <v>8.800000000000001</v>
      </c>
      <c r="H80" s="435" t="n">
        <v>1000</v>
      </c>
      <c r="I80" s="435" t="n">
        <v>1006</v>
      </c>
      <c r="J80" s="435" t="n">
        <v>15.5</v>
      </c>
      <c r="K80" s="525" t="inlineStr">
        <is>
          <t>MUA MẠNH</t>
        </is>
      </c>
      <c r="L80" s="438" t="inlineStr">
        <is>
          <t>ROE 28.8% top ngành</t>
        </is>
      </c>
      <c r="M80" s="521" t="n">
        <v>4500</v>
      </c>
      <c r="N80" s="521" t="n">
        <v>2800</v>
      </c>
      <c r="O80" s="521" t="n">
        <v>1500</v>
      </c>
      <c r="P80" s="521" t="n">
        <v>4500</v>
      </c>
      <c r="Q80" s="521" t="n">
        <v>1200</v>
      </c>
      <c r="R80" s="521" t="n">
        <v>26.7</v>
      </c>
      <c r="S80" s="521" t="n">
        <v>28.5</v>
      </c>
      <c r="T80" s="521" t="n">
        <v>0.6</v>
      </c>
      <c r="U80" s="521" t="n">
        <v>0</v>
      </c>
      <c r="V80" s="521" t="n">
        <v>0</v>
      </c>
      <c r="W80" s="521" t="n">
        <v>22.5</v>
      </c>
      <c r="X80" s="521" t="n">
        <v>5.5</v>
      </c>
      <c r="Y80" s="521" t="inlineStr">
        <is>
          <t>Nguyễn Thành Duy</t>
        </is>
      </c>
      <c r="Z80" s="521" t="n">
        <v>68</v>
      </c>
      <c r="AA80" s="521" t="inlineStr">
        <is>
          <t>🟡 TB</t>
        </is>
      </c>
      <c r="AB80" s="521" t="n"/>
      <c r="AC80" s="522" t="inlineStr">
        <is>
          <t>HOSE</t>
        </is>
      </c>
      <c r="AD80" s="1024">
        <f>IF(A82='🎯 SÓI v42 — TRA CỨU &amp; DEEP DIV'!$C$4,"⭐ ĐANG XEM","")</f>
        <v/>
      </c>
    </row>
    <row r="81" ht="13.5" customHeight="1" s="981">
      <c r="A81" s="433" t="inlineStr">
        <is>
          <t>SSI</t>
        </is>
      </c>
      <c r="B81" s="431" t="inlineStr">
        <is>
          <t>SSI Securities</t>
        </is>
      </c>
      <c r="C81" s="431" t="inlineStr">
        <is>
          <t>Chứng khoán</t>
        </is>
      </c>
      <c r="D81" s="520" t="n">
        <v>27550</v>
      </c>
      <c r="E81" s="431" t="n">
        <v>9.800000000000001</v>
      </c>
      <c r="F81" s="431" t="n">
        <v>1.8</v>
      </c>
      <c r="G81" s="431" t="n">
        <v>12.5</v>
      </c>
      <c r="H81" s="431" t="n">
        <v>82650</v>
      </c>
      <c r="I81" s="431" t="n">
        <v>2800</v>
      </c>
      <c r="J81" s="431" t="n">
        <v>8.5</v>
      </c>
      <c r="K81" s="524" t="inlineStr">
        <is>
          <t>MUA</t>
        </is>
      </c>
      <c r="L81" s="1104" t="inlineStr">
        <is>
          <t>Top 1 CK VN</t>
        </is>
      </c>
      <c r="M81" s="521" t="n">
        <v>22000</v>
      </c>
      <c r="N81" s="521" t="n">
        <v>8500</v>
      </c>
      <c r="O81" s="521" t="n">
        <v>5500</v>
      </c>
      <c r="P81" s="521" t="n">
        <v>8500</v>
      </c>
      <c r="Q81" s="521" t="n">
        <v>2500</v>
      </c>
      <c r="R81" s="521" t="n">
        <v>29.4</v>
      </c>
      <c r="S81" s="521" t="n">
        <v>18</v>
      </c>
      <c r="T81" s="521" t="n">
        <v>0.4</v>
      </c>
      <c r="U81" s="521" t="n">
        <v>2</v>
      </c>
      <c r="V81" s="521" t="n">
        <v>540</v>
      </c>
      <c r="W81" s="521" t="n">
        <v>32.5</v>
      </c>
      <c r="X81" s="521" t="n">
        <v>3.5</v>
      </c>
      <c r="Y81" s="521" t="inlineStr">
        <is>
          <t>Nguyễn Duy Hưng</t>
        </is>
      </c>
      <c r="Z81" s="521" t="n">
        <v>78</v>
      </c>
      <c r="AA81" s="521" t="inlineStr">
        <is>
          <t>🟢 Tốt</t>
        </is>
      </c>
      <c r="AB81" s="521" t="n"/>
      <c r="AC81" s="522" t="inlineStr">
        <is>
          <t>HOSE</t>
        </is>
      </c>
      <c r="AD81" s="1024">
        <f>IF(A83='🎯 SÓI v42 — TRA CỨU &amp; DEEP DIV'!$C$4,"⭐ ĐANG XEM","")</f>
        <v/>
      </c>
    </row>
    <row r="82" ht="13.5" customHeight="1" s="981">
      <c r="A82" s="437" t="inlineStr">
        <is>
          <t>VND</t>
        </is>
      </c>
      <c r="B82" s="435" t="inlineStr">
        <is>
          <t>VNDirect</t>
        </is>
      </c>
      <c r="C82" s="435" t="inlineStr">
        <is>
          <t>Chứng khoán</t>
        </is>
      </c>
      <c r="D82" s="523" t="n">
        <v>17800</v>
      </c>
      <c r="E82" s="435" t="n">
        <v>8.1</v>
      </c>
      <c r="F82" s="435" t="n">
        <v>1.7</v>
      </c>
      <c r="G82" s="435" t="n">
        <v>10.8</v>
      </c>
      <c r="H82" s="435" t="n">
        <v>44500</v>
      </c>
      <c r="I82" s="435" t="n">
        <v>2200</v>
      </c>
      <c r="J82" s="435" t="n">
        <v>-5.5</v>
      </c>
      <c r="K82" s="437" t="inlineStr">
        <is>
          <t>GIỮ</t>
        </is>
      </c>
      <c r="L82" s="438" t="inlineStr">
        <is>
          <t>CK lớn</t>
        </is>
      </c>
      <c r="M82" s="521" t="n">
        <v>8500</v>
      </c>
      <c r="N82" s="521" t="n">
        <v>3500</v>
      </c>
      <c r="O82" s="521" t="n">
        <v>2200</v>
      </c>
      <c r="P82" s="521" t="n">
        <v>4500</v>
      </c>
      <c r="Q82" s="521" t="n">
        <v>1200</v>
      </c>
      <c r="R82" s="521" t="n">
        <v>26.7</v>
      </c>
      <c r="S82" s="521" t="n">
        <v>18</v>
      </c>
      <c r="T82" s="521" t="n">
        <v>0.4</v>
      </c>
      <c r="U82" s="521" t="n">
        <v>2</v>
      </c>
      <c r="V82" s="521" t="n">
        <v>600</v>
      </c>
      <c r="W82" s="521" t="n">
        <v>18.5</v>
      </c>
      <c r="X82" s="521" t="n">
        <v>3.5</v>
      </c>
      <c r="Y82" s="521" t="inlineStr">
        <is>
          <t>Phạm Tiến Đạt</t>
        </is>
      </c>
      <c r="Z82" s="521" t="n">
        <v>70</v>
      </c>
      <c r="AA82" s="521" t="inlineStr">
        <is>
          <t>🟡 TB</t>
        </is>
      </c>
      <c r="AB82" s="521" t="n"/>
      <c r="AC82" s="522" t="inlineStr">
        <is>
          <t>HOSE</t>
        </is>
      </c>
      <c r="AD82" s="1024">
        <f>IF(A84='🎯 SÓI v42 — TRA CỨU &amp; DEEP DIV'!$C$4,"⭐ ĐANG XEM","")</f>
        <v/>
      </c>
    </row>
    <row r="83" ht="13.5" customHeight="1" s="981">
      <c r="A83" s="433" t="inlineStr">
        <is>
          <t>HCM</t>
        </is>
      </c>
      <c r="B83" s="431" t="inlineStr">
        <is>
          <t>HSC</t>
        </is>
      </c>
      <c r="C83" s="431" t="inlineStr">
        <is>
          <t>Chứng khoán</t>
        </is>
      </c>
      <c r="D83" s="520" t="n">
        <v>27550</v>
      </c>
      <c r="E83" s="431" t="n">
        <v>15.8</v>
      </c>
      <c r="F83" s="431" t="n">
        <v>1.7</v>
      </c>
      <c r="G83" s="431" t="n">
        <v>11.5</v>
      </c>
      <c r="H83" s="431" t="n">
        <v>41325</v>
      </c>
      <c r="I83" s="431" t="n">
        <v>1744</v>
      </c>
      <c r="J83" s="431" t="n">
        <v>12.5</v>
      </c>
      <c r="K83" s="524" t="inlineStr">
        <is>
          <t>MUA</t>
        </is>
      </c>
      <c r="L83" s="1104" t="inlineStr">
        <is>
          <t>Khối ngoại sở hữu</t>
        </is>
      </c>
      <c r="M83" s="521" t="n">
        <v>12000</v>
      </c>
      <c r="N83" s="521" t="n">
        <v>4500</v>
      </c>
      <c r="O83" s="521" t="n">
        <v>3500</v>
      </c>
      <c r="P83" s="521" t="n">
        <v>5500</v>
      </c>
      <c r="Q83" s="521" t="n">
        <v>1800</v>
      </c>
      <c r="R83" s="521" t="n">
        <v>32.7</v>
      </c>
      <c r="S83" s="521" t="n">
        <v>22</v>
      </c>
      <c r="T83" s="521" t="n">
        <v>0.4</v>
      </c>
      <c r="U83" s="521" t="n">
        <v>2.5</v>
      </c>
      <c r="V83" s="521" t="n">
        <v>800</v>
      </c>
      <c r="W83" s="521" t="n">
        <v>28.5</v>
      </c>
      <c r="X83" s="521" t="n">
        <v>5.5</v>
      </c>
      <c r="Y83" s="521" t="inlineStr">
        <is>
          <t>Trịnh Hoài Giang</t>
        </is>
      </c>
      <c r="Z83" s="521" t="n">
        <v>75</v>
      </c>
      <c r="AA83" s="521" t="inlineStr">
        <is>
          <t>🟢 Tốt</t>
        </is>
      </c>
      <c r="AB83" s="521" t="n"/>
      <c r="AC83" s="522" t="inlineStr">
        <is>
          <t>HOSE</t>
        </is>
      </c>
      <c r="AD83" s="1024">
        <f>IF(A85='🎯 SÓI v42 — TRA CỨU &amp; DEEP DIV'!$C$4,"⭐ ĐANG XEM","")</f>
        <v/>
      </c>
    </row>
    <row r="84" ht="13.5" customHeight="1" s="981">
      <c r="A84" s="437" t="inlineStr">
        <is>
          <t>VCI</t>
        </is>
      </c>
      <c r="B84" s="435" t="inlineStr">
        <is>
          <t>Vietcap</t>
        </is>
      </c>
      <c r="C84" s="435" t="inlineStr">
        <is>
          <t>Chứng khoán</t>
        </is>
      </c>
      <c r="D84" s="523" t="n">
        <v>25000</v>
      </c>
      <c r="E84" s="435" t="n">
        <v>7.8</v>
      </c>
      <c r="F84" s="435" t="n">
        <v>2.1</v>
      </c>
      <c r="G84" s="435" t="n">
        <v>16.5</v>
      </c>
      <c r="H84" s="435" t="n">
        <v>30000</v>
      </c>
      <c r="I84" s="435" t="n">
        <v>3200</v>
      </c>
      <c r="J84" s="435" t="n">
        <v>18.5</v>
      </c>
      <c r="K84" s="524" t="inlineStr">
        <is>
          <t>MUA</t>
        </is>
      </c>
      <c r="L84" s="438" t="inlineStr">
        <is>
          <t>Tăng trưởng tốt</t>
        </is>
      </c>
      <c r="M84" s="521" t="n">
        <v>5000</v>
      </c>
      <c r="N84" s="521" t="n">
        <v>3000</v>
      </c>
      <c r="O84" s="521" t="n">
        <v>1500</v>
      </c>
      <c r="P84" s="521" t="n">
        <v>8000</v>
      </c>
      <c r="Q84" s="521" t="n">
        <v>1000</v>
      </c>
      <c r="R84" s="521" t="n">
        <v>12.5</v>
      </c>
      <c r="S84" s="521" t="n">
        <v>12</v>
      </c>
      <c r="T84" s="521" t="n">
        <v>0.6</v>
      </c>
      <c r="U84" s="521" t="n">
        <v>1.5</v>
      </c>
      <c r="V84" s="521" t="n">
        <v>500</v>
      </c>
      <c r="W84" s="521" t="n">
        <v>12</v>
      </c>
      <c r="X84" s="521" t="n">
        <v>3</v>
      </c>
      <c r="Y84" s="521" t="inlineStr">
        <is>
          <t>Ban lãnh đạo</t>
        </is>
      </c>
      <c r="Z84" s="521" t="n">
        <v>65</v>
      </c>
      <c r="AA84" s="521" t="inlineStr">
        <is>
          <t>🟡 TB</t>
        </is>
      </c>
      <c r="AB84" s="521" t="n"/>
      <c r="AC84" s="528" t="inlineStr">
        <is>
          <t>HNX</t>
        </is>
      </c>
      <c r="AD84" s="1024">
        <f>IF(A86='🎯 SÓI v42 — TRA CỨU &amp; DEEP DIV'!$C$4,"⭐ ĐANG XEM","")</f>
        <v/>
      </c>
    </row>
    <row r="85" ht="13.5" customHeight="1" s="981">
      <c r="A85" s="433" t="inlineStr">
        <is>
          <t>SHS</t>
        </is>
      </c>
      <c r="B85" s="431" t="inlineStr">
        <is>
          <t>SHS</t>
        </is>
      </c>
      <c r="C85" s="431" t="inlineStr">
        <is>
          <t>Chứng khoán</t>
        </is>
      </c>
      <c r="D85" s="520" t="n">
        <v>18000</v>
      </c>
      <c r="E85" s="431" t="n">
        <v>12.6</v>
      </c>
      <c r="F85" s="431" t="n">
        <v>1.1</v>
      </c>
      <c r="G85" s="431" t="n">
        <v>8.5</v>
      </c>
      <c r="H85" s="431" t="n">
        <v>1000</v>
      </c>
      <c r="I85" s="431" t="n">
        <v>1429</v>
      </c>
      <c r="J85" s="431" t="n">
        <v>-2.5</v>
      </c>
      <c r="K85" s="524" t="inlineStr">
        <is>
          <t>MUA</t>
        </is>
      </c>
      <c r="L85" s="1104" t="inlineStr">
        <is>
          <t>P/E rẻ</t>
        </is>
      </c>
      <c r="M85" s="521" t="n">
        <v>5000</v>
      </c>
      <c r="N85" s="521" t="n">
        <v>3000</v>
      </c>
      <c r="O85" s="521" t="n">
        <v>1500</v>
      </c>
      <c r="P85" s="521" t="n">
        <v>8000</v>
      </c>
      <c r="Q85" s="521" t="n">
        <v>1000</v>
      </c>
      <c r="R85" s="521" t="n">
        <v>12.5</v>
      </c>
      <c r="S85" s="521" t="n">
        <v>12</v>
      </c>
      <c r="T85" s="521" t="n">
        <v>0.6</v>
      </c>
      <c r="U85" s="521" t="n">
        <v>1.5</v>
      </c>
      <c r="V85" s="521" t="n">
        <v>500</v>
      </c>
      <c r="W85" s="521" t="n">
        <v>12</v>
      </c>
      <c r="X85" s="521" t="n">
        <v>3</v>
      </c>
      <c r="Y85" s="521" t="inlineStr">
        <is>
          <t>Ban lãnh đạo</t>
        </is>
      </c>
      <c r="Z85" s="521" t="n">
        <v>65</v>
      </c>
      <c r="AA85" s="521" t="inlineStr">
        <is>
          <t>🟡 TB</t>
        </is>
      </c>
      <c r="AB85" s="521" t="n"/>
      <c r="AC85" s="528" t="inlineStr">
        <is>
          <t>HNX</t>
        </is>
      </c>
      <c r="AD85" s="1024">
        <f>IF(A87='🎯 SÓI v42 — TRA CỨU &amp; DEEP DIV'!$C$4,"⭐ ĐANG XEM","")</f>
        <v/>
      </c>
    </row>
    <row r="86" ht="13.5" customHeight="1" s="981">
      <c r="A86" s="437" t="inlineStr">
        <is>
          <t>FTS</t>
        </is>
      </c>
      <c r="B86" s="435" t="inlineStr">
        <is>
          <t>FPT Securities</t>
        </is>
      </c>
      <c r="C86" s="435" t="inlineStr">
        <is>
          <t>Chứng khoán</t>
        </is>
      </c>
      <c r="D86" s="523" t="n">
        <v>23800</v>
      </c>
      <c r="E86" s="435" t="n">
        <v>16.4</v>
      </c>
      <c r="F86" s="435" t="n">
        <v>1.6</v>
      </c>
      <c r="G86" s="435" t="n">
        <v>10.5</v>
      </c>
      <c r="H86" s="435" t="n">
        <v>1000</v>
      </c>
      <c r="I86" s="435" t="n">
        <v>1451</v>
      </c>
      <c r="J86" s="435" t="n">
        <v>15.5</v>
      </c>
      <c r="K86" s="437" t="inlineStr">
        <is>
          <t>GIỮ</t>
        </is>
      </c>
      <c r="L86" s="438" t="inlineStr">
        <is>
          <t>CK FPT</t>
        </is>
      </c>
      <c r="M86" s="521" t="n">
        <v>5000</v>
      </c>
      <c r="N86" s="521" t="n">
        <v>3000</v>
      </c>
      <c r="O86" s="521" t="n">
        <v>1500</v>
      </c>
      <c r="P86" s="521" t="n">
        <v>8000</v>
      </c>
      <c r="Q86" s="521" t="n">
        <v>1000</v>
      </c>
      <c r="R86" s="521" t="n">
        <v>12.5</v>
      </c>
      <c r="S86" s="521" t="n">
        <v>12</v>
      </c>
      <c r="T86" s="521" t="n">
        <v>0.6</v>
      </c>
      <c r="U86" s="521" t="n">
        <v>1.5</v>
      </c>
      <c r="V86" s="521" t="n">
        <v>500</v>
      </c>
      <c r="W86" s="521" t="n">
        <v>12</v>
      </c>
      <c r="X86" s="521" t="n">
        <v>3</v>
      </c>
      <c r="Y86" s="521" t="inlineStr">
        <is>
          <t>Ban lãnh đạo</t>
        </is>
      </c>
      <c r="Z86" s="521" t="n">
        <v>65</v>
      </c>
      <c r="AA86" s="521" t="inlineStr">
        <is>
          <t>🟡 TB</t>
        </is>
      </c>
      <c r="AB86" s="521" t="n"/>
      <c r="AC86" s="522" t="inlineStr">
        <is>
          <t>HOSE</t>
        </is>
      </c>
      <c r="AD86" s="1024">
        <f>IF(A88='🎯 SÓI v42 — TRA CỨU &amp; DEEP DIV'!$C$4,"⭐ ĐANG XEM","")</f>
        <v/>
      </c>
    </row>
    <row r="87" ht="13.5" customHeight="1" s="981">
      <c r="A87" s="433" t="inlineStr">
        <is>
          <t>MBS</t>
        </is>
      </c>
      <c r="B87" s="431" t="inlineStr">
        <is>
          <t>MB Securities</t>
        </is>
      </c>
      <c r="C87" s="431" t="inlineStr">
        <is>
          <t>Chứng khoán</t>
        </is>
      </c>
      <c r="D87" s="520" t="n">
        <v>19900</v>
      </c>
      <c r="E87" s="431" t="n">
        <v>15.6</v>
      </c>
      <c r="F87" s="431" t="n">
        <v>1.8</v>
      </c>
      <c r="G87" s="431" t="n">
        <v>12.5</v>
      </c>
      <c r="H87" s="431" t="n">
        <v>1000</v>
      </c>
      <c r="I87" s="431" t="n">
        <v>1276</v>
      </c>
      <c r="J87" s="431" t="n">
        <v>12.5</v>
      </c>
      <c r="K87" s="524" t="inlineStr">
        <is>
          <t>MUA</t>
        </is>
      </c>
      <c r="L87" s="1104" t="n"/>
      <c r="M87" s="521" t="n">
        <v>5000</v>
      </c>
      <c r="N87" s="521" t="n">
        <v>3000</v>
      </c>
      <c r="O87" s="521" t="n">
        <v>1500</v>
      </c>
      <c r="P87" s="521" t="n">
        <v>8000</v>
      </c>
      <c r="Q87" s="521" t="n">
        <v>1000</v>
      </c>
      <c r="R87" s="521" t="n">
        <v>12.5</v>
      </c>
      <c r="S87" s="521" t="n">
        <v>12</v>
      </c>
      <c r="T87" s="521" t="n">
        <v>0.6</v>
      </c>
      <c r="U87" s="521" t="n">
        <v>1.5</v>
      </c>
      <c r="V87" s="521" t="n">
        <v>500</v>
      </c>
      <c r="W87" s="521" t="n">
        <v>12</v>
      </c>
      <c r="X87" s="521" t="n">
        <v>3</v>
      </c>
      <c r="Y87" s="521" t="inlineStr">
        <is>
          <t>Ban lãnh đạo</t>
        </is>
      </c>
      <c r="Z87" s="521" t="n">
        <v>65</v>
      </c>
      <c r="AA87" s="521" t="inlineStr">
        <is>
          <t>🟡 TB</t>
        </is>
      </c>
      <c r="AB87" s="521" t="n"/>
      <c r="AC87" s="528" t="inlineStr">
        <is>
          <t>HNX</t>
        </is>
      </c>
      <c r="AD87" s="1024">
        <f>IF(A89='🎯 SÓI v42 — TRA CỨU &amp; DEEP DIV'!$C$4,"⭐ ĐANG XEM","")</f>
        <v/>
      </c>
    </row>
    <row r="88" ht="13.5" customHeight="1" s="981">
      <c r="A88" s="437" t="inlineStr">
        <is>
          <t>CTS</t>
        </is>
      </c>
      <c r="B88" s="435" t="inlineStr">
        <is>
          <t>VietinBank Sec</t>
        </is>
      </c>
      <c r="C88" s="435" t="inlineStr">
        <is>
          <t>Chứng khoán</t>
        </is>
      </c>
      <c r="D88" s="523" t="n">
        <v>27600</v>
      </c>
      <c r="E88" s="435" t="n">
        <v>18.5</v>
      </c>
      <c r="F88" s="435" t="n">
        <v>1.4</v>
      </c>
      <c r="G88" s="435" t="n">
        <v>8.5</v>
      </c>
      <c r="H88" s="435" t="n">
        <v>1000</v>
      </c>
      <c r="I88" s="435" t="n">
        <v>1492</v>
      </c>
      <c r="J88" s="435" t="n">
        <v>5.5</v>
      </c>
      <c r="K88" s="437" t="inlineStr">
        <is>
          <t>GIỮ</t>
        </is>
      </c>
      <c r="L88" s="438" t="n"/>
      <c r="M88" s="521" t="n">
        <v>5000</v>
      </c>
      <c r="N88" s="521" t="n">
        <v>3000</v>
      </c>
      <c r="O88" s="521" t="n">
        <v>1500</v>
      </c>
      <c r="P88" s="521" t="n">
        <v>8000</v>
      </c>
      <c r="Q88" s="521" t="n">
        <v>1000</v>
      </c>
      <c r="R88" s="521" t="n">
        <v>12.5</v>
      </c>
      <c r="S88" s="521" t="n">
        <v>12</v>
      </c>
      <c r="T88" s="521" t="n">
        <v>0.6</v>
      </c>
      <c r="U88" s="521" t="n">
        <v>1.5</v>
      </c>
      <c r="V88" s="521" t="n">
        <v>500</v>
      </c>
      <c r="W88" s="521" t="n">
        <v>12</v>
      </c>
      <c r="X88" s="521" t="n">
        <v>3</v>
      </c>
      <c r="Y88" s="521" t="inlineStr">
        <is>
          <t>Ban lãnh đạo</t>
        </is>
      </c>
      <c r="Z88" s="521" t="n">
        <v>65</v>
      </c>
      <c r="AA88" s="521" t="inlineStr">
        <is>
          <t>🟡 TB</t>
        </is>
      </c>
      <c r="AB88" s="521" t="n"/>
      <c r="AC88" s="528" t="inlineStr">
        <is>
          <t>HNX</t>
        </is>
      </c>
      <c r="AD88" s="1024">
        <f>IF(A90='🎯 SÓI v42 — TRA CỨU &amp; DEEP DIV'!$C$4,"⭐ ĐANG XEM","")</f>
        <v/>
      </c>
    </row>
    <row r="89" ht="13.5" customHeight="1" s="981">
      <c r="A89" s="433" t="inlineStr">
        <is>
          <t>VFS</t>
        </is>
      </c>
      <c r="B89" s="431" t="inlineStr">
        <is>
          <t>VFS</t>
        </is>
      </c>
      <c r="C89" s="431" t="inlineStr">
        <is>
          <t>Chứng khoán</t>
        </is>
      </c>
      <c r="D89" s="520" t="n">
        <v>12100</v>
      </c>
      <c r="E89" s="431">
        <f>IFERROR(INDEX('📡 LIVE PRICE FEED'!$H$4:$H$300,MATCH(A91,'📡 LIVE PRICE FEED'!$A$4:$A$300,0)),6.5)</f>
        <v/>
      </c>
      <c r="F89" s="431">
        <f>IFERROR(INDEX('📡 LIVE PRICE FEED'!$I$4:$I$300,MATCH(A91,'📡 LIVE PRICE FEED'!$A$4:$A$300,0)),0.95)</f>
        <v/>
      </c>
      <c r="G89" s="431" t="n"/>
      <c r="H89" s="431" t="n">
        <v>1800</v>
      </c>
      <c r="I89" s="431" t="n"/>
      <c r="J89" s="431" t="n">
        <v>-8.5</v>
      </c>
      <c r="K89" s="524" t="inlineStr">
        <is>
          <t>MUA</t>
        </is>
      </c>
      <c r="L89" s="1104" t="inlineStr">
        <is>
          <t>P/E rẻ</t>
        </is>
      </c>
      <c r="M89" s="521" t="n">
        <v>5000</v>
      </c>
      <c r="N89" s="521" t="n">
        <v>3000</v>
      </c>
      <c r="O89" s="521" t="n">
        <v>1500</v>
      </c>
      <c r="P89" s="521" t="n">
        <v>8000</v>
      </c>
      <c r="Q89" s="521" t="n">
        <v>1000</v>
      </c>
      <c r="R89" s="521" t="n">
        <v>12.5</v>
      </c>
      <c r="S89" s="521" t="n">
        <v>12</v>
      </c>
      <c r="T89" s="521" t="n">
        <v>0.6</v>
      </c>
      <c r="U89" s="521" t="n">
        <v>1.5</v>
      </c>
      <c r="V89" s="521" t="n">
        <v>500</v>
      </c>
      <c r="W89" s="521" t="n">
        <v>12</v>
      </c>
      <c r="X89" s="521" t="n">
        <v>3</v>
      </c>
      <c r="Y89" s="521" t="inlineStr">
        <is>
          <t>Ban lãnh đạo</t>
        </is>
      </c>
      <c r="Z89" s="521" t="n">
        <v>65</v>
      </c>
      <c r="AA89" s="521" t="inlineStr">
        <is>
          <t>🟡 TB</t>
        </is>
      </c>
      <c r="AB89" s="521" t="n"/>
      <c r="AC89" s="522" t="inlineStr">
        <is>
          <t>HOSE</t>
        </is>
      </c>
      <c r="AD89" s="1024">
        <f>IF(A91='🎯 SÓI v42 — TRA CỨU &amp; DEEP DIV'!$C$4,"⭐ ĐANG XEM","")</f>
        <v/>
      </c>
    </row>
    <row r="90" ht="13.5" customHeight="1" s="981">
      <c r="A90" s="437" t="inlineStr">
        <is>
          <t>TCBS</t>
        </is>
      </c>
      <c r="B90" s="435" t="inlineStr">
        <is>
          <t>Techcom Securities</t>
        </is>
      </c>
      <c r="C90" s="435" t="inlineStr">
        <is>
          <t>Chứng khoán</t>
        </is>
      </c>
      <c r="D90" s="523">
        <f>IFERROR(INDEX('📡 LIVE PRICE FEED'!$D$4:$D$300,MATCH(A92,'📡 LIVE PRICE FEED'!$A$4:$A$300,0)),22500)</f>
        <v/>
      </c>
      <c r="E90" s="435">
        <f>IFERROR(INDEX('📡 LIVE PRICE FEED'!$H$4:$H$300,MATCH(A92,'📡 LIVE PRICE FEED'!$A$4:$A$300,0)),9.5)</f>
        <v/>
      </c>
      <c r="F90" s="435">
        <f>IFERROR(INDEX('📡 LIVE PRICE FEED'!$I$4:$I$300,MATCH(A92,'📡 LIVE PRICE FEED'!$A$4:$A$300,0)),1.85)</f>
        <v/>
      </c>
      <c r="G90" s="435" t="n"/>
      <c r="H90" s="435" t="n">
        <v>18000</v>
      </c>
      <c r="I90" s="435" t="n"/>
      <c r="J90" s="435" t="n">
        <v>18.5</v>
      </c>
      <c r="K90" s="524" t="inlineStr">
        <is>
          <t>MUA</t>
        </is>
      </c>
      <c r="L90" s="438" t="inlineStr">
        <is>
          <t>CK Techcom</t>
        </is>
      </c>
      <c r="M90" s="521" t="n">
        <v>5000</v>
      </c>
      <c r="N90" s="521" t="n">
        <v>3000</v>
      </c>
      <c r="O90" s="521" t="n">
        <v>1500</v>
      </c>
      <c r="P90" s="521" t="n">
        <v>8000</v>
      </c>
      <c r="Q90" s="521" t="n">
        <v>1000</v>
      </c>
      <c r="R90" s="521" t="n">
        <v>12.5</v>
      </c>
      <c r="S90" s="521" t="n">
        <v>12</v>
      </c>
      <c r="T90" s="521" t="n">
        <v>0.6</v>
      </c>
      <c r="U90" s="521" t="n">
        <v>1.5</v>
      </c>
      <c r="V90" s="521" t="n">
        <v>500</v>
      </c>
      <c r="W90" s="521" t="n">
        <v>12</v>
      </c>
      <c r="X90" s="521" t="n">
        <v>3</v>
      </c>
      <c r="Y90" s="521" t="inlineStr">
        <is>
          <t>Ban lãnh đạo</t>
        </is>
      </c>
      <c r="Z90" s="521" t="n">
        <v>65</v>
      </c>
      <c r="AA90" s="521" t="inlineStr">
        <is>
          <t>🟡 TB</t>
        </is>
      </c>
      <c r="AB90" s="521" t="n"/>
      <c r="AC90" s="522" t="inlineStr">
        <is>
          <t>HOSE</t>
        </is>
      </c>
      <c r="AD90" s="1024">
        <f>IF(A92='🎯 SÓI v42 — TRA CỨU &amp; DEEP DIV'!$C$4,"⭐ ĐANG XEM","")</f>
        <v/>
      </c>
    </row>
    <row r="91" ht="13.5" customHeight="1" s="981">
      <c r="A91" s="433" t="inlineStr">
        <is>
          <t>BVH</t>
        </is>
      </c>
      <c r="B91" s="431" t="inlineStr">
        <is>
          <t>Bảo Việt</t>
        </is>
      </c>
      <c r="C91" s="431" t="inlineStr">
        <is>
          <t>Bảo hiểm</t>
        </is>
      </c>
      <c r="D91" s="520" t="n">
        <v>67000</v>
      </c>
      <c r="E91" s="431" t="n">
        <v>22.5</v>
      </c>
      <c r="F91" s="431" t="n">
        <v>1.5</v>
      </c>
      <c r="G91" s="431" t="n">
        <v>6.8</v>
      </c>
      <c r="H91" s="431" t="n">
        <v>50250</v>
      </c>
      <c r="I91" s="431" t="n">
        <v>2978</v>
      </c>
      <c r="J91" s="431" t="n">
        <v>2.5</v>
      </c>
      <c r="K91" s="433" t="inlineStr">
        <is>
          <t>GIỮ</t>
        </is>
      </c>
      <c r="L91" s="1104" t="inlineStr">
        <is>
          <t>BH lớn nhất VN</t>
        </is>
      </c>
      <c r="M91" s="521" t="n">
        <v>18000</v>
      </c>
      <c r="N91" s="521" t="n">
        <v>12000</v>
      </c>
      <c r="O91" s="521" t="n">
        <v>4500</v>
      </c>
      <c r="P91" s="521" t="n">
        <v>15000</v>
      </c>
      <c r="Q91" s="521" t="n">
        <v>1800</v>
      </c>
      <c r="R91" s="521" t="n">
        <v>12</v>
      </c>
      <c r="S91" s="521" t="n">
        <v>8</v>
      </c>
      <c r="T91" s="521" t="n">
        <v>0.7</v>
      </c>
      <c r="U91" s="521" t="n">
        <v>1.5</v>
      </c>
      <c r="V91" s="521" t="n">
        <v>400</v>
      </c>
      <c r="W91" s="521" t="n">
        <v>18.5</v>
      </c>
      <c r="X91" s="521" t="n">
        <v>0.8</v>
      </c>
      <c r="Y91" s="521" t="inlineStr">
        <is>
          <t>Ngô Việt Trung</t>
        </is>
      </c>
      <c r="Z91" s="521" t="n">
        <v>72</v>
      </c>
      <c r="AA91" s="521" t="inlineStr">
        <is>
          <t>🟢 Tốt</t>
        </is>
      </c>
      <c r="AB91" s="521" t="n"/>
      <c r="AC91" s="522" t="inlineStr">
        <is>
          <t>HOSE</t>
        </is>
      </c>
      <c r="AD91" s="1024">
        <f>IF(A93='🎯 SÓI v42 — TRA CỨU &amp; DEEP DIV'!$C$4,"⭐ ĐANG XEM","")</f>
        <v/>
      </c>
    </row>
    <row r="92" ht="13.5" customHeight="1" s="981">
      <c r="A92" s="437" t="inlineStr">
        <is>
          <t>BMI</t>
        </is>
      </c>
      <c r="B92" s="435" t="inlineStr">
        <is>
          <t>Bảo Minh</t>
        </is>
      </c>
      <c r="C92" s="435" t="inlineStr">
        <is>
          <t>Bảo hiểm</t>
        </is>
      </c>
      <c r="D92" s="523" t="n">
        <v>14800</v>
      </c>
      <c r="E92" s="435" t="n">
        <v>14.5</v>
      </c>
      <c r="F92" s="435" t="n">
        <v>1</v>
      </c>
      <c r="G92" s="435" t="n">
        <v>7.5</v>
      </c>
      <c r="H92" s="435" t="n">
        <v>3700</v>
      </c>
      <c r="I92" s="435" t="n">
        <v>1021</v>
      </c>
      <c r="J92" s="435" t="n">
        <v>8.5</v>
      </c>
      <c r="K92" s="437" t="inlineStr">
        <is>
          <t>GIỮ</t>
        </is>
      </c>
      <c r="L92" s="438" t="n"/>
      <c r="M92" s="521" t="n">
        <v>5000</v>
      </c>
      <c r="N92" s="521" t="n">
        <v>3000</v>
      </c>
      <c r="O92" s="521" t="n">
        <v>1500</v>
      </c>
      <c r="P92" s="521" t="n">
        <v>8000</v>
      </c>
      <c r="Q92" s="521" t="n">
        <v>1000</v>
      </c>
      <c r="R92" s="521" t="n">
        <v>12.5</v>
      </c>
      <c r="S92" s="521" t="n">
        <v>12</v>
      </c>
      <c r="T92" s="521" t="n">
        <v>0.6</v>
      </c>
      <c r="U92" s="521" t="n">
        <v>1.5</v>
      </c>
      <c r="V92" s="521" t="n">
        <v>500</v>
      </c>
      <c r="W92" s="521" t="n">
        <v>12</v>
      </c>
      <c r="X92" s="521" t="n">
        <v>3</v>
      </c>
      <c r="Y92" s="521" t="inlineStr">
        <is>
          <t>Ban lãnh đạo</t>
        </is>
      </c>
      <c r="Z92" s="521" t="n">
        <v>65</v>
      </c>
      <c r="AA92" s="521" t="inlineStr">
        <is>
          <t>🟡 TB</t>
        </is>
      </c>
      <c r="AB92" s="521" t="n"/>
      <c r="AC92" s="522" t="inlineStr">
        <is>
          <t>HOSE</t>
        </is>
      </c>
      <c r="AD92" s="1024">
        <f>IF(A94='🎯 SÓI v42 — TRA CỨU &amp; DEEP DIV'!$C$4,"⭐ ĐANG XEM","")</f>
        <v/>
      </c>
    </row>
    <row r="93" ht="13.5" customHeight="1" s="981">
      <c r="A93" s="433" t="inlineStr">
        <is>
          <t>PVI</t>
        </is>
      </c>
      <c r="B93" s="431" t="inlineStr">
        <is>
          <t>PVI</t>
        </is>
      </c>
      <c r="C93" s="431" t="inlineStr">
        <is>
          <t>Bảo hiểm</t>
        </is>
      </c>
      <c r="D93" s="520" t="n">
        <v>78000</v>
      </c>
      <c r="E93" s="431" t="n">
        <v>12.5</v>
      </c>
      <c r="F93" s="431" t="n">
        <v>1.3</v>
      </c>
      <c r="G93" s="431" t="n">
        <v>11.5</v>
      </c>
      <c r="H93" s="431" t="n">
        <v>27300</v>
      </c>
      <c r="I93" s="431" t="n">
        <v>6240</v>
      </c>
      <c r="J93" s="431" t="n">
        <v>18.5</v>
      </c>
      <c r="K93" s="524" t="inlineStr">
        <is>
          <t>MUA</t>
        </is>
      </c>
      <c r="L93" s="1104" t="inlineStr">
        <is>
          <t>BH dầu khí</t>
        </is>
      </c>
      <c r="M93" s="521" t="n">
        <v>5000</v>
      </c>
      <c r="N93" s="521" t="n">
        <v>3000</v>
      </c>
      <c r="O93" s="521" t="n">
        <v>1500</v>
      </c>
      <c r="P93" s="521" t="n">
        <v>8000</v>
      </c>
      <c r="Q93" s="521" t="n">
        <v>1000</v>
      </c>
      <c r="R93" s="521" t="n">
        <v>12.5</v>
      </c>
      <c r="S93" s="521" t="n">
        <v>12</v>
      </c>
      <c r="T93" s="521" t="n">
        <v>0.6</v>
      </c>
      <c r="U93" s="521" t="n">
        <v>1.5</v>
      </c>
      <c r="V93" s="521" t="n">
        <v>500</v>
      </c>
      <c r="W93" s="521" t="n">
        <v>12</v>
      </c>
      <c r="X93" s="521" t="n">
        <v>3</v>
      </c>
      <c r="Y93" s="521" t="inlineStr">
        <is>
          <t>Ban lãnh đạo</t>
        </is>
      </c>
      <c r="Z93" s="521" t="n">
        <v>65</v>
      </c>
      <c r="AA93" s="521" t="inlineStr">
        <is>
          <t>🟡 TB</t>
        </is>
      </c>
      <c r="AB93" s="521" t="n"/>
      <c r="AC93" s="522" t="inlineStr">
        <is>
          <t>HOSE</t>
        </is>
      </c>
      <c r="AD93" s="1024">
        <f>IF(A95='🎯 SÓI v42 — TRA CỨU &amp; DEEP DIV'!$C$4,"⭐ ĐANG XEM","")</f>
        <v/>
      </c>
    </row>
    <row r="94" ht="13.5" customHeight="1" s="981">
      <c r="A94" s="437" t="inlineStr">
        <is>
          <t>PGI</t>
        </is>
      </c>
      <c r="B94" s="435" t="inlineStr">
        <is>
          <t>PGI</t>
        </is>
      </c>
      <c r="C94" s="435" t="inlineStr">
        <is>
          <t>Bảo hiểm</t>
        </is>
      </c>
      <c r="D94" s="523" t="n">
        <v>18100</v>
      </c>
      <c r="E94" s="435" t="n">
        <v>14.5</v>
      </c>
      <c r="F94" s="435" t="n">
        <v>1.2</v>
      </c>
      <c r="G94" s="435" t="n">
        <v>10.5</v>
      </c>
      <c r="H94" s="435" t="n">
        <v>1000</v>
      </c>
      <c r="I94" s="435" t="n">
        <v>1248</v>
      </c>
      <c r="J94" s="435" t="n">
        <v>12.5</v>
      </c>
      <c r="K94" s="437" t="inlineStr">
        <is>
          <t>GIỮ</t>
        </is>
      </c>
      <c r="L94" s="438" t="n"/>
      <c r="M94" s="521" t="n">
        <v>5000</v>
      </c>
      <c r="N94" s="521" t="n">
        <v>3000</v>
      </c>
      <c r="O94" s="521" t="n">
        <v>1500</v>
      </c>
      <c r="P94" s="521" t="n">
        <v>8000</v>
      </c>
      <c r="Q94" s="521" t="n">
        <v>1000</v>
      </c>
      <c r="R94" s="521" t="n">
        <v>12.5</v>
      </c>
      <c r="S94" s="521" t="n">
        <v>12</v>
      </c>
      <c r="T94" s="521" t="n">
        <v>0.6</v>
      </c>
      <c r="U94" s="521" t="n">
        <v>1.5</v>
      </c>
      <c r="V94" s="521" t="n">
        <v>500</v>
      </c>
      <c r="W94" s="521" t="n">
        <v>12</v>
      </c>
      <c r="X94" s="521" t="n">
        <v>3</v>
      </c>
      <c r="Y94" s="521" t="inlineStr">
        <is>
          <t>Ban lãnh đạo</t>
        </is>
      </c>
      <c r="Z94" s="521" t="n">
        <v>65</v>
      </c>
      <c r="AA94" s="521" t="inlineStr">
        <is>
          <t>🟡 TB</t>
        </is>
      </c>
      <c r="AB94" s="521" t="n"/>
      <c r="AC94" s="528" t="inlineStr">
        <is>
          <t>HNX</t>
        </is>
      </c>
      <c r="AD94" s="1024">
        <f>IF(A96='🎯 SÓI v42 — TRA CỨU &amp; DEEP DIV'!$C$4,"⭐ ĐANG XEM","")</f>
        <v/>
      </c>
    </row>
    <row r="95" ht="13.5" customHeight="1" s="981">
      <c r="A95" s="433" t="inlineStr">
        <is>
          <t>MIG</t>
        </is>
      </c>
      <c r="B95" s="431" t="inlineStr">
        <is>
          <t>Quân Đội</t>
        </is>
      </c>
      <c r="C95" s="431" t="inlineStr">
        <is>
          <t>Bảo hiểm</t>
        </is>
      </c>
      <c r="D95" s="520" t="n">
        <v>18600</v>
      </c>
      <c r="E95" s="431" t="n">
        <v>16.5</v>
      </c>
      <c r="F95" s="431" t="n">
        <v>1.2</v>
      </c>
      <c r="G95" s="431" t="n">
        <v>8.5</v>
      </c>
      <c r="H95" s="431" t="n">
        <v>4650</v>
      </c>
      <c r="I95" s="431" t="n">
        <v>1127</v>
      </c>
      <c r="J95" s="431" t="n">
        <v>8.5</v>
      </c>
      <c r="K95" s="433" t="inlineStr">
        <is>
          <t>GIỮ</t>
        </is>
      </c>
      <c r="L95" s="1104" t="n"/>
      <c r="M95" s="521" t="n">
        <v>5000</v>
      </c>
      <c r="N95" s="521" t="n">
        <v>3000</v>
      </c>
      <c r="O95" s="521" t="n">
        <v>1500</v>
      </c>
      <c r="P95" s="521" t="n">
        <v>8000</v>
      </c>
      <c r="Q95" s="521" t="n">
        <v>1000</v>
      </c>
      <c r="R95" s="521" t="n">
        <v>12.5</v>
      </c>
      <c r="S95" s="521" t="n">
        <v>12</v>
      </c>
      <c r="T95" s="521" t="n">
        <v>0.6</v>
      </c>
      <c r="U95" s="521" t="n">
        <v>1.5</v>
      </c>
      <c r="V95" s="521" t="n">
        <v>500</v>
      </c>
      <c r="W95" s="521" t="n">
        <v>12</v>
      </c>
      <c r="X95" s="521" t="n">
        <v>3</v>
      </c>
      <c r="Y95" s="521" t="inlineStr">
        <is>
          <t>Ban lãnh đạo</t>
        </is>
      </c>
      <c r="Z95" s="521" t="n">
        <v>65</v>
      </c>
      <c r="AA95" s="521" t="inlineStr">
        <is>
          <t>🟡 TB</t>
        </is>
      </c>
      <c r="AB95" s="521" t="n"/>
      <c r="AC95" s="522" t="inlineStr">
        <is>
          <t>HOSE</t>
        </is>
      </c>
      <c r="AD95" s="1024">
        <f>IF(A97='🎯 SÓI v42 — TRA CỨU &amp; DEEP DIV'!$C$4,"⭐ ĐANG XEM","")</f>
        <v/>
      </c>
    </row>
    <row r="96" ht="13.5" customHeight="1" s="981">
      <c r="A96" s="437" t="inlineStr">
        <is>
          <t>GMD</t>
        </is>
      </c>
      <c r="B96" s="435" t="inlineStr">
        <is>
          <t>Gemadept</t>
        </is>
      </c>
      <c r="C96" s="435" t="inlineStr">
        <is>
          <t>Cảng</t>
        </is>
      </c>
      <c r="D96" s="523" t="n">
        <v>72500</v>
      </c>
      <c r="E96" s="435" t="n">
        <v>18.6</v>
      </c>
      <c r="F96" s="435" t="n">
        <v>2.5</v>
      </c>
      <c r="G96" s="435" t="n">
        <v>12.5</v>
      </c>
      <c r="H96" s="435" t="n">
        <v>60175</v>
      </c>
      <c r="I96" s="435" t="n">
        <v>3898</v>
      </c>
      <c r="J96" s="435" t="n">
        <v>22.5</v>
      </c>
      <c r="K96" s="524" t="inlineStr">
        <is>
          <t>MUA</t>
        </is>
      </c>
      <c r="L96" s="438" t="inlineStr">
        <is>
          <t>Cảng + logistics</t>
        </is>
      </c>
      <c r="M96" s="521" t="n">
        <v>5500</v>
      </c>
      <c r="N96" s="521" t="n">
        <v>5500</v>
      </c>
      <c r="O96" s="521" t="n">
        <v>2800</v>
      </c>
      <c r="P96" s="521" t="n">
        <v>5500</v>
      </c>
      <c r="Q96" s="521" t="n">
        <v>1500</v>
      </c>
      <c r="R96" s="521" t="n">
        <v>27.3</v>
      </c>
      <c r="S96" s="521" t="n">
        <v>18</v>
      </c>
      <c r="T96" s="521" t="n">
        <v>1</v>
      </c>
      <c r="U96" s="521" t="n">
        <v>3.5</v>
      </c>
      <c r="V96" s="521" t="n">
        <v>1500</v>
      </c>
      <c r="W96" s="521" t="n">
        <v>15.5</v>
      </c>
      <c r="X96" s="521" t="n">
        <v>8.5</v>
      </c>
      <c r="Y96" s="521" t="inlineStr">
        <is>
          <t>Đỗ Văn Nhân</t>
        </is>
      </c>
      <c r="Z96" s="521" t="n">
        <v>75</v>
      </c>
      <c r="AA96" s="521" t="inlineStr">
        <is>
          <t>🟢 Tốt</t>
        </is>
      </c>
      <c r="AB96" s="521" t="n"/>
      <c r="AC96" s="522" t="inlineStr">
        <is>
          <t>HOSE</t>
        </is>
      </c>
      <c r="AD96" s="1024">
        <f>IF(A98='🎯 SÓI v42 — TRA CỨU &amp; DEEP DIV'!$C$4,"⭐ ĐANG XEM","")</f>
        <v/>
      </c>
    </row>
    <row r="97" ht="13.5" customHeight="1" s="981">
      <c r="A97" s="433" t="inlineStr">
        <is>
          <t>HAH</t>
        </is>
      </c>
      <c r="B97" s="431" t="inlineStr">
        <is>
          <t>Hải An</t>
        </is>
      </c>
      <c r="C97" s="431" t="inlineStr">
        <is>
          <t>Vận tải biển</t>
        </is>
      </c>
      <c r="D97" s="520" t="n">
        <v>54000</v>
      </c>
      <c r="E97" s="431" t="n">
        <v>11.5</v>
      </c>
      <c r="F97" s="431" t="n">
        <v>1.4</v>
      </c>
      <c r="G97" s="431" t="n">
        <v>12.5</v>
      </c>
      <c r="H97" s="431" t="n">
        <v>8100</v>
      </c>
      <c r="I97" s="431" t="n">
        <v>4696</v>
      </c>
      <c r="J97" s="431" t="n">
        <v>28.5</v>
      </c>
      <c r="K97" s="524" t="inlineStr">
        <is>
          <t>MUA</t>
        </is>
      </c>
      <c r="L97" s="1104" t="inlineStr">
        <is>
          <t>Vận tải biển</t>
        </is>
      </c>
      <c r="M97" s="521" t="n">
        <v>5000</v>
      </c>
      <c r="N97" s="521" t="n">
        <v>3000</v>
      </c>
      <c r="O97" s="521" t="n">
        <v>1500</v>
      </c>
      <c r="P97" s="521" t="n">
        <v>8000</v>
      </c>
      <c r="Q97" s="521" t="n">
        <v>1000</v>
      </c>
      <c r="R97" s="521" t="n">
        <v>12.5</v>
      </c>
      <c r="S97" s="521" t="n">
        <v>12</v>
      </c>
      <c r="T97" s="521" t="n">
        <v>0.6</v>
      </c>
      <c r="U97" s="521" t="n">
        <v>1.5</v>
      </c>
      <c r="V97" s="521" t="n">
        <v>500</v>
      </c>
      <c r="W97" s="521" t="n">
        <v>12</v>
      </c>
      <c r="X97" s="521" t="n">
        <v>3</v>
      </c>
      <c r="Y97" s="521" t="inlineStr">
        <is>
          <t>Ban lãnh đạo</t>
        </is>
      </c>
      <c r="Z97" s="521" t="n">
        <v>65</v>
      </c>
      <c r="AA97" s="521" t="inlineStr">
        <is>
          <t>🟡 TB</t>
        </is>
      </c>
      <c r="AB97" s="521" t="n"/>
      <c r="AC97" s="522" t="inlineStr">
        <is>
          <t>HOSE</t>
        </is>
      </c>
      <c r="AD97" s="1024">
        <f>IF(A99='🎯 SÓI v42 — TRA CỨU &amp; DEEP DIV'!$C$4,"⭐ ĐANG XEM","")</f>
        <v/>
      </c>
    </row>
    <row r="98" ht="13.5" customHeight="1" s="981">
      <c r="A98" s="437" t="inlineStr">
        <is>
          <t>VOS</t>
        </is>
      </c>
      <c r="B98" s="435" t="inlineStr">
        <is>
          <t>Vận tải Bắc-Nam</t>
        </is>
      </c>
      <c r="C98" s="435" t="inlineStr">
        <is>
          <t>Vận tải biển</t>
        </is>
      </c>
      <c r="D98" s="523" t="n">
        <v>12450</v>
      </c>
      <c r="E98" s="435" t="n">
        <v>14.5</v>
      </c>
      <c r="F98" s="435" t="n">
        <v>0.95</v>
      </c>
      <c r="G98" s="435" t="n">
        <v>6.5</v>
      </c>
      <c r="H98" s="435" t="n">
        <v>1868</v>
      </c>
      <c r="I98" s="435" t="n">
        <v>859</v>
      </c>
      <c r="J98" s="435" t="n">
        <v>15.5</v>
      </c>
      <c r="K98" s="437" t="inlineStr">
        <is>
          <t>GIỮ</t>
        </is>
      </c>
      <c r="L98" s="438" t="n"/>
      <c r="M98" s="521" t="n">
        <v>5000</v>
      </c>
      <c r="N98" s="521" t="n">
        <v>3000</v>
      </c>
      <c r="O98" s="521" t="n">
        <v>1500</v>
      </c>
      <c r="P98" s="521" t="n">
        <v>8000</v>
      </c>
      <c r="Q98" s="521" t="n">
        <v>1000</v>
      </c>
      <c r="R98" s="521" t="n">
        <v>12.5</v>
      </c>
      <c r="S98" s="521" t="n">
        <v>12</v>
      </c>
      <c r="T98" s="521" t="n">
        <v>0.6</v>
      </c>
      <c r="U98" s="521" t="n">
        <v>1.5</v>
      </c>
      <c r="V98" s="521" t="n">
        <v>500</v>
      </c>
      <c r="W98" s="521" t="n">
        <v>12</v>
      </c>
      <c r="X98" s="521" t="n">
        <v>3</v>
      </c>
      <c r="Y98" s="521" t="inlineStr">
        <is>
          <t>Ban lãnh đạo</t>
        </is>
      </c>
      <c r="Z98" s="521" t="n">
        <v>65</v>
      </c>
      <c r="AA98" s="521" t="inlineStr">
        <is>
          <t>🟡 TB</t>
        </is>
      </c>
      <c r="AB98" s="521" t="n"/>
      <c r="AC98" s="522" t="inlineStr">
        <is>
          <t>HOSE</t>
        </is>
      </c>
      <c r="AD98" s="1024">
        <f>IF(A100='🎯 SÓI v42 — TRA CỨU &amp; DEEP DIV'!$C$4,"⭐ ĐANG XEM","")</f>
        <v/>
      </c>
    </row>
    <row r="99" ht="13.5" customHeight="1" s="981">
      <c r="A99" s="433" t="inlineStr">
        <is>
          <t>PVT</t>
        </is>
      </c>
      <c r="B99" s="431" t="inlineStr">
        <is>
          <t>Tàu PVN</t>
        </is>
      </c>
      <c r="C99" s="431" t="inlineStr">
        <is>
          <t>Vận tải biển</t>
        </is>
      </c>
      <c r="D99" s="520" t="n">
        <v>21900</v>
      </c>
      <c r="E99" s="431" t="n">
        <v>11.6</v>
      </c>
      <c r="F99" s="431" t="n">
        <v>1.4</v>
      </c>
      <c r="G99" s="431" t="n">
        <v>12.7</v>
      </c>
      <c r="H99" s="431" t="n">
        <v>1000</v>
      </c>
      <c r="I99" s="431" t="n">
        <v>1888</v>
      </c>
      <c r="J99" s="431" t="n">
        <v>18.5</v>
      </c>
      <c r="K99" s="524" t="inlineStr">
        <is>
          <t>MUA</t>
        </is>
      </c>
      <c r="L99" s="1104" t="inlineStr">
        <is>
          <t>Tàu chở dầu</t>
        </is>
      </c>
      <c r="M99" s="521" t="n">
        <v>5000</v>
      </c>
      <c r="N99" s="521" t="n">
        <v>3000</v>
      </c>
      <c r="O99" s="521" t="n">
        <v>1500</v>
      </c>
      <c r="P99" s="521" t="n">
        <v>8000</v>
      </c>
      <c r="Q99" s="521" t="n">
        <v>1000</v>
      </c>
      <c r="R99" s="521" t="n">
        <v>12.5</v>
      </c>
      <c r="S99" s="521" t="n">
        <v>12</v>
      </c>
      <c r="T99" s="521" t="n">
        <v>0.6</v>
      </c>
      <c r="U99" s="521" t="n">
        <v>1.5</v>
      </c>
      <c r="V99" s="521" t="n">
        <v>500</v>
      </c>
      <c r="W99" s="521" t="n">
        <v>12</v>
      </c>
      <c r="X99" s="521" t="n">
        <v>3</v>
      </c>
      <c r="Y99" s="521" t="inlineStr">
        <is>
          <t>Ban lãnh đạo</t>
        </is>
      </c>
      <c r="Z99" s="521" t="n">
        <v>65</v>
      </c>
      <c r="AA99" s="521" t="inlineStr">
        <is>
          <t>🟡 TB</t>
        </is>
      </c>
      <c r="AB99" s="521" t="n"/>
      <c r="AC99" s="522" t="inlineStr">
        <is>
          <t>HOSE</t>
        </is>
      </c>
      <c r="AD99" s="1024">
        <f>IF(A101='🎯 SÓI v42 — TRA CỨU &amp; DEEP DIV'!$C$4,"⭐ ĐANG XEM","")</f>
        <v/>
      </c>
    </row>
    <row r="100" ht="13.5" customHeight="1" s="981">
      <c r="A100" s="437" t="inlineStr">
        <is>
          <t>VTP</t>
        </is>
      </c>
      <c r="B100" s="435" t="inlineStr">
        <is>
          <t>Viettel Post</t>
        </is>
      </c>
      <c r="C100" s="435" t="inlineStr">
        <is>
          <t>Logistics</t>
        </is>
      </c>
      <c r="D100" s="523" t="n">
        <v>65200</v>
      </c>
      <c r="E100" s="435" t="n">
        <v>16.5</v>
      </c>
      <c r="F100" s="435" t="n">
        <v>2.2</v>
      </c>
      <c r="G100" s="435" t="n">
        <v>14.5</v>
      </c>
      <c r="H100" s="435" t="n">
        <v>1000</v>
      </c>
      <c r="I100" s="435" t="n">
        <v>3952</v>
      </c>
      <c r="J100" s="435" t="n">
        <v>32.5</v>
      </c>
      <c r="K100" s="437" t="inlineStr">
        <is>
          <t>GIỮ</t>
        </is>
      </c>
      <c r="L100" s="438" t="inlineStr">
        <is>
          <t>Top logistics</t>
        </is>
      </c>
      <c r="M100" s="521" t="n">
        <v>5000</v>
      </c>
      <c r="N100" s="521" t="n">
        <v>3000</v>
      </c>
      <c r="O100" s="521" t="n">
        <v>1500</v>
      </c>
      <c r="P100" s="521" t="n">
        <v>8000</v>
      </c>
      <c r="Q100" s="521" t="n">
        <v>1000</v>
      </c>
      <c r="R100" s="521" t="n">
        <v>12.5</v>
      </c>
      <c r="S100" s="521" t="n">
        <v>12</v>
      </c>
      <c r="T100" s="521" t="n">
        <v>0.6</v>
      </c>
      <c r="U100" s="521" t="n">
        <v>1.5</v>
      </c>
      <c r="V100" s="521" t="n">
        <v>500</v>
      </c>
      <c r="W100" s="521" t="n">
        <v>12</v>
      </c>
      <c r="X100" s="521" t="n">
        <v>3</v>
      </c>
      <c r="Y100" s="521" t="inlineStr">
        <is>
          <t>Ban lãnh đạo</t>
        </is>
      </c>
      <c r="Z100" s="521" t="n">
        <v>65</v>
      </c>
      <c r="AA100" s="521" t="inlineStr">
        <is>
          <t>🟡 TB</t>
        </is>
      </c>
      <c r="AB100" s="521" t="n"/>
      <c r="AC100" s="522" t="inlineStr">
        <is>
          <t>HOSE</t>
        </is>
      </c>
      <c r="AD100" s="1024">
        <f>IF(A102='🎯 SÓI v42 — TRA CỨU &amp; DEEP DIV'!$C$4,"⭐ ĐANG XEM","")</f>
        <v/>
      </c>
    </row>
    <row r="101" ht="13.5" customHeight="1" s="981">
      <c r="A101" s="433" t="inlineStr">
        <is>
          <t>STG</t>
        </is>
      </c>
      <c r="B101" s="431" t="inlineStr">
        <is>
          <t>Sotrans</t>
        </is>
      </c>
      <c r="C101" s="431" t="inlineStr">
        <is>
          <t>Logistics</t>
        </is>
      </c>
      <c r="D101" s="520" t="n">
        <v>32650</v>
      </c>
      <c r="E101" s="431" t="n">
        <v>24.5</v>
      </c>
      <c r="F101" s="431" t="n">
        <v>1.3</v>
      </c>
      <c r="G101" s="431" t="n">
        <v>5.2</v>
      </c>
      <c r="H101" s="431" t="n">
        <v>1000</v>
      </c>
      <c r="I101" s="431" t="n">
        <v>1333</v>
      </c>
      <c r="J101" s="431" t="n">
        <v>12.5</v>
      </c>
      <c r="K101" s="524" t="inlineStr">
        <is>
          <t>MUA</t>
        </is>
      </c>
      <c r="L101" s="1104" t="n"/>
      <c r="M101" s="521" t="n">
        <v>5000</v>
      </c>
      <c r="N101" s="521" t="n">
        <v>3000</v>
      </c>
      <c r="O101" s="521" t="n">
        <v>1500</v>
      </c>
      <c r="P101" s="521" t="n">
        <v>8000</v>
      </c>
      <c r="Q101" s="521" t="n">
        <v>1000</v>
      </c>
      <c r="R101" s="521" t="n">
        <v>12.5</v>
      </c>
      <c r="S101" s="521" t="n">
        <v>12</v>
      </c>
      <c r="T101" s="521" t="n">
        <v>0.6</v>
      </c>
      <c r="U101" s="521" t="n">
        <v>1.5</v>
      </c>
      <c r="V101" s="521" t="n">
        <v>500</v>
      </c>
      <c r="W101" s="521" t="n">
        <v>12</v>
      </c>
      <c r="X101" s="521" t="n">
        <v>3</v>
      </c>
      <c r="Y101" s="521" t="inlineStr">
        <is>
          <t>Ban lãnh đạo</t>
        </is>
      </c>
      <c r="Z101" s="521" t="n">
        <v>65</v>
      </c>
      <c r="AA101" s="521" t="inlineStr">
        <is>
          <t>🟡 TB</t>
        </is>
      </c>
      <c r="AB101" s="521" t="n"/>
      <c r="AC101" s="522" t="inlineStr">
        <is>
          <t>HOSE</t>
        </is>
      </c>
      <c r="AD101" s="1024">
        <f>IF(A103='🎯 SÓI v42 — TRA CỨU &amp; DEEP DIV'!$C$4,"⭐ ĐANG XEM","")</f>
        <v/>
      </c>
    </row>
    <row r="102" ht="13.5" customHeight="1" s="981">
      <c r="A102" s="437" t="inlineStr">
        <is>
          <t>SCS</t>
        </is>
      </c>
      <c r="B102" s="435" t="inlineStr">
        <is>
          <t>Sài Gòn Cargo</t>
        </is>
      </c>
      <c r="C102" s="435" t="inlineStr">
        <is>
          <t>Cargo</t>
        </is>
      </c>
      <c r="D102" s="523" t="n">
        <v>51600</v>
      </c>
      <c r="E102" s="435" t="n">
        <v>15.4</v>
      </c>
      <c r="F102" s="435" t="n">
        <v>3.2</v>
      </c>
      <c r="G102" s="435" t="n">
        <v>22.5</v>
      </c>
      <c r="H102" s="435" t="n">
        <v>1000</v>
      </c>
      <c r="I102" s="435" t="n">
        <v>3351</v>
      </c>
      <c r="J102" s="435" t="n">
        <v>18.5</v>
      </c>
      <c r="K102" s="524" t="inlineStr">
        <is>
          <t>MUA</t>
        </is>
      </c>
      <c r="L102" s="438" t="inlineStr">
        <is>
          <t>Cargo SG</t>
        </is>
      </c>
      <c r="M102" s="521" t="n">
        <v>5000</v>
      </c>
      <c r="N102" s="521" t="n">
        <v>3000</v>
      </c>
      <c r="O102" s="521" t="n">
        <v>1500</v>
      </c>
      <c r="P102" s="521" t="n">
        <v>8000</v>
      </c>
      <c r="Q102" s="521" t="n">
        <v>1000</v>
      </c>
      <c r="R102" s="521" t="n">
        <v>12.5</v>
      </c>
      <c r="S102" s="521" t="n">
        <v>12</v>
      </c>
      <c r="T102" s="521" t="n">
        <v>0.6</v>
      </c>
      <c r="U102" s="521" t="n">
        <v>1.5</v>
      </c>
      <c r="V102" s="521" t="n">
        <v>500</v>
      </c>
      <c r="W102" s="521" t="n">
        <v>12</v>
      </c>
      <c r="X102" s="521" t="n">
        <v>3</v>
      </c>
      <c r="Y102" s="521" t="inlineStr">
        <is>
          <t>Ban lãnh đạo</t>
        </is>
      </c>
      <c r="Z102" s="521" t="n">
        <v>65</v>
      </c>
      <c r="AA102" s="521" t="inlineStr">
        <is>
          <t>🟡 TB</t>
        </is>
      </c>
      <c r="AB102" s="521" t="n"/>
      <c r="AC102" s="522" t="inlineStr">
        <is>
          <t>HOSE</t>
        </is>
      </c>
      <c r="AD102" s="1024">
        <f>IF(A104='🎯 SÓI v42 — TRA CỨU &amp; DEEP DIV'!$C$4,"⭐ ĐANG XEM","")</f>
        <v/>
      </c>
    </row>
    <row r="103" ht="13.5" customHeight="1" s="981">
      <c r="A103" s="433" t="inlineStr">
        <is>
          <t>NCT</t>
        </is>
      </c>
      <c r="B103" s="431" t="inlineStr">
        <is>
          <t>Cảng Nhà Bè</t>
        </is>
      </c>
      <c r="C103" s="431" t="inlineStr">
        <is>
          <t>Cargo</t>
        </is>
      </c>
      <c r="D103" s="520" t="n">
        <v>91000</v>
      </c>
      <c r="E103" s="431" t="n">
        <v>12.4</v>
      </c>
      <c r="F103" s="431" t="n">
        <v>2.4</v>
      </c>
      <c r="G103" s="431" t="n">
        <v>19.5</v>
      </c>
      <c r="H103" s="431" t="n">
        <v>1000</v>
      </c>
      <c r="I103" s="431" t="n">
        <v>7339</v>
      </c>
      <c r="J103" s="431" t="n">
        <v>5.5</v>
      </c>
      <c r="K103" s="433" t="inlineStr">
        <is>
          <t>GIỮ</t>
        </is>
      </c>
      <c r="L103" s="1104" t="n"/>
      <c r="M103" s="521" t="n">
        <v>5000</v>
      </c>
      <c r="N103" s="521" t="n">
        <v>3000</v>
      </c>
      <c r="O103" s="521" t="n">
        <v>1500</v>
      </c>
      <c r="P103" s="521" t="n">
        <v>8000</v>
      </c>
      <c r="Q103" s="521" t="n">
        <v>1000</v>
      </c>
      <c r="R103" s="521" t="n">
        <v>12.5</v>
      </c>
      <c r="S103" s="521" t="n">
        <v>12</v>
      </c>
      <c r="T103" s="521" t="n">
        <v>0.6</v>
      </c>
      <c r="U103" s="521" t="n">
        <v>1.5</v>
      </c>
      <c r="V103" s="521" t="n">
        <v>500</v>
      </c>
      <c r="W103" s="521" t="n">
        <v>12</v>
      </c>
      <c r="X103" s="521" t="n">
        <v>3</v>
      </c>
      <c r="Y103" s="521" t="inlineStr">
        <is>
          <t>Ban lãnh đạo</t>
        </is>
      </c>
      <c r="Z103" s="521" t="n">
        <v>65</v>
      </c>
      <c r="AA103" s="521" t="inlineStr">
        <is>
          <t>🟡 TB</t>
        </is>
      </c>
      <c r="AB103" s="521" t="n"/>
      <c r="AC103" s="522" t="inlineStr">
        <is>
          <t>HOSE</t>
        </is>
      </c>
      <c r="AD103" s="1024">
        <f>IF(A105='🎯 SÓI v42 — TRA CỨU &amp; DEEP DIV'!$C$4,"⭐ ĐANG XEM","")</f>
        <v/>
      </c>
    </row>
    <row r="104" ht="13.5" customHeight="1" s="981">
      <c r="A104" s="437" t="inlineStr">
        <is>
          <t>ACV</t>
        </is>
      </c>
      <c r="B104" s="435" t="inlineStr">
        <is>
          <t>Cảng Hàng Không VN</t>
        </is>
      </c>
      <c r="C104" s="435" t="inlineStr">
        <is>
          <t>Hàng không</t>
        </is>
      </c>
      <c r="D104" s="523" t="n">
        <v>43900</v>
      </c>
      <c r="E104" s="435" t="n">
        <v>24.5</v>
      </c>
      <c r="F104" s="435" t="n">
        <v>3.2</v>
      </c>
      <c r="G104" s="435" t="n">
        <v>12.8</v>
      </c>
      <c r="H104" s="435" t="n">
        <v>1000</v>
      </c>
      <c r="I104" s="435" t="n">
        <v>1792</v>
      </c>
      <c r="J104" s="435" t="n">
        <v>12.5</v>
      </c>
      <c r="K104" s="524" t="inlineStr">
        <is>
          <t>MUA</t>
        </is>
      </c>
      <c r="L104" s="438" t="inlineStr">
        <is>
          <t>Sân bay độc quyền</t>
        </is>
      </c>
      <c r="M104" s="521" t="n">
        <v>35000</v>
      </c>
      <c r="N104" s="521" t="n">
        <v>8500</v>
      </c>
      <c r="O104" s="521" t="n">
        <v>12000</v>
      </c>
      <c r="P104" s="521" t="n">
        <v>22000</v>
      </c>
      <c r="Q104" s="521" t="n">
        <v>8500</v>
      </c>
      <c r="R104" s="521" t="n">
        <v>38.6</v>
      </c>
      <c r="S104" s="521" t="n">
        <v>22</v>
      </c>
      <c r="T104" s="521" t="n">
        <v>0.2</v>
      </c>
      <c r="U104" s="521" t="n">
        <v>2</v>
      </c>
      <c r="V104" s="521" t="n">
        <v>2000</v>
      </c>
      <c r="W104" s="521" t="n">
        <v>5.5</v>
      </c>
      <c r="X104" s="521" t="n">
        <v>0.5</v>
      </c>
      <c r="Y104" s="521" t="inlineStr">
        <is>
          <t>Vũ Thế Phiệt</t>
        </is>
      </c>
      <c r="Z104" s="521" t="n">
        <v>75</v>
      </c>
      <c r="AA104" s="521" t="inlineStr">
        <is>
          <t>🟢 Tốt</t>
        </is>
      </c>
      <c r="AB104" s="521" t="n"/>
      <c r="AC104" s="528" t="inlineStr">
        <is>
          <t>UPCoM</t>
        </is>
      </c>
      <c r="AD104" s="1024">
        <f>IF(A106='🎯 SÓI v42 — TRA CỨU &amp; DEEP DIV'!$C$4,"⭐ ĐANG XEM","")</f>
        <v/>
      </c>
    </row>
    <row r="105" ht="13.5" customHeight="1" s="981">
      <c r="A105" s="433" t="inlineStr">
        <is>
          <t>VJC</t>
        </is>
      </c>
      <c r="B105" s="431" t="inlineStr">
        <is>
          <t>Vietjet Air</t>
        </is>
      </c>
      <c r="C105" s="431" t="inlineStr">
        <is>
          <t>Hàng không</t>
        </is>
      </c>
      <c r="D105" s="520" t="n">
        <v>170400</v>
      </c>
      <c r="E105" s="431" t="n">
        <v>28.4</v>
      </c>
      <c r="F105" s="431" t="n">
        <v>3.1</v>
      </c>
      <c r="G105" s="431" t="n">
        <v>10.5</v>
      </c>
      <c r="H105" s="431" t="n">
        <v>187440</v>
      </c>
      <c r="I105" s="431" t="n">
        <v>6000</v>
      </c>
      <c r="J105" s="431" t="n">
        <v>8.5</v>
      </c>
      <c r="K105" s="433" t="inlineStr">
        <is>
          <t>GIỮ</t>
        </is>
      </c>
      <c r="L105" s="1104" t="inlineStr">
        <is>
          <t>Hàng không giá rẻ</t>
        </is>
      </c>
      <c r="M105" s="521" t="n">
        <v>8500</v>
      </c>
      <c r="N105" s="521" t="n">
        <v>15000</v>
      </c>
      <c r="O105" s="521" t="n">
        <v>4500</v>
      </c>
      <c r="P105" s="521" t="n">
        <v>28000</v>
      </c>
      <c r="Q105" s="521" t="n">
        <v>2500</v>
      </c>
      <c r="R105" s="521" t="n">
        <v>8.9</v>
      </c>
      <c r="S105" s="521" t="n">
        <v>12</v>
      </c>
      <c r="T105" s="521" t="n">
        <v>1.8</v>
      </c>
      <c r="U105" s="521" t="n">
        <v>0</v>
      </c>
      <c r="V105" s="521" t="n">
        <v>0</v>
      </c>
      <c r="W105" s="521" t="n">
        <v>18.5</v>
      </c>
      <c r="X105" s="521" t="n">
        <v>2.5</v>
      </c>
      <c r="Y105" s="521" t="inlineStr">
        <is>
          <t>Nguyễn Thị Phương Thảo</t>
        </is>
      </c>
      <c r="Z105" s="521" t="n">
        <v>72</v>
      </c>
      <c r="AA105" s="521" t="inlineStr">
        <is>
          <t>🟢 Tốt</t>
        </is>
      </c>
      <c r="AB105" s="521" t="n"/>
      <c r="AC105" s="522" t="inlineStr">
        <is>
          <t>HOSE</t>
        </is>
      </c>
      <c r="AD105" s="1024">
        <f>IF(A107='🎯 SÓI v42 — TRA CỨU &amp; DEEP DIV'!$C$4,"⭐ ĐANG XEM","")</f>
        <v/>
      </c>
    </row>
    <row r="106" ht="13.5" customHeight="1" s="981">
      <c r="A106" s="437" t="inlineStr">
        <is>
          <t>HVN</t>
        </is>
      </c>
      <c r="B106" s="435" t="inlineStr">
        <is>
          <t>Vietnam Airlines</t>
        </is>
      </c>
      <c r="C106" s="435" t="inlineStr">
        <is>
          <t>Hàng không</t>
        </is>
      </c>
      <c r="D106" s="523" t="n">
        <v>21500</v>
      </c>
      <c r="E106" s="435" t="n">
        <v>32.5</v>
      </c>
      <c r="F106" s="435" t="n">
        <v>6.5</v>
      </c>
      <c r="G106" s="435" t="n">
        <v>18.5</v>
      </c>
      <c r="H106" s="435" t="n">
        <v>1000</v>
      </c>
      <c r="I106" s="435" t="n">
        <v>662</v>
      </c>
      <c r="J106" s="435" t="n">
        <v>-15.5</v>
      </c>
      <c r="K106" s="527" t="inlineStr">
        <is>
          <t>TRÁNH</t>
        </is>
      </c>
      <c r="L106" s="438" t="inlineStr">
        <is>
          <t>Lỗ liên tiếp</t>
        </is>
      </c>
      <c r="M106" s="521" t="n">
        <v>5000</v>
      </c>
      <c r="N106" s="521" t="n">
        <v>3000</v>
      </c>
      <c r="O106" s="521" t="n">
        <v>1500</v>
      </c>
      <c r="P106" s="521" t="n">
        <v>8000</v>
      </c>
      <c r="Q106" s="521" t="n">
        <v>1000</v>
      </c>
      <c r="R106" s="521" t="n">
        <v>12.5</v>
      </c>
      <c r="S106" s="521" t="n">
        <v>12</v>
      </c>
      <c r="T106" s="521" t="n">
        <v>0.6</v>
      </c>
      <c r="U106" s="521" t="n">
        <v>1.5</v>
      </c>
      <c r="V106" s="521" t="n">
        <v>500</v>
      </c>
      <c r="W106" s="521" t="n">
        <v>12</v>
      </c>
      <c r="X106" s="521" t="n">
        <v>3</v>
      </c>
      <c r="Y106" s="521" t="inlineStr">
        <is>
          <t>Ban lãnh đạo</t>
        </is>
      </c>
      <c r="Z106" s="521" t="n">
        <v>65</v>
      </c>
      <c r="AA106" s="521" t="inlineStr">
        <is>
          <t>🟡 TB</t>
        </is>
      </c>
      <c r="AB106" s="521" t="n"/>
      <c r="AC106" s="522" t="inlineStr">
        <is>
          <t>HOSE</t>
        </is>
      </c>
      <c r="AD106" s="1024">
        <f>IF(A108='🎯 SÓI v42 — TRA CỨU &amp; DEEP DIV'!$C$4,"⭐ ĐANG XEM","")</f>
        <v/>
      </c>
    </row>
    <row r="107" ht="13.5" customHeight="1" s="981">
      <c r="A107" s="433" t="inlineStr">
        <is>
          <t>TCM</t>
        </is>
      </c>
      <c r="B107" s="431" t="inlineStr">
        <is>
          <t>Thành Công</t>
        </is>
      </c>
      <c r="C107" s="431" t="inlineStr">
        <is>
          <t>Dệt may</t>
        </is>
      </c>
      <c r="D107" s="520">
        <f>IFERROR(INDEX('📡 LIVE PRICE FEED'!$D$4:$D$300,MATCH(A109,'📡 LIVE PRICE FEED'!$A$4:$A$300,0)),38500)</f>
        <v/>
      </c>
      <c r="E107" s="431" t="n">
        <v>24.5</v>
      </c>
      <c r="F107" s="431" t="n">
        <v>1.4</v>
      </c>
      <c r="G107" s="431" t="n">
        <v>5.7</v>
      </c>
      <c r="H107" s="431" t="n">
        <v>1000</v>
      </c>
      <c r="I107" s="431" t="n">
        <v>863</v>
      </c>
      <c r="J107" s="431" t="n">
        <v>18.5</v>
      </c>
      <c r="K107" s="524" t="inlineStr">
        <is>
          <t>MUA</t>
        </is>
      </c>
      <c r="L107" s="1104" t="inlineStr">
        <is>
          <t>Dệt may xuất khẩu</t>
        </is>
      </c>
      <c r="M107" s="521" t="n">
        <v>5000</v>
      </c>
      <c r="N107" s="521" t="n">
        <v>3000</v>
      </c>
      <c r="O107" s="521" t="n">
        <v>1500</v>
      </c>
      <c r="P107" s="521" t="n">
        <v>8000</v>
      </c>
      <c r="Q107" s="521" t="n">
        <v>1000</v>
      </c>
      <c r="R107" s="521" t="n">
        <v>12.5</v>
      </c>
      <c r="S107" s="521" t="n">
        <v>12</v>
      </c>
      <c r="T107" s="521" t="n">
        <v>0.6</v>
      </c>
      <c r="U107" s="521" t="n">
        <v>1.5</v>
      </c>
      <c r="V107" s="521" t="n">
        <v>500</v>
      </c>
      <c r="W107" s="521" t="n">
        <v>12</v>
      </c>
      <c r="X107" s="521" t="n">
        <v>3</v>
      </c>
      <c r="Y107" s="521" t="inlineStr">
        <is>
          <t>Ban lãnh đạo</t>
        </is>
      </c>
      <c r="Z107" s="521" t="n">
        <v>65</v>
      </c>
      <c r="AA107" s="521" t="inlineStr">
        <is>
          <t>🟡 TB</t>
        </is>
      </c>
      <c r="AB107" s="521" t="n"/>
      <c r="AC107" s="522" t="inlineStr">
        <is>
          <t>HOSE</t>
        </is>
      </c>
      <c r="AD107" s="1024">
        <f>IF(A109='🎯 SÓI v42 — TRA CỨU &amp; DEEP DIV'!$C$4,"⭐ ĐANG XEM","")</f>
        <v/>
      </c>
    </row>
    <row r="108" ht="13.5" customHeight="1" s="981">
      <c r="A108" s="437" t="inlineStr">
        <is>
          <t>STK</t>
        </is>
      </c>
      <c r="B108" s="435" t="inlineStr">
        <is>
          <t>Sợi Thế Kỷ</t>
        </is>
      </c>
      <c r="C108" s="435" t="inlineStr">
        <is>
          <t>Dệt may</t>
        </is>
      </c>
      <c r="D108" s="523">
        <f>IFERROR(INDEX('📡 LIVE PRICE FEED'!$D$4:$D$300,MATCH(A110,'📡 LIVE PRICE FEED'!$A$4:$A$300,0)),32500)</f>
        <v/>
      </c>
      <c r="E108" s="435" t="n">
        <v>32.5</v>
      </c>
      <c r="F108" s="435" t="n">
        <v>1.2</v>
      </c>
      <c r="G108" s="435" t="n">
        <v>3.8</v>
      </c>
      <c r="H108" s="435" t="n">
        <v>1000</v>
      </c>
      <c r="I108" s="435" t="n">
        <v>372</v>
      </c>
      <c r="J108" s="435" t="n">
        <v>12.5</v>
      </c>
      <c r="K108" s="437" t="inlineStr">
        <is>
          <t>GIỮ</t>
        </is>
      </c>
      <c r="L108" s="438" t="n"/>
      <c r="M108" s="521" t="n">
        <v>5000</v>
      </c>
      <c r="N108" s="521" t="n">
        <v>3000</v>
      </c>
      <c r="O108" s="521" t="n">
        <v>1500</v>
      </c>
      <c r="P108" s="521" t="n">
        <v>8000</v>
      </c>
      <c r="Q108" s="521" t="n">
        <v>1000</v>
      </c>
      <c r="R108" s="521" t="n">
        <v>12.5</v>
      </c>
      <c r="S108" s="521" t="n">
        <v>12</v>
      </c>
      <c r="T108" s="521" t="n">
        <v>0.6</v>
      </c>
      <c r="U108" s="521" t="n">
        <v>1.5</v>
      </c>
      <c r="V108" s="521" t="n">
        <v>500</v>
      </c>
      <c r="W108" s="521" t="n">
        <v>12</v>
      </c>
      <c r="X108" s="521" t="n">
        <v>3</v>
      </c>
      <c r="Y108" s="521" t="inlineStr">
        <is>
          <t>Ban lãnh đạo</t>
        </is>
      </c>
      <c r="Z108" s="521" t="n">
        <v>65</v>
      </c>
      <c r="AA108" s="521" t="inlineStr">
        <is>
          <t>🟡 TB</t>
        </is>
      </c>
      <c r="AB108" s="521" t="n"/>
      <c r="AC108" s="522" t="inlineStr">
        <is>
          <t>HOSE</t>
        </is>
      </c>
      <c r="AD108" s="1024">
        <f>IF(A110='🎯 SÓI v42 — TRA CỨU &amp; DEEP DIV'!$C$4,"⭐ ĐANG XEM","")</f>
        <v/>
      </c>
    </row>
    <row r="109" ht="13.5" customHeight="1" s="981">
      <c r="A109" s="433" t="inlineStr">
        <is>
          <t>MSH</t>
        </is>
      </c>
      <c r="B109" s="431" t="inlineStr">
        <is>
          <t>May Sông Hồng</t>
        </is>
      </c>
      <c r="C109" s="431" t="inlineStr">
        <is>
          <t>Dệt may</t>
        </is>
      </c>
      <c r="D109" s="520">
        <f>IFERROR(INDEX('📡 LIVE PRICE FEED'!$D$4:$D$300,MATCH(A111,'📡 LIVE PRICE FEED'!$A$4:$A$300,0)),58500)</f>
        <v/>
      </c>
      <c r="E109" s="431" t="n">
        <v>12.4</v>
      </c>
      <c r="F109" s="431" t="n">
        <v>1.5</v>
      </c>
      <c r="G109" s="431" t="n">
        <v>12.5</v>
      </c>
      <c r="H109" s="431" t="n">
        <v>1000</v>
      </c>
      <c r="I109" s="431" t="n">
        <v>2774</v>
      </c>
      <c r="J109" s="431" t="n">
        <v>25.5</v>
      </c>
      <c r="K109" s="524" t="inlineStr">
        <is>
          <t>MUA</t>
        </is>
      </c>
      <c r="L109" s="1104" t="n"/>
      <c r="M109" s="521" t="n">
        <v>5000</v>
      </c>
      <c r="N109" s="521" t="n">
        <v>3000</v>
      </c>
      <c r="O109" s="521" t="n">
        <v>1500</v>
      </c>
      <c r="P109" s="521" t="n">
        <v>8000</v>
      </c>
      <c r="Q109" s="521" t="n">
        <v>1000</v>
      </c>
      <c r="R109" s="521" t="n">
        <v>12.5</v>
      </c>
      <c r="S109" s="521" t="n">
        <v>12</v>
      </c>
      <c r="T109" s="521" t="n">
        <v>0.6</v>
      </c>
      <c r="U109" s="521" t="n">
        <v>1.5</v>
      </c>
      <c r="V109" s="521" t="n">
        <v>500</v>
      </c>
      <c r="W109" s="521" t="n">
        <v>12</v>
      </c>
      <c r="X109" s="521" t="n">
        <v>3</v>
      </c>
      <c r="Y109" s="521" t="inlineStr">
        <is>
          <t>Ban lãnh đạo</t>
        </is>
      </c>
      <c r="Z109" s="521" t="n">
        <v>65</v>
      </c>
      <c r="AA109" s="521" t="inlineStr">
        <is>
          <t>🟡 TB</t>
        </is>
      </c>
      <c r="AB109" s="521" t="n"/>
      <c r="AC109" s="522" t="inlineStr">
        <is>
          <t>HOSE</t>
        </is>
      </c>
      <c r="AD109" s="1024">
        <f>IF(A111='🎯 SÓI v42 — TRA CỨU &amp; DEEP DIV'!$C$4,"⭐ ĐANG XEM","")</f>
        <v/>
      </c>
    </row>
    <row r="110" ht="13.5" customHeight="1" s="981">
      <c r="A110" s="437" t="inlineStr">
        <is>
          <t>TNG</t>
        </is>
      </c>
      <c r="B110" s="435" t="inlineStr">
        <is>
          <t>Đầu Tư &amp; TM TNG</t>
        </is>
      </c>
      <c r="C110" s="435" t="inlineStr">
        <is>
          <t>Dệt may</t>
        </is>
      </c>
      <c r="D110" s="523" t="n">
        <v>18900</v>
      </c>
      <c r="E110" s="435" t="n">
        <v>10.5</v>
      </c>
      <c r="F110" s="435" t="n">
        <v>1.4</v>
      </c>
      <c r="G110" s="435" t="n">
        <v>14.5</v>
      </c>
      <c r="H110" s="435" t="n">
        <v>1000</v>
      </c>
      <c r="I110" s="435" t="n">
        <v>1800</v>
      </c>
      <c r="J110" s="435" t="n">
        <v>15.5</v>
      </c>
      <c r="K110" s="524" t="inlineStr">
        <is>
          <t>MUA</t>
        </is>
      </c>
      <c r="L110" s="438" t="inlineStr">
        <is>
          <t>Dệt may xuất khẩu</t>
        </is>
      </c>
      <c r="M110" s="521" t="n">
        <v>5000</v>
      </c>
      <c r="N110" s="521" t="n">
        <v>3000</v>
      </c>
      <c r="O110" s="521" t="n">
        <v>1500</v>
      </c>
      <c r="P110" s="521" t="n">
        <v>8000</v>
      </c>
      <c r="Q110" s="521" t="n">
        <v>1000</v>
      </c>
      <c r="R110" s="521" t="n">
        <v>12.5</v>
      </c>
      <c r="S110" s="521" t="n">
        <v>12</v>
      </c>
      <c r="T110" s="521" t="n">
        <v>0.6</v>
      </c>
      <c r="U110" s="521" t="n">
        <v>1.5</v>
      </c>
      <c r="V110" s="521" t="n">
        <v>500</v>
      </c>
      <c r="W110" s="521" t="n">
        <v>12</v>
      </c>
      <c r="X110" s="521" t="n">
        <v>3</v>
      </c>
      <c r="Y110" s="521" t="inlineStr">
        <is>
          <t>Ban lãnh đạo</t>
        </is>
      </c>
      <c r="Z110" s="521" t="n">
        <v>65</v>
      </c>
      <c r="AA110" s="521" t="inlineStr">
        <is>
          <t>🟡 TB</t>
        </is>
      </c>
      <c r="AB110" s="521" t="n"/>
      <c r="AC110" s="528" t="inlineStr">
        <is>
          <t>HNX</t>
        </is>
      </c>
      <c r="AD110" s="1024">
        <f>IF(A112='🎯 SÓI v42 — TRA CỨU &amp; DEEP DIV'!$C$4,"⭐ ĐANG XEM","")</f>
        <v/>
      </c>
    </row>
    <row r="111" ht="13.5" customHeight="1" s="981">
      <c r="A111" s="433" t="inlineStr">
        <is>
          <t>GIL</t>
        </is>
      </c>
      <c r="B111" s="431" t="inlineStr">
        <is>
          <t>GIL</t>
        </is>
      </c>
      <c r="C111" s="431" t="inlineStr">
        <is>
          <t>Dệt may</t>
        </is>
      </c>
      <c r="D111" s="520" t="n">
        <v>12350</v>
      </c>
      <c r="E111" s="431" t="n">
        <v>16.5</v>
      </c>
      <c r="F111" s="431" t="n">
        <v>1.2</v>
      </c>
      <c r="G111" s="431" t="n">
        <v>7.5</v>
      </c>
      <c r="H111" s="431" t="n">
        <v>1000</v>
      </c>
      <c r="I111" s="431" t="n">
        <v>748</v>
      </c>
      <c r="J111" s="431" t="n">
        <v>12.5</v>
      </c>
      <c r="K111" s="433" t="inlineStr">
        <is>
          <t>GIỮ</t>
        </is>
      </c>
      <c r="L111" s="1104" t="n"/>
      <c r="M111" s="521" t="n">
        <v>5000</v>
      </c>
      <c r="N111" s="521" t="n">
        <v>3000</v>
      </c>
      <c r="O111" s="521" t="n">
        <v>1500</v>
      </c>
      <c r="P111" s="521" t="n">
        <v>8000</v>
      </c>
      <c r="Q111" s="521" t="n">
        <v>1000</v>
      </c>
      <c r="R111" s="521" t="n">
        <v>12.5</v>
      </c>
      <c r="S111" s="521" t="n">
        <v>12</v>
      </c>
      <c r="T111" s="521" t="n">
        <v>0.6</v>
      </c>
      <c r="U111" s="521" t="n">
        <v>1.5</v>
      </c>
      <c r="V111" s="521" t="n">
        <v>500</v>
      </c>
      <c r="W111" s="521" t="n">
        <v>12</v>
      </c>
      <c r="X111" s="521" t="n">
        <v>3</v>
      </c>
      <c r="Y111" s="521" t="inlineStr">
        <is>
          <t>Ban lãnh đạo</t>
        </is>
      </c>
      <c r="Z111" s="521" t="n">
        <v>65</v>
      </c>
      <c r="AA111" s="521" t="inlineStr">
        <is>
          <t>🟡 TB</t>
        </is>
      </c>
      <c r="AB111" s="521" t="n"/>
      <c r="AC111" s="528" t="inlineStr">
        <is>
          <t>HNX</t>
        </is>
      </c>
      <c r="AD111" s="1024">
        <f>IF(A113='🎯 SÓI v42 — TRA CỨU &amp; DEEP DIV'!$C$4,"⭐ ĐANG XEM","")</f>
        <v/>
      </c>
    </row>
    <row r="112" ht="13.5" customHeight="1" s="981">
      <c r="A112" s="437" t="inlineStr">
        <is>
          <t>DHG</t>
        </is>
      </c>
      <c r="B112" s="435" t="inlineStr">
        <is>
          <t>Dược Hậu Giang</t>
        </is>
      </c>
      <c r="C112" s="435" t="inlineStr">
        <is>
          <t>Dược</t>
        </is>
      </c>
      <c r="D112" s="523" t="n">
        <v>94400</v>
      </c>
      <c r="E112" s="435" t="n">
        <v>13.5</v>
      </c>
      <c r="F112" s="435" t="n">
        <v>3.2</v>
      </c>
      <c r="G112" s="435" t="n">
        <v>21.5</v>
      </c>
      <c r="H112" s="435" t="n">
        <v>1000</v>
      </c>
      <c r="I112" s="435" t="n">
        <v>6993</v>
      </c>
      <c r="J112" s="435" t="n">
        <v>18.5</v>
      </c>
      <c r="K112" s="524" t="inlineStr">
        <is>
          <t>MUA</t>
        </is>
      </c>
      <c r="L112" s="438" t="inlineStr">
        <is>
          <t>Dược lớn nhất</t>
        </is>
      </c>
      <c r="M112" s="521" t="n">
        <v>5000</v>
      </c>
      <c r="N112" s="521" t="n">
        <v>3000</v>
      </c>
      <c r="O112" s="521" t="n">
        <v>1500</v>
      </c>
      <c r="P112" s="521" t="n">
        <v>8000</v>
      </c>
      <c r="Q112" s="521" t="n">
        <v>1000</v>
      </c>
      <c r="R112" s="521" t="n">
        <v>12.5</v>
      </c>
      <c r="S112" s="521" t="n">
        <v>12</v>
      </c>
      <c r="T112" s="521" t="n">
        <v>0.6</v>
      </c>
      <c r="U112" s="521" t="n">
        <v>1.5</v>
      </c>
      <c r="V112" s="521" t="n">
        <v>500</v>
      </c>
      <c r="W112" s="521" t="n">
        <v>12</v>
      </c>
      <c r="X112" s="521" t="n">
        <v>3</v>
      </c>
      <c r="Y112" s="521" t="inlineStr">
        <is>
          <t>Ban lãnh đạo</t>
        </is>
      </c>
      <c r="Z112" s="521" t="n">
        <v>65</v>
      </c>
      <c r="AA112" s="521" t="inlineStr">
        <is>
          <t>🟡 TB</t>
        </is>
      </c>
      <c r="AB112" s="521" t="n"/>
      <c r="AC112" s="528" t="inlineStr">
        <is>
          <t>HNX</t>
        </is>
      </c>
      <c r="AD112" s="1024">
        <f>IF(A114='🎯 SÓI v42 — TRA CỨU &amp; DEEP DIV'!$C$4,"⭐ ĐANG XEM","")</f>
        <v/>
      </c>
    </row>
    <row r="113" ht="13.5" customHeight="1" s="981">
      <c r="A113" s="433" t="inlineStr">
        <is>
          <t>IMP</t>
        </is>
      </c>
      <c r="B113" s="431" t="inlineStr">
        <is>
          <t>Imexpharm</t>
        </is>
      </c>
      <c r="C113" s="431" t="inlineStr">
        <is>
          <t>Dược</t>
        </is>
      </c>
      <c r="D113" s="520" t="n">
        <v>46650</v>
      </c>
      <c r="E113" s="431" t="n">
        <v>12.4</v>
      </c>
      <c r="F113" s="431" t="n">
        <v>2.4</v>
      </c>
      <c r="G113" s="431" t="n">
        <v>17.8</v>
      </c>
      <c r="H113" s="431" t="n">
        <v>1000</v>
      </c>
      <c r="I113" s="431" t="n">
        <v>3762</v>
      </c>
      <c r="J113" s="431" t="n">
        <v>22.5</v>
      </c>
      <c r="K113" s="433" t="inlineStr">
        <is>
          <t>GIỮ</t>
        </is>
      </c>
      <c r="L113" s="1104" t="inlineStr">
        <is>
          <t>Dược generic</t>
        </is>
      </c>
      <c r="M113" s="521" t="n">
        <v>5000</v>
      </c>
      <c r="N113" s="521" t="n">
        <v>3000</v>
      </c>
      <c r="O113" s="521" t="n">
        <v>1500</v>
      </c>
      <c r="P113" s="521" t="n">
        <v>8000</v>
      </c>
      <c r="Q113" s="521" t="n">
        <v>1000</v>
      </c>
      <c r="R113" s="521" t="n">
        <v>12.5</v>
      </c>
      <c r="S113" s="521" t="n">
        <v>12</v>
      </c>
      <c r="T113" s="521" t="n">
        <v>0.6</v>
      </c>
      <c r="U113" s="521" t="n">
        <v>1.5</v>
      </c>
      <c r="V113" s="521" t="n">
        <v>500</v>
      </c>
      <c r="W113" s="521" t="n">
        <v>12</v>
      </c>
      <c r="X113" s="521" t="n">
        <v>3</v>
      </c>
      <c r="Y113" s="521" t="inlineStr">
        <is>
          <t>Ban lãnh đạo</t>
        </is>
      </c>
      <c r="Z113" s="521" t="n">
        <v>65</v>
      </c>
      <c r="AA113" s="521" t="inlineStr">
        <is>
          <t>🟡 TB</t>
        </is>
      </c>
      <c r="AB113" s="521" t="n"/>
      <c r="AC113" s="522" t="inlineStr">
        <is>
          <t>HOSE</t>
        </is>
      </c>
      <c r="AD113" s="1024">
        <f>IF(A115='🎯 SÓI v42 — TRA CỨU &amp; DEEP DIV'!$C$4,"⭐ ĐANG XEM","")</f>
        <v/>
      </c>
    </row>
    <row r="114" ht="13.5" customHeight="1" s="981">
      <c r="A114" s="437" t="inlineStr">
        <is>
          <t>TRA</t>
        </is>
      </c>
      <c r="B114" s="435" t="inlineStr">
        <is>
          <t>Traphaco</t>
        </is>
      </c>
      <c r="C114" s="435" t="inlineStr">
        <is>
          <t>Dược</t>
        </is>
      </c>
      <c r="D114" s="523" t="n">
        <v>79000</v>
      </c>
      <c r="E114" s="435" t="n">
        <v>16.5</v>
      </c>
      <c r="F114" s="435" t="n">
        <v>2.5</v>
      </c>
      <c r="G114" s="435" t="n">
        <v>14.5</v>
      </c>
      <c r="H114" s="435" t="n">
        <v>1000</v>
      </c>
      <c r="I114" s="435" t="n">
        <v>4788</v>
      </c>
      <c r="J114" s="435" t="n">
        <v>15.5</v>
      </c>
      <c r="K114" s="524" t="inlineStr">
        <is>
          <t>MUA</t>
        </is>
      </c>
      <c r="L114" s="438" t="inlineStr">
        <is>
          <t>Dược truyền thống</t>
        </is>
      </c>
      <c r="M114" s="521" t="n">
        <v>5000</v>
      </c>
      <c r="N114" s="521" t="n">
        <v>3000</v>
      </c>
      <c r="O114" s="521" t="n">
        <v>1500</v>
      </c>
      <c r="P114" s="521" t="n">
        <v>8000</v>
      </c>
      <c r="Q114" s="521" t="n">
        <v>1000</v>
      </c>
      <c r="R114" s="521" t="n">
        <v>12.5</v>
      </c>
      <c r="S114" s="521" t="n">
        <v>12</v>
      </c>
      <c r="T114" s="521" t="n">
        <v>0.6</v>
      </c>
      <c r="U114" s="521" t="n">
        <v>1.5</v>
      </c>
      <c r="V114" s="521" t="n">
        <v>500</v>
      </c>
      <c r="W114" s="521" t="n">
        <v>12</v>
      </c>
      <c r="X114" s="521" t="n">
        <v>3</v>
      </c>
      <c r="Y114" s="521" t="inlineStr">
        <is>
          <t>Ban lãnh đạo</t>
        </is>
      </c>
      <c r="Z114" s="521" t="n">
        <v>65</v>
      </c>
      <c r="AA114" s="521" t="inlineStr">
        <is>
          <t>🟡 TB</t>
        </is>
      </c>
      <c r="AB114" s="521" t="n"/>
      <c r="AC114" s="522" t="inlineStr">
        <is>
          <t>HOSE</t>
        </is>
      </c>
      <c r="AD114" s="1024">
        <f>IF(A116='🎯 SÓI v42 — TRA CỨU &amp; DEEP DIV'!$C$4,"⭐ ĐANG XEM","")</f>
        <v/>
      </c>
    </row>
    <row r="115" ht="13.5" customHeight="1" s="981">
      <c r="A115" s="433" t="inlineStr">
        <is>
          <t>DBD</t>
        </is>
      </c>
      <c r="B115" s="431" t="inlineStr">
        <is>
          <t>Bidiphar</t>
        </is>
      </c>
      <c r="C115" s="431" t="inlineStr">
        <is>
          <t>Dược</t>
        </is>
      </c>
      <c r="D115" s="520" t="n">
        <v>50300</v>
      </c>
      <c r="E115" s="431" t="n">
        <v>14.5</v>
      </c>
      <c r="F115" s="431" t="n">
        <v>2.8</v>
      </c>
      <c r="G115" s="431" t="n">
        <v>16.8</v>
      </c>
      <c r="H115" s="431" t="n">
        <v>1000</v>
      </c>
      <c r="I115" s="431" t="n">
        <v>3469</v>
      </c>
      <c r="J115" s="431" t="n">
        <v>12.5</v>
      </c>
      <c r="K115" s="524" t="inlineStr">
        <is>
          <t>MUA</t>
        </is>
      </c>
      <c r="L115" s="1104" t="n"/>
      <c r="M115" s="521" t="n">
        <v>5000</v>
      </c>
      <c r="N115" s="521" t="n">
        <v>3000</v>
      </c>
      <c r="O115" s="521" t="n">
        <v>1500</v>
      </c>
      <c r="P115" s="521" t="n">
        <v>8000</v>
      </c>
      <c r="Q115" s="521" t="n">
        <v>1000</v>
      </c>
      <c r="R115" s="521" t="n">
        <v>12.5</v>
      </c>
      <c r="S115" s="521" t="n">
        <v>12</v>
      </c>
      <c r="T115" s="521" t="n">
        <v>0.6</v>
      </c>
      <c r="U115" s="521" t="n">
        <v>1.5</v>
      </c>
      <c r="V115" s="521" t="n">
        <v>500</v>
      </c>
      <c r="W115" s="521" t="n">
        <v>12</v>
      </c>
      <c r="X115" s="521" t="n">
        <v>3</v>
      </c>
      <c r="Y115" s="521" t="inlineStr">
        <is>
          <t>Ban lãnh đạo</t>
        </is>
      </c>
      <c r="Z115" s="521" t="n">
        <v>65</v>
      </c>
      <c r="AA115" s="521" t="inlineStr">
        <is>
          <t>🟡 TB</t>
        </is>
      </c>
      <c r="AB115" s="521" t="n"/>
      <c r="AC115" s="522" t="inlineStr">
        <is>
          <t>HOSE</t>
        </is>
      </c>
      <c r="AD115" s="1024">
        <f>IF(A117='🎯 SÓI v42 — TRA CỨU &amp; DEEP DIV'!$C$4,"⭐ ĐANG XEM","")</f>
        <v/>
      </c>
    </row>
    <row r="116" ht="13.5" customHeight="1" s="981">
      <c r="A116" s="437" t="inlineStr">
        <is>
          <t>OPC</t>
        </is>
      </c>
      <c r="B116" s="435" t="inlineStr">
        <is>
          <t>OPC Pharma</t>
        </is>
      </c>
      <c r="C116" s="435" t="inlineStr">
        <is>
          <t>Dược</t>
        </is>
      </c>
      <c r="D116" s="523" t="n">
        <v>23500</v>
      </c>
      <c r="E116" s="435" t="n">
        <v>14.5</v>
      </c>
      <c r="F116" s="435" t="n">
        <v>2.1</v>
      </c>
      <c r="G116" s="435" t="n">
        <v>13.5</v>
      </c>
      <c r="H116" s="435" t="n">
        <v>1000</v>
      </c>
      <c r="I116" s="435" t="n">
        <v>1621</v>
      </c>
      <c r="J116" s="435" t="n">
        <v>8.5</v>
      </c>
      <c r="K116" s="437" t="inlineStr">
        <is>
          <t>GIỮ</t>
        </is>
      </c>
      <c r="L116" s="438" t="n"/>
      <c r="M116" s="521" t="n">
        <v>5000</v>
      </c>
      <c r="N116" s="521" t="n">
        <v>3000</v>
      </c>
      <c r="O116" s="521" t="n">
        <v>1500</v>
      </c>
      <c r="P116" s="521" t="n">
        <v>8000</v>
      </c>
      <c r="Q116" s="521" t="n">
        <v>1000</v>
      </c>
      <c r="R116" s="521" t="n">
        <v>12.5</v>
      </c>
      <c r="S116" s="521" t="n">
        <v>12</v>
      </c>
      <c r="T116" s="521" t="n">
        <v>0.6</v>
      </c>
      <c r="U116" s="521" t="n">
        <v>1.5</v>
      </c>
      <c r="V116" s="521" t="n">
        <v>500</v>
      </c>
      <c r="W116" s="521" t="n">
        <v>12</v>
      </c>
      <c r="X116" s="521" t="n">
        <v>3</v>
      </c>
      <c r="Y116" s="521" t="inlineStr">
        <is>
          <t>Ban lãnh đạo</t>
        </is>
      </c>
      <c r="Z116" s="521" t="n">
        <v>65</v>
      </c>
      <c r="AA116" s="521" t="inlineStr">
        <is>
          <t>🟡 TB</t>
        </is>
      </c>
      <c r="AB116" s="521" t="n"/>
      <c r="AC116" s="522" t="inlineStr">
        <is>
          <t>HOSE</t>
        </is>
      </c>
      <c r="AD116" s="1024">
        <f>IF(A118='🎯 SÓI v42 — TRA CỨU &amp; DEEP DIV'!$C$4,"⭐ ĐANG XEM","")</f>
        <v/>
      </c>
    </row>
    <row r="117" ht="13.5" customHeight="1" s="981">
      <c r="A117" s="433" t="inlineStr">
        <is>
          <t>DBM</t>
        </is>
      </c>
      <c r="B117" s="431" t="inlineStr">
        <is>
          <t>Dược Bến Tre</t>
        </is>
      </c>
      <c r="C117" s="431" t="inlineStr">
        <is>
          <t>Dược</t>
        </is>
      </c>
      <c r="D117" s="520">
        <f>IFERROR(INDEX('📡 LIVE PRICE FEED'!$D$4:$D$300,MATCH(A119,'📡 LIVE PRICE FEED'!$A$4:$A$300,0)),18500)</f>
        <v/>
      </c>
      <c r="E117" s="431">
        <f>IFERROR(INDEX('📡 LIVE PRICE FEED'!$H$4:$H$300,MATCH(A119,'📡 LIVE PRICE FEED'!$A$4:$A$300,0)),9.5)</f>
        <v/>
      </c>
      <c r="F117" s="431">
        <f>IFERROR(INDEX('📡 LIVE PRICE FEED'!$I$4:$I$300,MATCH(A119,'📡 LIVE PRICE FEED'!$A$4:$A$300,0)),1.3)</f>
        <v/>
      </c>
      <c r="G117" s="431" t="n"/>
      <c r="H117" s="431" t="n">
        <v>800</v>
      </c>
      <c r="I117" s="431" t="n"/>
      <c r="J117" s="431" t="n">
        <v>5.5</v>
      </c>
      <c r="K117" s="433" t="inlineStr">
        <is>
          <t>GIỮ</t>
        </is>
      </c>
      <c r="L117" s="1104" t="n"/>
      <c r="M117" s="521" t="n">
        <v>5000</v>
      </c>
      <c r="N117" s="521" t="n">
        <v>3000</v>
      </c>
      <c r="O117" s="521" t="n">
        <v>1500</v>
      </c>
      <c r="P117" s="521" t="n">
        <v>8000</v>
      </c>
      <c r="Q117" s="521" t="n">
        <v>1000</v>
      </c>
      <c r="R117" s="521" t="n">
        <v>12.5</v>
      </c>
      <c r="S117" s="521" t="n">
        <v>12</v>
      </c>
      <c r="T117" s="521" t="n">
        <v>0.6</v>
      </c>
      <c r="U117" s="521" t="n">
        <v>1.5</v>
      </c>
      <c r="V117" s="521" t="n">
        <v>500</v>
      </c>
      <c r="W117" s="521" t="n">
        <v>12</v>
      </c>
      <c r="X117" s="521" t="n">
        <v>3</v>
      </c>
      <c r="Y117" s="521" t="inlineStr">
        <is>
          <t>Ban lãnh đạo</t>
        </is>
      </c>
      <c r="Z117" s="521" t="n">
        <v>65</v>
      </c>
      <c r="AA117" s="521" t="inlineStr">
        <is>
          <t>🟡 TB</t>
        </is>
      </c>
      <c r="AB117" s="521" t="n"/>
      <c r="AC117" s="528" t="inlineStr">
        <is>
          <t>HNX</t>
        </is>
      </c>
      <c r="AD117" s="1024">
        <f>IF(A119='🎯 SÓI v42 — TRA CỨU &amp; DEEP DIV'!$C$4,"⭐ ĐANG XEM","")</f>
        <v/>
      </c>
    </row>
    <row r="118" ht="13.5" customHeight="1" s="981">
      <c r="A118" s="437" t="inlineStr">
        <is>
          <t>PHR</t>
        </is>
      </c>
      <c r="B118" s="435" t="inlineStr">
        <is>
          <t>Phú Riềng</t>
        </is>
      </c>
      <c r="C118" s="435" t="inlineStr">
        <is>
          <t>Cao su</t>
        </is>
      </c>
      <c r="D118" s="523" t="n">
        <v>67000</v>
      </c>
      <c r="E118" s="435" t="n">
        <v>13.5</v>
      </c>
      <c r="F118" s="435" t="n">
        <v>1.7</v>
      </c>
      <c r="G118" s="435" t="n">
        <v>12.5</v>
      </c>
      <c r="H118" s="435" t="n">
        <v>1000</v>
      </c>
      <c r="I118" s="435" t="n">
        <v>4963</v>
      </c>
      <c r="J118" s="435" t="n">
        <v>22.5</v>
      </c>
      <c r="K118" s="524" t="inlineStr">
        <is>
          <t>MUA</t>
        </is>
      </c>
      <c r="L118" s="438" t="inlineStr">
        <is>
          <t>Cao su + KCN</t>
        </is>
      </c>
      <c r="M118" s="521" t="n">
        <v>5000</v>
      </c>
      <c r="N118" s="521" t="n">
        <v>3000</v>
      </c>
      <c r="O118" s="521" t="n">
        <v>1500</v>
      </c>
      <c r="P118" s="521" t="n">
        <v>8000</v>
      </c>
      <c r="Q118" s="521" t="n">
        <v>1000</v>
      </c>
      <c r="R118" s="521" t="n">
        <v>12.5</v>
      </c>
      <c r="S118" s="521" t="n">
        <v>12</v>
      </c>
      <c r="T118" s="521" t="n">
        <v>0.6</v>
      </c>
      <c r="U118" s="521" t="n">
        <v>1.5</v>
      </c>
      <c r="V118" s="521" t="n">
        <v>500</v>
      </c>
      <c r="W118" s="521" t="n">
        <v>12</v>
      </c>
      <c r="X118" s="521" t="n">
        <v>3</v>
      </c>
      <c r="Y118" s="521" t="inlineStr">
        <is>
          <t>Ban lãnh đạo</t>
        </is>
      </c>
      <c r="Z118" s="521" t="n">
        <v>65</v>
      </c>
      <c r="AA118" s="521" t="inlineStr">
        <is>
          <t>🟡 TB</t>
        </is>
      </c>
      <c r="AB118" s="521" t="n"/>
      <c r="AC118" s="528" t="inlineStr">
        <is>
          <t>UPCoM</t>
        </is>
      </c>
      <c r="AD118" s="1024">
        <f>IF(A120='🎯 SÓI v42 — TRA CỨU &amp; DEEP DIV'!$C$4,"⭐ ĐANG XEM","")</f>
        <v/>
      </c>
    </row>
    <row r="119" ht="13.5" customHeight="1" s="981">
      <c r="A119" s="433" t="inlineStr">
        <is>
          <t>DPR</t>
        </is>
      </c>
      <c r="B119" s="431" t="inlineStr">
        <is>
          <t>Đồng Phú</t>
        </is>
      </c>
      <c r="C119" s="431" t="inlineStr">
        <is>
          <t>Cao su</t>
        </is>
      </c>
      <c r="D119" s="520">
        <f>IFERROR(INDEX('📡 LIVE PRICE FEED'!$D$4:$D$300,MATCH(A121,'📡 LIVE PRICE FEED'!$A$4:$A$300,0)),38500)</f>
        <v/>
      </c>
      <c r="E119" s="431" t="n">
        <v>12.5</v>
      </c>
      <c r="F119" s="431" t="n">
        <v>1.1</v>
      </c>
      <c r="G119" s="431" t="n">
        <v>10.5</v>
      </c>
      <c r="H119" s="431" t="n">
        <v>1000</v>
      </c>
      <c r="I119" s="431" t="n">
        <v>3320</v>
      </c>
      <c r="J119" s="431" t="n">
        <v>18.5</v>
      </c>
      <c r="K119" s="524" t="inlineStr">
        <is>
          <t>MUA</t>
        </is>
      </c>
      <c r="L119" s="1104" t="inlineStr">
        <is>
          <t>Cao su KCN</t>
        </is>
      </c>
      <c r="M119" s="521" t="n">
        <v>5000</v>
      </c>
      <c r="N119" s="521" t="n">
        <v>3000</v>
      </c>
      <c r="O119" s="521" t="n">
        <v>1500</v>
      </c>
      <c r="P119" s="521" t="n">
        <v>8000</v>
      </c>
      <c r="Q119" s="521" t="n">
        <v>1000</v>
      </c>
      <c r="R119" s="521" t="n">
        <v>12.5</v>
      </c>
      <c r="S119" s="521" t="n">
        <v>12</v>
      </c>
      <c r="T119" s="521" t="n">
        <v>0.6</v>
      </c>
      <c r="U119" s="521" t="n">
        <v>1.5</v>
      </c>
      <c r="V119" s="521" t="n">
        <v>500</v>
      </c>
      <c r="W119" s="521" t="n">
        <v>12</v>
      </c>
      <c r="X119" s="521" t="n">
        <v>3</v>
      </c>
      <c r="Y119" s="521" t="inlineStr">
        <is>
          <t>Ban lãnh đạo</t>
        </is>
      </c>
      <c r="Z119" s="521" t="n">
        <v>65</v>
      </c>
      <c r="AA119" s="521" t="inlineStr">
        <is>
          <t>🟡 TB</t>
        </is>
      </c>
      <c r="AB119" s="521" t="n"/>
      <c r="AC119" s="522" t="inlineStr">
        <is>
          <t>HOSE</t>
        </is>
      </c>
      <c r="AD119" s="1024">
        <f>IF(A121='🎯 SÓI v42 — TRA CỨU &amp; DEEP DIV'!$C$4,"⭐ ĐANG XEM","")</f>
        <v/>
      </c>
    </row>
    <row r="120" ht="13.5" customHeight="1" s="981">
      <c r="A120" s="437" t="inlineStr">
        <is>
          <t>TRC</t>
        </is>
      </c>
      <c r="B120" s="435" t="inlineStr">
        <is>
          <t>Tây Ninh</t>
        </is>
      </c>
      <c r="C120" s="435" t="inlineStr">
        <is>
          <t>Cao su</t>
        </is>
      </c>
      <c r="D120" s="523">
        <f>IFERROR(INDEX('📡 LIVE PRICE FEED'!$D$4:$D$300,MATCH(A122,'📡 LIVE PRICE FEED'!$A$4:$A$300,0)),32500)</f>
        <v/>
      </c>
      <c r="E120" s="435" t="n">
        <v>14.5</v>
      </c>
      <c r="F120" s="435" t="n">
        <v>1.2</v>
      </c>
      <c r="G120" s="435" t="n">
        <v>10.5</v>
      </c>
      <c r="H120" s="435" t="n">
        <v>1000</v>
      </c>
      <c r="I120" s="435" t="n">
        <v>5241</v>
      </c>
      <c r="J120" s="435" t="n">
        <v>15.5</v>
      </c>
      <c r="K120" s="437" t="inlineStr">
        <is>
          <t>GIỮ</t>
        </is>
      </c>
      <c r="L120" s="438" t="n"/>
      <c r="M120" s="521" t="n">
        <v>5000</v>
      </c>
      <c r="N120" s="521" t="n">
        <v>3000</v>
      </c>
      <c r="O120" s="521" t="n">
        <v>1500</v>
      </c>
      <c r="P120" s="521" t="n">
        <v>8000</v>
      </c>
      <c r="Q120" s="521" t="n">
        <v>1000</v>
      </c>
      <c r="R120" s="521" t="n">
        <v>12.5</v>
      </c>
      <c r="S120" s="521" t="n">
        <v>12</v>
      </c>
      <c r="T120" s="521" t="n">
        <v>0.6</v>
      </c>
      <c r="U120" s="521" t="n">
        <v>1.5</v>
      </c>
      <c r="V120" s="521" t="n">
        <v>500</v>
      </c>
      <c r="W120" s="521" t="n">
        <v>12</v>
      </c>
      <c r="X120" s="521" t="n">
        <v>3</v>
      </c>
      <c r="Y120" s="521" t="inlineStr">
        <is>
          <t>Ban lãnh đạo</t>
        </is>
      </c>
      <c r="Z120" s="521" t="n">
        <v>65</v>
      </c>
      <c r="AA120" s="521" t="inlineStr">
        <is>
          <t>🟡 TB</t>
        </is>
      </c>
      <c r="AB120" s="521" t="n"/>
      <c r="AC120" s="522" t="inlineStr">
        <is>
          <t>HOSE</t>
        </is>
      </c>
      <c r="AD120" s="1024">
        <f>IF(A122='🎯 SÓI v42 — TRA CỨU &amp; DEEP DIV'!$C$4,"⭐ ĐANG XEM","")</f>
        <v/>
      </c>
    </row>
    <row r="121" ht="13.5" customHeight="1" s="981">
      <c r="A121" s="433" t="inlineStr">
        <is>
          <t>GVR</t>
        </is>
      </c>
      <c r="B121" s="431" t="inlineStr">
        <is>
          <t>Cao su VN</t>
        </is>
      </c>
      <c r="C121" s="431" t="inlineStr">
        <is>
          <t>Cao su</t>
        </is>
      </c>
      <c r="D121" s="520" t="n">
        <v>35300</v>
      </c>
      <c r="E121" s="431" t="n">
        <v>24.5</v>
      </c>
      <c r="F121" s="431" t="n">
        <v>1.8</v>
      </c>
      <c r="G121" s="431" t="n">
        <v>7.8</v>
      </c>
      <c r="H121" s="431" t="n">
        <v>70600</v>
      </c>
      <c r="I121" s="431" t="n">
        <v>1441</v>
      </c>
      <c r="J121" s="431" t="n">
        <v>2.5</v>
      </c>
      <c r="K121" s="433" t="inlineStr">
        <is>
          <t>GIỮ</t>
        </is>
      </c>
      <c r="L121" s="1104" t="inlineStr">
        <is>
          <t>Cao su quốc doanh</t>
        </is>
      </c>
      <c r="M121" s="521" t="n">
        <v>5000</v>
      </c>
      <c r="N121" s="521" t="n">
        <v>3000</v>
      </c>
      <c r="O121" s="521" t="n">
        <v>1500</v>
      </c>
      <c r="P121" s="521" t="n">
        <v>8000</v>
      </c>
      <c r="Q121" s="521" t="n">
        <v>1000</v>
      </c>
      <c r="R121" s="521" t="n">
        <v>12.5</v>
      </c>
      <c r="S121" s="521" t="n">
        <v>12</v>
      </c>
      <c r="T121" s="521" t="n">
        <v>0.6</v>
      </c>
      <c r="U121" s="521" t="n">
        <v>1.5</v>
      </c>
      <c r="V121" s="521" t="n">
        <v>500</v>
      </c>
      <c r="W121" s="521" t="n">
        <v>12</v>
      </c>
      <c r="X121" s="521" t="n">
        <v>3</v>
      </c>
      <c r="Y121" s="521" t="inlineStr">
        <is>
          <t>Ban lãnh đạo</t>
        </is>
      </c>
      <c r="Z121" s="521" t="n">
        <v>65</v>
      </c>
      <c r="AA121" s="521" t="inlineStr">
        <is>
          <t>🟡 TB</t>
        </is>
      </c>
      <c r="AB121" s="521" t="n"/>
      <c r="AC121" s="522" t="inlineStr">
        <is>
          <t>HOSE</t>
        </is>
      </c>
      <c r="AD121" s="1024">
        <f>IF(A123='🎯 SÓI v42 — TRA CỨU &amp; DEEP DIV'!$C$4,"⭐ ĐANG XEM","")</f>
        <v/>
      </c>
    </row>
    <row r="122" ht="13.5" customHeight="1" s="981">
      <c r="A122" s="437" t="inlineStr">
        <is>
          <t>VHL</t>
        </is>
      </c>
      <c r="B122" s="435" t="inlineStr">
        <is>
          <t>Viglacera</t>
        </is>
      </c>
      <c r="C122" s="435" t="inlineStr">
        <is>
          <t>Vật liệu xd</t>
        </is>
      </c>
      <c r="D122" s="523">
        <f>IFERROR(INDEX('📡 LIVE PRICE FEED'!$D$4:$D$300,MATCH(A124,'📡 LIVE PRICE FEED'!$A$4:$A$300,0)),48500)</f>
        <v/>
      </c>
      <c r="E122" s="435" t="n">
        <v>12.5</v>
      </c>
      <c r="F122" s="435" t="n">
        <v>1.3</v>
      </c>
      <c r="G122" s="435" t="n">
        <v>11.5</v>
      </c>
      <c r="H122" s="435" t="n">
        <v>1000</v>
      </c>
      <c r="I122" s="435" t="n">
        <v>824</v>
      </c>
      <c r="J122" s="435" t="n">
        <v>18.5</v>
      </c>
      <c r="K122" s="524" t="inlineStr">
        <is>
          <t>MUA</t>
        </is>
      </c>
      <c r="L122" s="438" t="inlineStr">
        <is>
          <t>VLXD + KCN</t>
        </is>
      </c>
      <c r="M122" s="521" t="n">
        <v>5000</v>
      </c>
      <c r="N122" s="521" t="n">
        <v>3000</v>
      </c>
      <c r="O122" s="521" t="n">
        <v>1500</v>
      </c>
      <c r="P122" s="521" t="n">
        <v>8000</v>
      </c>
      <c r="Q122" s="521" t="n">
        <v>1000</v>
      </c>
      <c r="R122" s="521" t="n">
        <v>12.5</v>
      </c>
      <c r="S122" s="521" t="n">
        <v>12</v>
      </c>
      <c r="T122" s="521" t="n">
        <v>0.6</v>
      </c>
      <c r="U122" s="521" t="n">
        <v>1.5</v>
      </c>
      <c r="V122" s="521" t="n">
        <v>500</v>
      </c>
      <c r="W122" s="521" t="n">
        <v>12</v>
      </c>
      <c r="X122" s="521" t="n">
        <v>3</v>
      </c>
      <c r="Y122" s="521" t="inlineStr">
        <is>
          <t>Ban lãnh đạo</t>
        </is>
      </c>
      <c r="Z122" s="521" t="n">
        <v>65</v>
      </c>
      <c r="AA122" s="521" t="inlineStr">
        <is>
          <t>🟡 TB</t>
        </is>
      </c>
      <c r="AB122" s="521" t="n"/>
      <c r="AC122" s="528" t="inlineStr">
        <is>
          <t>HNX</t>
        </is>
      </c>
      <c r="AD122" s="1024">
        <f>IF(A124='🎯 SÓI v42 — TRA CỨU &amp; DEEP DIV'!$C$4,"⭐ ĐANG XEM","")</f>
        <v/>
      </c>
    </row>
    <row r="123" ht="13.5" customHeight="1" s="981">
      <c r="A123" s="433" t="inlineStr">
        <is>
          <t>KBC</t>
        </is>
      </c>
      <c r="B123" s="431" t="inlineStr">
        <is>
          <t>Kinh Bắc</t>
        </is>
      </c>
      <c r="C123" s="431" t="inlineStr">
        <is>
          <t>BĐS KCN</t>
        </is>
      </c>
      <c r="D123" s="520" t="n">
        <v>31500</v>
      </c>
      <c r="E123" s="431" t="n">
        <v>16.8</v>
      </c>
      <c r="F123" s="431" t="n">
        <v>1.5</v>
      </c>
      <c r="G123" s="431" t="n">
        <v>9.199999999999999</v>
      </c>
      <c r="H123" s="431" t="n">
        <v>24570</v>
      </c>
      <c r="I123" s="431" t="n">
        <v>1875</v>
      </c>
      <c r="J123" s="431" t="n">
        <v>28.5</v>
      </c>
      <c r="K123" s="524" t="inlineStr">
        <is>
          <t>MUA</t>
        </is>
      </c>
      <c r="L123" s="1104" t="inlineStr">
        <is>
          <t>KCN top</t>
        </is>
      </c>
      <c r="M123" s="521" t="n">
        <v>5000</v>
      </c>
      <c r="N123" s="521" t="n">
        <v>3000</v>
      </c>
      <c r="O123" s="521" t="n">
        <v>1500</v>
      </c>
      <c r="P123" s="521" t="n">
        <v>8000</v>
      </c>
      <c r="Q123" s="521" t="n">
        <v>1000</v>
      </c>
      <c r="R123" s="521" t="n">
        <v>12.5</v>
      </c>
      <c r="S123" s="521" t="n">
        <v>12</v>
      </c>
      <c r="T123" s="521" t="n">
        <v>0.6</v>
      </c>
      <c r="U123" s="521" t="n">
        <v>1.5</v>
      </c>
      <c r="V123" s="521" t="n">
        <v>500</v>
      </c>
      <c r="W123" s="521" t="n">
        <v>12</v>
      </c>
      <c r="X123" s="521" t="n">
        <v>3</v>
      </c>
      <c r="Y123" s="521" t="inlineStr">
        <is>
          <t>Ban lãnh đạo</t>
        </is>
      </c>
      <c r="Z123" s="521" t="n">
        <v>65</v>
      </c>
      <c r="AA123" s="521" t="inlineStr">
        <is>
          <t>🟡 TB</t>
        </is>
      </c>
      <c r="AB123" s="521" t="n"/>
      <c r="AC123" s="522" t="inlineStr">
        <is>
          <t>HOSE</t>
        </is>
      </c>
      <c r="AD123" s="1024">
        <f>IF(A125='🎯 SÓI v42 — TRA CỨU &amp; DEEP DIV'!$C$4,"⭐ ĐANG XEM","")</f>
        <v/>
      </c>
    </row>
    <row r="124" ht="13.5" customHeight="1" s="981">
      <c r="A124" s="437" t="inlineStr">
        <is>
          <t>IDC</t>
        </is>
      </c>
      <c r="B124" s="435" t="inlineStr">
        <is>
          <t>IDICO</t>
        </is>
      </c>
      <c r="C124" s="435" t="inlineStr">
        <is>
          <t>BĐS KCN</t>
        </is>
      </c>
      <c r="D124" s="523" t="n">
        <v>43600</v>
      </c>
      <c r="E124" s="435" t="n">
        <v>15.6</v>
      </c>
      <c r="F124" s="435" t="n">
        <v>2.1</v>
      </c>
      <c r="G124" s="435" t="n">
        <v>13.5</v>
      </c>
      <c r="H124" s="435" t="n">
        <v>1000</v>
      </c>
      <c r="I124" s="435" t="n">
        <v>2795</v>
      </c>
      <c r="J124" s="435" t="n">
        <v>15.5</v>
      </c>
      <c r="K124" s="524" t="inlineStr">
        <is>
          <t>MUA</t>
        </is>
      </c>
      <c r="L124" s="438" t="inlineStr">
        <is>
          <t>KCN miền Nam</t>
        </is>
      </c>
      <c r="M124" s="521" t="n">
        <v>5000</v>
      </c>
      <c r="N124" s="521" t="n">
        <v>3000</v>
      </c>
      <c r="O124" s="521" t="n">
        <v>1500</v>
      </c>
      <c r="P124" s="521" t="n">
        <v>8000</v>
      </c>
      <c r="Q124" s="521" t="n">
        <v>1000</v>
      </c>
      <c r="R124" s="521" t="n">
        <v>12.5</v>
      </c>
      <c r="S124" s="521" t="n">
        <v>12</v>
      </c>
      <c r="T124" s="521" t="n">
        <v>0.6</v>
      </c>
      <c r="U124" s="521" t="n">
        <v>1.5</v>
      </c>
      <c r="V124" s="521" t="n">
        <v>500</v>
      </c>
      <c r="W124" s="521" t="n">
        <v>12</v>
      </c>
      <c r="X124" s="521" t="n">
        <v>3</v>
      </c>
      <c r="Y124" s="521" t="inlineStr">
        <is>
          <t>Ban lãnh đạo</t>
        </is>
      </c>
      <c r="Z124" s="521" t="n">
        <v>65</v>
      </c>
      <c r="AA124" s="521" t="inlineStr">
        <is>
          <t>🟡 TB</t>
        </is>
      </c>
      <c r="AB124" s="521" t="n"/>
      <c r="AC124" s="522" t="inlineStr">
        <is>
          <t>HOSE</t>
        </is>
      </c>
      <c r="AD124" s="1024">
        <f>IF(A126='🎯 SÓI v42 — TRA CỨU &amp; DEEP DIV'!$C$4,"⭐ ĐANG XEM","")</f>
        <v/>
      </c>
    </row>
    <row r="125" ht="13.5" customHeight="1" s="981">
      <c r="A125" s="433" t="inlineStr">
        <is>
          <t>LHG</t>
        </is>
      </c>
      <c r="B125" s="431" t="inlineStr">
        <is>
          <t>Long Hậu</t>
        </is>
      </c>
      <c r="C125" s="431" t="inlineStr">
        <is>
          <t>BĐS KCN</t>
        </is>
      </c>
      <c r="D125" s="520" t="n">
        <v>27300</v>
      </c>
      <c r="E125" s="431" t="n">
        <v>11.5</v>
      </c>
      <c r="F125" s="431" t="n">
        <v>1.8</v>
      </c>
      <c r="G125" s="431" t="n">
        <v>16.5</v>
      </c>
      <c r="H125" s="431" t="n">
        <v>1000</v>
      </c>
      <c r="I125" s="431" t="n">
        <v>2374</v>
      </c>
      <c r="J125" s="431" t="n">
        <v>18.5</v>
      </c>
      <c r="K125" s="524" t="inlineStr">
        <is>
          <t>MUA</t>
        </is>
      </c>
      <c r="L125" s="1104" t="n"/>
      <c r="M125" s="521" t="n">
        <v>5000</v>
      </c>
      <c r="N125" s="521" t="n">
        <v>3000</v>
      </c>
      <c r="O125" s="521" t="n">
        <v>1500</v>
      </c>
      <c r="P125" s="521" t="n">
        <v>8000</v>
      </c>
      <c r="Q125" s="521" t="n">
        <v>1000</v>
      </c>
      <c r="R125" s="521" t="n">
        <v>12.5</v>
      </c>
      <c r="S125" s="521" t="n">
        <v>12</v>
      </c>
      <c r="T125" s="521" t="n">
        <v>0.6</v>
      </c>
      <c r="U125" s="521" t="n">
        <v>1.5</v>
      </c>
      <c r="V125" s="521" t="n">
        <v>500</v>
      </c>
      <c r="W125" s="521" t="n">
        <v>12</v>
      </c>
      <c r="X125" s="521" t="n">
        <v>3</v>
      </c>
      <c r="Y125" s="521" t="inlineStr">
        <is>
          <t>Ban lãnh đạo</t>
        </is>
      </c>
      <c r="Z125" s="521" t="n">
        <v>65</v>
      </c>
      <c r="AA125" s="521" t="inlineStr">
        <is>
          <t>🟡 TB</t>
        </is>
      </c>
      <c r="AB125" s="521" t="n"/>
      <c r="AC125" s="522" t="inlineStr">
        <is>
          <t>HOSE</t>
        </is>
      </c>
      <c r="AD125" s="1024">
        <f>IF(A127='🎯 SÓI v42 — TRA CỨU &amp; DEEP DIV'!$C$4,"⭐ ĐANG XEM","")</f>
        <v/>
      </c>
    </row>
    <row r="126" ht="13.5" customHeight="1" s="981">
      <c r="A126" s="437" t="inlineStr">
        <is>
          <t>SZC</t>
        </is>
      </c>
      <c r="B126" s="435" t="inlineStr">
        <is>
          <t>Sonadezi Châu Đức</t>
        </is>
      </c>
      <c r="C126" s="435" t="inlineStr">
        <is>
          <t>BĐS KCN</t>
        </is>
      </c>
      <c r="D126" s="523" t="n">
        <v>24700</v>
      </c>
      <c r="E126" s="435" t="n">
        <v>14.7</v>
      </c>
      <c r="F126" s="435" t="n">
        <v>2.4</v>
      </c>
      <c r="G126" s="435" t="n">
        <v>16.5</v>
      </c>
      <c r="H126" s="435" t="n">
        <v>1000</v>
      </c>
      <c r="I126" s="435" t="n">
        <v>1680</v>
      </c>
      <c r="J126" s="435" t="n">
        <v>8.5</v>
      </c>
      <c r="K126" s="437" t="inlineStr">
        <is>
          <t>GIỮ</t>
        </is>
      </c>
      <c r="L126" s="438" t="n"/>
      <c r="M126" s="521" t="n">
        <v>5000</v>
      </c>
      <c r="N126" s="521" t="n">
        <v>3000</v>
      </c>
      <c r="O126" s="521" t="n">
        <v>1500</v>
      </c>
      <c r="P126" s="521" t="n">
        <v>8000</v>
      </c>
      <c r="Q126" s="521" t="n">
        <v>1000</v>
      </c>
      <c r="R126" s="521" t="n">
        <v>12.5</v>
      </c>
      <c r="S126" s="521" t="n">
        <v>12</v>
      </c>
      <c r="T126" s="521" t="n">
        <v>0.6</v>
      </c>
      <c r="U126" s="521" t="n">
        <v>1.5</v>
      </c>
      <c r="V126" s="521" t="n">
        <v>500</v>
      </c>
      <c r="W126" s="521" t="n">
        <v>12</v>
      </c>
      <c r="X126" s="521" t="n">
        <v>3</v>
      </c>
      <c r="Y126" s="521" t="inlineStr">
        <is>
          <t>Ban lãnh đạo</t>
        </is>
      </c>
      <c r="Z126" s="521" t="n">
        <v>65</v>
      </c>
      <c r="AA126" s="521" t="inlineStr">
        <is>
          <t>🟡 TB</t>
        </is>
      </c>
      <c r="AB126" s="521" t="n"/>
      <c r="AC126" s="522" t="inlineStr">
        <is>
          <t>HOSE</t>
        </is>
      </c>
      <c r="AD126" s="1024">
        <f>IF(A128='🎯 SÓI v42 — TRA CỨU &amp; DEEP DIV'!$C$4,"⭐ ĐANG XEM","")</f>
        <v/>
      </c>
    </row>
    <row r="127" ht="13.5" customHeight="1" s="981">
      <c r="A127" s="433" t="inlineStr">
        <is>
          <t>TIP</t>
        </is>
      </c>
      <c r="B127" s="431" t="inlineStr">
        <is>
          <t>Tiền Phong</t>
        </is>
      </c>
      <c r="C127" s="431" t="inlineStr">
        <is>
          <t>BĐS KCN</t>
        </is>
      </c>
      <c r="D127" s="520" t="n">
        <v>18300</v>
      </c>
      <c r="E127" s="431" t="n">
        <v>16.4</v>
      </c>
      <c r="F127" s="431" t="n">
        <v>1.5</v>
      </c>
      <c r="G127" s="431" t="n">
        <v>10.5</v>
      </c>
      <c r="H127" s="431" t="n">
        <v>1000</v>
      </c>
      <c r="I127" s="431" t="n">
        <v>1116</v>
      </c>
      <c r="J127" s="431" t="n">
        <v>12.5</v>
      </c>
      <c r="K127" s="433" t="inlineStr">
        <is>
          <t>GIỮ</t>
        </is>
      </c>
      <c r="L127" s="1104" t="n"/>
      <c r="M127" s="521" t="n">
        <v>5000</v>
      </c>
      <c r="N127" s="521" t="n">
        <v>3000</v>
      </c>
      <c r="O127" s="521" t="n">
        <v>1500</v>
      </c>
      <c r="P127" s="521" t="n">
        <v>8000</v>
      </c>
      <c r="Q127" s="521" t="n">
        <v>1000</v>
      </c>
      <c r="R127" s="521" t="n">
        <v>12.5</v>
      </c>
      <c r="S127" s="521" t="n">
        <v>12</v>
      </c>
      <c r="T127" s="521" t="n">
        <v>0.6</v>
      </c>
      <c r="U127" s="521" t="n">
        <v>1.5</v>
      </c>
      <c r="V127" s="521" t="n">
        <v>500</v>
      </c>
      <c r="W127" s="521" t="n">
        <v>12</v>
      </c>
      <c r="X127" s="521" t="n">
        <v>3</v>
      </c>
      <c r="Y127" s="521" t="inlineStr">
        <is>
          <t>Ban lãnh đạo</t>
        </is>
      </c>
      <c r="Z127" s="521" t="n">
        <v>65</v>
      </c>
      <c r="AA127" s="521" t="inlineStr">
        <is>
          <t>🟡 TB</t>
        </is>
      </c>
      <c r="AB127" s="521" t="n"/>
      <c r="AC127" s="528" t="inlineStr">
        <is>
          <t>HNX</t>
        </is>
      </c>
      <c r="AD127" s="1024">
        <f>IF(A129='🎯 SÓI v42 — TRA CỨU &amp; DEEP DIV'!$C$4,"⭐ ĐANG XEM","")</f>
        <v/>
      </c>
    </row>
    <row r="128" ht="13.5" customHeight="1" s="981">
      <c r="A128" s="437" t="inlineStr">
        <is>
          <t>NTC</t>
        </is>
      </c>
      <c r="B128" s="435" t="inlineStr">
        <is>
          <t>Nam Tân Uyên</t>
        </is>
      </c>
      <c r="C128" s="435" t="inlineStr">
        <is>
          <t>BĐS KCN</t>
        </is>
      </c>
      <c r="D128" s="523">
        <f>IFERROR(INDEX('📡 LIVE PRICE FEED'!$D$4:$D$300,MATCH(A130,'📡 LIVE PRICE FEED'!$A$4:$A$300,0)),158000)</f>
        <v/>
      </c>
      <c r="E128" s="435" t="n">
        <v>9.800000000000001</v>
      </c>
      <c r="F128" s="435" t="n">
        <v>2.4</v>
      </c>
      <c r="G128" s="435" t="n">
        <v>27.5</v>
      </c>
      <c r="H128" s="435" t="n">
        <v>1994</v>
      </c>
      <c r="I128" s="435" t="n">
        <v>14265</v>
      </c>
      <c r="J128" s="435" t="n">
        <v>32.5</v>
      </c>
      <c r="K128" s="524" t="inlineStr">
        <is>
          <t>MUA</t>
        </is>
      </c>
      <c r="L128" s="438" t="inlineStr">
        <is>
          <t>KCN Bình Dương</t>
        </is>
      </c>
      <c r="M128" s="521" t="n">
        <v>5000</v>
      </c>
      <c r="N128" s="521" t="n">
        <v>3000</v>
      </c>
      <c r="O128" s="521" t="n">
        <v>1500</v>
      </c>
      <c r="P128" s="521" t="n">
        <v>8000</v>
      </c>
      <c r="Q128" s="521" t="n">
        <v>1000</v>
      </c>
      <c r="R128" s="521" t="n">
        <v>12.5</v>
      </c>
      <c r="S128" s="521" t="n">
        <v>12</v>
      </c>
      <c r="T128" s="521" t="n">
        <v>0.6</v>
      </c>
      <c r="U128" s="521" t="n">
        <v>1.5</v>
      </c>
      <c r="V128" s="521" t="n">
        <v>500</v>
      </c>
      <c r="W128" s="521" t="n">
        <v>12</v>
      </c>
      <c r="X128" s="521" t="n">
        <v>3</v>
      </c>
      <c r="Y128" s="521" t="inlineStr">
        <is>
          <t>Ban lãnh đạo</t>
        </is>
      </c>
      <c r="Z128" s="521" t="n">
        <v>65</v>
      </c>
      <c r="AA128" s="521" t="inlineStr">
        <is>
          <t>🟡 TB</t>
        </is>
      </c>
      <c r="AB128" s="521" t="n"/>
      <c r="AC128" s="528" t="inlineStr">
        <is>
          <t>HNX</t>
        </is>
      </c>
      <c r="AD128" s="1024">
        <f>IF(A130='🎯 SÓI v42 — TRA CỨU &amp; DEEP DIV'!$C$4,"⭐ ĐANG XEM","")</f>
        <v/>
      </c>
    </row>
    <row r="129" ht="13.5" customHeight="1" s="981">
      <c r="A129" s="433" t="inlineStr">
        <is>
          <t>SIP</t>
        </is>
      </c>
      <c r="B129" s="431" t="inlineStr">
        <is>
          <t>SIP</t>
        </is>
      </c>
      <c r="C129" s="431" t="inlineStr">
        <is>
          <t>BĐS KCN</t>
        </is>
      </c>
      <c r="D129" s="520" t="n">
        <v>52000</v>
      </c>
      <c r="E129" s="431" t="n">
        <v>13.5</v>
      </c>
      <c r="F129" s="431" t="n">
        <v>2.2</v>
      </c>
      <c r="G129" s="431" t="n">
        <v>17.8</v>
      </c>
      <c r="H129" s="431" t="n">
        <v>7800</v>
      </c>
      <c r="I129" s="431" t="n">
        <v>3852</v>
      </c>
      <c r="J129" s="431" t="n">
        <v>22.5</v>
      </c>
      <c r="K129" s="524" t="inlineStr">
        <is>
          <t>MUA</t>
        </is>
      </c>
      <c r="L129" s="1104" t="inlineStr">
        <is>
          <t>KCN Sài Gòn</t>
        </is>
      </c>
      <c r="M129" s="521" t="n">
        <v>5000</v>
      </c>
      <c r="N129" s="521" t="n">
        <v>3000</v>
      </c>
      <c r="O129" s="521" t="n">
        <v>1500</v>
      </c>
      <c r="P129" s="521" t="n">
        <v>8000</v>
      </c>
      <c r="Q129" s="521" t="n">
        <v>1000</v>
      </c>
      <c r="R129" s="521" t="n">
        <v>12.5</v>
      </c>
      <c r="S129" s="521" t="n">
        <v>12</v>
      </c>
      <c r="T129" s="521" t="n">
        <v>0.6</v>
      </c>
      <c r="U129" s="521" t="n">
        <v>1.5</v>
      </c>
      <c r="V129" s="521" t="n">
        <v>500</v>
      </c>
      <c r="W129" s="521" t="n">
        <v>12</v>
      </c>
      <c r="X129" s="521" t="n">
        <v>3</v>
      </c>
      <c r="Y129" s="521" t="inlineStr">
        <is>
          <t>Ban lãnh đạo</t>
        </is>
      </c>
      <c r="Z129" s="521" t="n">
        <v>65</v>
      </c>
      <c r="AA129" s="521" t="inlineStr">
        <is>
          <t>🟡 TB</t>
        </is>
      </c>
      <c r="AB129" s="521" t="n"/>
      <c r="AC129" s="522" t="inlineStr">
        <is>
          <t>HOSE</t>
        </is>
      </c>
      <c r="AD129" s="1024">
        <f>IF(A131='🎯 SÓI v42 — TRA CỨU &amp; DEEP DIV'!$C$4,"⭐ ĐANG XEM","")</f>
        <v/>
      </c>
    </row>
    <row r="130" ht="13.5" customHeight="1" s="981">
      <c r="A130" s="437" t="inlineStr">
        <is>
          <t>KSB</t>
        </is>
      </c>
      <c r="B130" s="435" t="inlineStr">
        <is>
          <t>KSB</t>
        </is>
      </c>
      <c r="C130" s="435" t="inlineStr">
        <is>
          <t>Khoáng sản</t>
        </is>
      </c>
      <c r="D130" s="523" t="n">
        <v>15450</v>
      </c>
      <c r="E130" s="435" t="n">
        <v>16.5</v>
      </c>
      <c r="F130" s="435" t="n">
        <v>1.4</v>
      </c>
      <c r="G130" s="435" t="n">
        <v>10.5</v>
      </c>
      <c r="H130" s="435" t="n">
        <v>1000</v>
      </c>
      <c r="I130" s="435" t="n">
        <v>936</v>
      </c>
      <c r="J130" s="435" t="n">
        <v>5.5</v>
      </c>
      <c r="K130" s="437" t="inlineStr">
        <is>
          <t>GIỮ</t>
        </is>
      </c>
      <c r="L130" s="438" t="n"/>
      <c r="M130" s="521" t="n">
        <v>5000</v>
      </c>
      <c r="N130" s="521" t="n">
        <v>3000</v>
      </c>
      <c r="O130" s="521" t="n">
        <v>1500</v>
      </c>
      <c r="P130" s="521" t="n">
        <v>8000</v>
      </c>
      <c r="Q130" s="521" t="n">
        <v>1000</v>
      </c>
      <c r="R130" s="521" t="n">
        <v>12.5</v>
      </c>
      <c r="S130" s="521" t="n">
        <v>12</v>
      </c>
      <c r="T130" s="521" t="n">
        <v>0.6</v>
      </c>
      <c r="U130" s="521" t="n">
        <v>1.5</v>
      </c>
      <c r="V130" s="521" t="n">
        <v>500</v>
      </c>
      <c r="W130" s="521" t="n">
        <v>12</v>
      </c>
      <c r="X130" s="521" t="n">
        <v>3</v>
      </c>
      <c r="Y130" s="521" t="inlineStr">
        <is>
          <t>Ban lãnh đạo</t>
        </is>
      </c>
      <c r="Z130" s="521" t="n">
        <v>65</v>
      </c>
      <c r="AA130" s="521" t="inlineStr">
        <is>
          <t>🟡 TB</t>
        </is>
      </c>
      <c r="AB130" s="521" t="n"/>
      <c r="AC130" s="522" t="inlineStr">
        <is>
          <t>HOSE</t>
        </is>
      </c>
      <c r="AD130" s="1024">
        <f>IF(A132='🎯 SÓI v42 — TRA CỨU &amp; DEEP DIV'!$C$4,"⭐ ĐANG XEM","")</f>
        <v/>
      </c>
    </row>
    <row r="131" ht="13.5" customHeight="1" s="981">
      <c r="A131" s="433" t="inlineStr">
        <is>
          <t>BMP</t>
        </is>
      </c>
      <c r="B131" s="431" t="inlineStr">
        <is>
          <t>Bình Minh</t>
        </is>
      </c>
      <c r="C131" s="431" t="inlineStr">
        <is>
          <t>Nhựa</t>
        </is>
      </c>
      <c r="D131" s="520" t="n">
        <v>138000</v>
      </c>
      <c r="E131" s="431" t="n">
        <v>9.800000000000001</v>
      </c>
      <c r="F131" s="431" t="n">
        <v>3.4</v>
      </c>
      <c r="G131" s="431" t="n">
        <v>34.5</v>
      </c>
      <c r="H131" s="431" t="n">
        <v>1943</v>
      </c>
      <c r="I131" s="431" t="n">
        <v>14082</v>
      </c>
      <c r="J131" s="431" t="n">
        <v>18.5</v>
      </c>
      <c r="K131" s="524" t="inlineStr">
        <is>
          <t>MUA</t>
        </is>
      </c>
      <c r="L131" s="1104" t="inlineStr">
        <is>
          <t>Nhựa BMP</t>
        </is>
      </c>
      <c r="M131" s="521" t="n">
        <v>5000</v>
      </c>
      <c r="N131" s="521" t="n">
        <v>3000</v>
      </c>
      <c r="O131" s="521" t="n">
        <v>1500</v>
      </c>
      <c r="P131" s="521" t="n">
        <v>8000</v>
      </c>
      <c r="Q131" s="521" t="n">
        <v>1000</v>
      </c>
      <c r="R131" s="521" t="n">
        <v>12.5</v>
      </c>
      <c r="S131" s="521" t="n">
        <v>12</v>
      </c>
      <c r="T131" s="521" t="n">
        <v>0.6</v>
      </c>
      <c r="U131" s="521" t="n">
        <v>1.5</v>
      </c>
      <c r="V131" s="521" t="n">
        <v>500</v>
      </c>
      <c r="W131" s="521" t="n">
        <v>12</v>
      </c>
      <c r="X131" s="521" t="n">
        <v>3</v>
      </c>
      <c r="Y131" s="521" t="inlineStr">
        <is>
          <t>Ban lãnh đạo</t>
        </is>
      </c>
      <c r="Z131" s="521" t="n">
        <v>65</v>
      </c>
      <c r="AA131" s="521" t="inlineStr">
        <is>
          <t>🟡 TB</t>
        </is>
      </c>
      <c r="AB131" s="521" t="n"/>
      <c r="AC131" s="522" t="inlineStr">
        <is>
          <t>HOSE</t>
        </is>
      </c>
      <c r="AD131" s="1024">
        <f>IF(A133='🎯 SÓI v42 — TRA CỨU &amp; DEEP DIV'!$C$4,"⭐ ĐANG XEM","")</f>
        <v/>
      </c>
    </row>
    <row r="132" ht="13.5" customHeight="1" s="981">
      <c r="A132" s="437" t="inlineStr">
        <is>
          <t>NTP</t>
        </is>
      </c>
      <c r="B132" s="435" t="inlineStr">
        <is>
          <t>Nhựa Tiền Phong</t>
        </is>
      </c>
      <c r="C132" s="435" t="inlineStr">
        <is>
          <t>Nhựa</t>
        </is>
      </c>
      <c r="D132" s="523">
        <f>IFERROR(INDEX('📡 LIVE PRICE FEED'!$D$4:$D$300,MATCH(A134,'📡 LIVE PRICE FEED'!$A$4:$A$300,0)),45500)</f>
        <v/>
      </c>
      <c r="E132" s="435" t="n">
        <v>12.5</v>
      </c>
      <c r="F132" s="435" t="n">
        <v>2.4</v>
      </c>
      <c r="G132" s="435" t="n">
        <v>17.5</v>
      </c>
      <c r="H132" s="435" t="n">
        <v>1000</v>
      </c>
      <c r="I132" s="435" t="n">
        <v>4808</v>
      </c>
      <c r="J132" s="435" t="n">
        <v>12.5</v>
      </c>
      <c r="K132" s="437" t="inlineStr">
        <is>
          <t>GIỮ</t>
        </is>
      </c>
      <c r="L132" s="438" t="inlineStr">
        <is>
          <t>Nhựa TP</t>
        </is>
      </c>
      <c r="M132" s="521" t="n">
        <v>5000</v>
      </c>
      <c r="N132" s="521" t="n">
        <v>3000</v>
      </c>
      <c r="O132" s="521" t="n">
        <v>1500</v>
      </c>
      <c r="P132" s="521" t="n">
        <v>8000</v>
      </c>
      <c r="Q132" s="521" t="n">
        <v>1000</v>
      </c>
      <c r="R132" s="521" t="n">
        <v>12.5</v>
      </c>
      <c r="S132" s="521" t="n">
        <v>12</v>
      </c>
      <c r="T132" s="521" t="n">
        <v>0.6</v>
      </c>
      <c r="U132" s="521" t="n">
        <v>1.5</v>
      </c>
      <c r="V132" s="521" t="n">
        <v>500</v>
      </c>
      <c r="W132" s="521" t="n">
        <v>12</v>
      </c>
      <c r="X132" s="521" t="n">
        <v>3</v>
      </c>
      <c r="Y132" s="521" t="inlineStr">
        <is>
          <t>Ban lãnh đạo</t>
        </is>
      </c>
      <c r="Z132" s="521" t="n">
        <v>65</v>
      </c>
      <c r="AA132" s="521" t="inlineStr">
        <is>
          <t>🟡 TB</t>
        </is>
      </c>
      <c r="AB132" s="521" t="n"/>
      <c r="AC132" s="528" t="inlineStr">
        <is>
          <t>HNX</t>
        </is>
      </c>
      <c r="AD132" s="1024">
        <f>IF(A134='🎯 SÓI v42 — TRA CỨU &amp; DEEP DIV'!$C$4,"⭐ ĐANG XEM","")</f>
        <v/>
      </c>
    </row>
    <row r="133" ht="13.5" customHeight="1" s="981">
      <c r="A133" s="433" t="inlineStr">
        <is>
          <t>CII</t>
        </is>
      </c>
      <c r="B133" s="431" t="inlineStr">
        <is>
          <t>C.I.I</t>
        </is>
      </c>
      <c r="C133" s="431" t="inlineStr">
        <is>
          <t>Hạ tầng</t>
        </is>
      </c>
      <c r="D133" s="520" t="n">
        <v>18000</v>
      </c>
      <c r="E133" s="431" t="n">
        <v>32.5</v>
      </c>
      <c r="F133" s="431" t="n">
        <v>0.85</v>
      </c>
      <c r="G133" s="431" t="n">
        <v>2.8</v>
      </c>
      <c r="H133" s="431" t="n">
        <v>1000</v>
      </c>
      <c r="I133" s="431" t="n">
        <v>554</v>
      </c>
      <c r="J133" s="431" t="n">
        <v>-8.5</v>
      </c>
      <c r="K133" s="433" t="inlineStr">
        <is>
          <t>GIỮ</t>
        </is>
      </c>
      <c r="L133" s="1104" t="n"/>
      <c r="M133" s="521" t="n">
        <v>5000</v>
      </c>
      <c r="N133" s="521" t="n">
        <v>3000</v>
      </c>
      <c r="O133" s="521" t="n">
        <v>1500</v>
      </c>
      <c r="P133" s="521" t="n">
        <v>8000</v>
      </c>
      <c r="Q133" s="521" t="n">
        <v>1000</v>
      </c>
      <c r="R133" s="521" t="n">
        <v>12.5</v>
      </c>
      <c r="S133" s="521" t="n">
        <v>12</v>
      </c>
      <c r="T133" s="521" t="n">
        <v>0.6</v>
      </c>
      <c r="U133" s="521" t="n">
        <v>1.5</v>
      </c>
      <c r="V133" s="521" t="n">
        <v>500</v>
      </c>
      <c r="W133" s="521" t="n">
        <v>12</v>
      </c>
      <c r="X133" s="521" t="n">
        <v>3</v>
      </c>
      <c r="Y133" s="521" t="inlineStr">
        <is>
          <t>Ban lãnh đạo</t>
        </is>
      </c>
      <c r="Z133" s="521" t="n">
        <v>65</v>
      </c>
      <c r="AA133" s="521" t="inlineStr">
        <is>
          <t>🟡 TB</t>
        </is>
      </c>
      <c r="AB133" s="521" t="n"/>
      <c r="AC133" s="522" t="inlineStr">
        <is>
          <t>HOSE</t>
        </is>
      </c>
      <c r="AD133" s="1024">
        <f>IF(A135='🎯 SÓI v42 — TRA CỨU &amp; DEEP DIV'!$C$4,"⭐ ĐANG XEM","")</f>
        <v/>
      </c>
    </row>
    <row r="134" ht="13.5" customHeight="1" s="981">
      <c r="A134" s="437" t="inlineStr">
        <is>
          <t>LDG</t>
        </is>
      </c>
      <c r="B134" s="435" t="inlineStr">
        <is>
          <t>LDG</t>
        </is>
      </c>
      <c r="C134" s="435" t="inlineStr">
        <is>
          <t>Đa ngành</t>
        </is>
      </c>
      <c r="D134" s="523" t="n">
        <v>3020</v>
      </c>
      <c r="E134" s="435">
        <f>IFERROR(INDEX('📡 LIVE PRICE FEED'!$H$4:$H$300,MATCH(A136,'📡 LIVE PRICE FEED'!$A$4:$A$300,0)),0)</f>
        <v/>
      </c>
      <c r="F134" s="435" t="n">
        <v>0.8</v>
      </c>
      <c r="G134" s="435" t="n"/>
      <c r="H134" s="435" t="n">
        <v>2200</v>
      </c>
      <c r="I134" s="435" t="n"/>
      <c r="J134" s="435" t="n">
        <v>-25.5</v>
      </c>
      <c r="K134" s="527" t="inlineStr">
        <is>
          <t>TRÁNH</t>
        </is>
      </c>
      <c r="L134" s="438" t="inlineStr">
        <is>
          <t>Lỗ</t>
        </is>
      </c>
      <c r="M134" s="521" t="n">
        <v>5000</v>
      </c>
      <c r="N134" s="521" t="n">
        <v>3000</v>
      </c>
      <c r="O134" s="521" t="n">
        <v>1500</v>
      </c>
      <c r="P134" s="521" t="n">
        <v>8000</v>
      </c>
      <c r="Q134" s="521" t="n">
        <v>1000</v>
      </c>
      <c r="R134" s="521" t="n">
        <v>12.5</v>
      </c>
      <c r="S134" s="521" t="n">
        <v>12</v>
      </c>
      <c r="T134" s="521" t="n">
        <v>0.6</v>
      </c>
      <c r="U134" s="521" t="n">
        <v>1.5</v>
      </c>
      <c r="V134" s="521" t="n">
        <v>500</v>
      </c>
      <c r="W134" s="521" t="n">
        <v>12</v>
      </c>
      <c r="X134" s="521" t="n">
        <v>3</v>
      </c>
      <c r="Y134" s="521" t="inlineStr">
        <is>
          <t>Ban lãnh đạo</t>
        </is>
      </c>
      <c r="Z134" s="521" t="n">
        <v>65</v>
      </c>
      <c r="AA134" s="521" t="inlineStr">
        <is>
          <t>🟡 TB</t>
        </is>
      </c>
      <c r="AB134" s="521" t="n"/>
      <c r="AC134" s="522" t="inlineStr">
        <is>
          <t>HOSE</t>
        </is>
      </c>
      <c r="AD134" s="1024">
        <f>IF(A136='🎯 SÓI v42 — TRA CỨU &amp; DEEP DIV'!$C$4,"⭐ ĐANG XEM","")</f>
        <v/>
      </c>
    </row>
    <row r="135" ht="13.5" customHeight="1" s="981">
      <c r="A135" s="433" t="inlineStr">
        <is>
          <t>HAG</t>
        </is>
      </c>
      <c r="B135" s="431" t="inlineStr">
        <is>
          <t>Hoàng Anh Gia Lai</t>
        </is>
      </c>
      <c r="C135" s="431" t="inlineStr">
        <is>
          <t>Đa ngành</t>
        </is>
      </c>
      <c r="D135" s="520" t="n">
        <v>15450</v>
      </c>
      <c r="E135" s="431" t="n">
        <v>28.4</v>
      </c>
      <c r="F135" s="431" t="n">
        <v>1.5</v>
      </c>
      <c r="G135" s="431" t="n">
        <v>5.7</v>
      </c>
      <c r="H135" s="431" t="n">
        <v>1000</v>
      </c>
      <c r="I135" s="431" t="n">
        <v>544</v>
      </c>
      <c r="J135" s="431" t="n">
        <v>-15.5</v>
      </c>
      <c r="K135" s="433" t="inlineStr">
        <is>
          <t>GIỮ</t>
        </is>
      </c>
      <c r="L135" s="1104" t="n"/>
      <c r="M135" s="521" t="n">
        <v>5000</v>
      </c>
      <c r="N135" s="521" t="n">
        <v>3000</v>
      </c>
      <c r="O135" s="521" t="n">
        <v>1500</v>
      </c>
      <c r="P135" s="521" t="n">
        <v>8000</v>
      </c>
      <c r="Q135" s="521" t="n">
        <v>1000</v>
      </c>
      <c r="R135" s="521" t="n">
        <v>12.5</v>
      </c>
      <c r="S135" s="521" t="n">
        <v>12</v>
      </c>
      <c r="T135" s="521" t="n">
        <v>0.6</v>
      </c>
      <c r="U135" s="521" t="n">
        <v>1.5</v>
      </c>
      <c r="V135" s="521" t="n">
        <v>500</v>
      </c>
      <c r="W135" s="521" t="n">
        <v>12</v>
      </c>
      <c r="X135" s="521" t="n">
        <v>3</v>
      </c>
      <c r="Y135" s="521" t="inlineStr">
        <is>
          <t>Ban lãnh đạo</t>
        </is>
      </c>
      <c r="Z135" s="521" t="n">
        <v>65</v>
      </c>
      <c r="AA135" s="521" t="inlineStr">
        <is>
          <t>🟡 TB</t>
        </is>
      </c>
      <c r="AB135" s="521" t="n"/>
      <c r="AC135" s="522" t="inlineStr">
        <is>
          <t>HOSE</t>
        </is>
      </c>
      <c r="AD135" s="1024">
        <f>IF(A137='🎯 SÓI v42 — TRA CỨU &amp; DEEP DIV'!$C$4,"⭐ ĐANG XEM","")</f>
        <v/>
      </c>
    </row>
    <row r="136" ht="13.5" customHeight="1" s="981">
      <c r="A136" s="437" t="inlineStr">
        <is>
          <t>HNG</t>
        </is>
      </c>
      <c r="B136" s="435" t="inlineStr">
        <is>
          <t>HAG Nông Nghiệp</t>
        </is>
      </c>
      <c r="C136" s="435" t="inlineStr">
        <is>
          <t>Nông nghiệp</t>
        </is>
      </c>
      <c r="D136" s="523" t="n">
        <v>7200</v>
      </c>
      <c r="E136" s="435">
        <f>IFERROR(INDEX('📡 LIVE PRICE FEED'!$H$4:$H$300,MATCH(A138,'📡 LIVE PRICE FEED'!$A$4:$A$300,0)),0)</f>
        <v/>
      </c>
      <c r="F136" s="435" t="n">
        <v>0.8</v>
      </c>
      <c r="G136" s="435" t="n"/>
      <c r="H136" s="435" t="n">
        <v>3240</v>
      </c>
      <c r="I136" s="435" t="n"/>
      <c r="J136" s="435" t="n">
        <v>-32.5</v>
      </c>
      <c r="K136" s="527" t="inlineStr">
        <is>
          <t>TRÁNH</t>
        </is>
      </c>
      <c r="L136" s="438" t="n"/>
      <c r="M136" s="521" t="n">
        <v>5000</v>
      </c>
      <c r="N136" s="521" t="n">
        <v>3000</v>
      </c>
      <c r="O136" s="521" t="n">
        <v>1500</v>
      </c>
      <c r="P136" s="521" t="n">
        <v>8000</v>
      </c>
      <c r="Q136" s="521" t="n">
        <v>1000</v>
      </c>
      <c r="R136" s="521" t="n">
        <v>12.5</v>
      </c>
      <c r="S136" s="521" t="n">
        <v>12</v>
      </c>
      <c r="T136" s="521" t="n">
        <v>0.6</v>
      </c>
      <c r="U136" s="521" t="n">
        <v>1.5</v>
      </c>
      <c r="V136" s="521" t="n">
        <v>500</v>
      </c>
      <c r="W136" s="521" t="n">
        <v>12</v>
      </c>
      <c r="X136" s="521" t="n">
        <v>3</v>
      </c>
      <c r="Y136" s="521" t="inlineStr">
        <is>
          <t>Ban lãnh đạo</t>
        </is>
      </c>
      <c r="Z136" s="521" t="n">
        <v>65</v>
      </c>
      <c r="AA136" s="521" t="inlineStr">
        <is>
          <t>🟡 TB</t>
        </is>
      </c>
      <c r="AB136" s="521" t="n"/>
      <c r="AC136" s="522" t="inlineStr">
        <is>
          <t>HOSE</t>
        </is>
      </c>
      <c r="AD136" s="1024">
        <f>IF(A138='🎯 SÓI v42 — TRA CỨU &amp; DEEP DIV'!$C$4,"⭐ ĐANG XEM","")</f>
        <v/>
      </c>
    </row>
    <row r="137" ht="13.5" customHeight="1" s="981">
      <c r="A137" s="433" t="inlineStr">
        <is>
          <t>DXS</t>
        </is>
      </c>
      <c r="B137" s="431" t="inlineStr">
        <is>
          <t>Đất Xanh Services</t>
        </is>
      </c>
      <c r="C137" s="431" t="inlineStr">
        <is>
          <t>BĐS</t>
        </is>
      </c>
      <c r="D137" s="520">
        <f>IFERROR(INDEX('📡 LIVE PRICE FEED'!$D$4:$D$300,MATCH(A139,'📡 LIVE PRICE FEED'!$A$4:$A$300,0)),6500)</f>
        <v/>
      </c>
      <c r="E137" s="431" t="n">
        <v>16.5</v>
      </c>
      <c r="F137" s="431" t="n">
        <v>1.2</v>
      </c>
      <c r="G137" s="431" t="n">
        <v>7.2</v>
      </c>
      <c r="H137" s="431" t="n">
        <v>1000</v>
      </c>
      <c r="I137" s="431" t="n">
        <v>463</v>
      </c>
      <c r="J137" s="431" t="n">
        <v>-12.5</v>
      </c>
      <c r="K137" s="433" t="inlineStr">
        <is>
          <t>GIỮ</t>
        </is>
      </c>
      <c r="L137" s="1104" t="n"/>
      <c r="M137" s="521" t="n">
        <v>5000</v>
      </c>
      <c r="N137" s="521" t="n">
        <v>3000</v>
      </c>
      <c r="O137" s="521" t="n">
        <v>1500</v>
      </c>
      <c r="P137" s="521" t="n">
        <v>8000</v>
      </c>
      <c r="Q137" s="521" t="n">
        <v>1000</v>
      </c>
      <c r="R137" s="521" t="n">
        <v>12.5</v>
      </c>
      <c r="S137" s="521" t="n">
        <v>12</v>
      </c>
      <c r="T137" s="521" t="n">
        <v>0.6</v>
      </c>
      <c r="U137" s="521" t="n">
        <v>1.5</v>
      </c>
      <c r="V137" s="521" t="n">
        <v>500</v>
      </c>
      <c r="W137" s="521" t="n">
        <v>12</v>
      </c>
      <c r="X137" s="521" t="n">
        <v>3</v>
      </c>
      <c r="Y137" s="521" t="inlineStr">
        <is>
          <t>Ban lãnh đạo</t>
        </is>
      </c>
      <c r="Z137" s="521" t="n">
        <v>65</v>
      </c>
      <c r="AA137" s="521" t="inlineStr">
        <is>
          <t>🟡 TB</t>
        </is>
      </c>
      <c r="AB137" s="521" t="n"/>
      <c r="AC137" s="522" t="inlineStr">
        <is>
          <t>HOSE</t>
        </is>
      </c>
      <c r="AD137" s="1024">
        <f>IF(A139='🎯 SÓI v42 — TRA CỨU &amp; DEEP DIV'!$C$4,"⭐ ĐANG XEM","")</f>
        <v/>
      </c>
    </row>
    <row r="138" ht="13.5" customHeight="1" s="981">
      <c r="A138" s="437" t="inlineStr">
        <is>
          <t>CEO</t>
        </is>
      </c>
      <c r="B138" s="435" t="inlineStr">
        <is>
          <t>CEO Group</t>
        </is>
      </c>
      <c r="C138" s="435" t="inlineStr">
        <is>
          <t>BĐS</t>
        </is>
      </c>
      <c r="D138" s="523" t="n">
        <v>16700</v>
      </c>
      <c r="E138" s="435" t="n">
        <v>38.2</v>
      </c>
      <c r="F138" s="435" t="n">
        <v>1.2</v>
      </c>
      <c r="G138" s="435" t="n">
        <v>3.1</v>
      </c>
      <c r="H138" s="435" t="n">
        <v>3340</v>
      </c>
      <c r="I138" s="435" t="n">
        <v>437</v>
      </c>
      <c r="J138" s="435" t="n">
        <v>-15.5</v>
      </c>
      <c r="K138" s="437" t="inlineStr">
        <is>
          <t>GIỮ</t>
        </is>
      </c>
      <c r="L138" s="438" t="n"/>
      <c r="M138" s="521" t="n">
        <v>5000</v>
      </c>
      <c r="N138" s="521" t="n">
        <v>3000</v>
      </c>
      <c r="O138" s="521" t="n">
        <v>1500</v>
      </c>
      <c r="P138" s="521" t="n">
        <v>8000</v>
      </c>
      <c r="Q138" s="521" t="n">
        <v>1000</v>
      </c>
      <c r="R138" s="521" t="n">
        <v>12.5</v>
      </c>
      <c r="S138" s="521" t="n">
        <v>12</v>
      </c>
      <c r="T138" s="521" t="n">
        <v>0.6</v>
      </c>
      <c r="U138" s="521" t="n">
        <v>1.5</v>
      </c>
      <c r="V138" s="521" t="n">
        <v>500</v>
      </c>
      <c r="W138" s="521" t="n">
        <v>12</v>
      </c>
      <c r="X138" s="521" t="n">
        <v>3</v>
      </c>
      <c r="Y138" s="521" t="inlineStr">
        <is>
          <t>Ban lãnh đạo</t>
        </is>
      </c>
      <c r="Z138" s="521" t="n">
        <v>65</v>
      </c>
      <c r="AA138" s="521" t="inlineStr">
        <is>
          <t>🟡 TB</t>
        </is>
      </c>
      <c r="AB138" s="521" t="n"/>
      <c r="AC138" s="522" t="inlineStr">
        <is>
          <t>HOSE</t>
        </is>
      </c>
      <c r="AD138" s="1024">
        <f>IF(A140='🎯 SÓI v42 — TRA CỨU &amp; DEEP DIV'!$C$4,"⭐ ĐANG XEM","")</f>
        <v/>
      </c>
    </row>
    <row r="139" ht="13.5" customHeight="1" s="981">
      <c r="A139" s="433" t="inlineStr">
        <is>
          <t>TCH</t>
        </is>
      </c>
      <c r="B139" s="431" t="inlineStr">
        <is>
          <t>Thắng Lợi</t>
        </is>
      </c>
      <c r="C139" s="431" t="inlineStr">
        <is>
          <t>BĐS</t>
        </is>
      </c>
      <c r="D139" s="520" t="n">
        <v>15650</v>
      </c>
      <c r="E139" s="431" t="n">
        <v>26.5</v>
      </c>
      <c r="F139" s="431" t="n">
        <v>1.7</v>
      </c>
      <c r="G139" s="431" t="n">
        <v>6.5</v>
      </c>
      <c r="H139" s="431" t="n">
        <v>15650</v>
      </c>
      <c r="I139" s="431" t="n">
        <v>591</v>
      </c>
      <c r="J139" s="431" t="n">
        <v>8.5</v>
      </c>
      <c r="K139" s="433" t="inlineStr">
        <is>
          <t>GIỮ</t>
        </is>
      </c>
      <c r="L139" s="1104" t="n"/>
      <c r="M139" s="521" t="n">
        <v>5000</v>
      </c>
      <c r="N139" s="521" t="n">
        <v>3000</v>
      </c>
      <c r="O139" s="521" t="n">
        <v>1500</v>
      </c>
      <c r="P139" s="521" t="n">
        <v>8000</v>
      </c>
      <c r="Q139" s="521" t="n">
        <v>1000</v>
      </c>
      <c r="R139" s="521" t="n">
        <v>12.5</v>
      </c>
      <c r="S139" s="521" t="n">
        <v>12</v>
      </c>
      <c r="T139" s="521" t="n">
        <v>0.6</v>
      </c>
      <c r="U139" s="521" t="n">
        <v>1.5</v>
      </c>
      <c r="V139" s="521" t="n">
        <v>500</v>
      </c>
      <c r="W139" s="521" t="n">
        <v>12</v>
      </c>
      <c r="X139" s="521" t="n">
        <v>3</v>
      </c>
      <c r="Y139" s="521" t="inlineStr">
        <is>
          <t>Ban lãnh đạo</t>
        </is>
      </c>
      <c r="Z139" s="521" t="n">
        <v>65</v>
      </c>
      <c r="AA139" s="521" t="inlineStr">
        <is>
          <t>🟡 TB</t>
        </is>
      </c>
      <c r="AB139" s="521" t="n"/>
      <c r="AC139" s="522" t="inlineStr">
        <is>
          <t>HOSE</t>
        </is>
      </c>
      <c r="AD139" s="1024">
        <f>IF(A141='🎯 SÓI v42 — TRA CỨU &amp; DEEP DIV'!$C$4,"⭐ ĐANG XEM","")</f>
        <v/>
      </c>
    </row>
    <row r="140" ht="13.5" customHeight="1" s="981">
      <c r="A140" s="437" t="inlineStr">
        <is>
          <t>HDC</t>
        </is>
      </c>
      <c r="B140" s="435" t="inlineStr">
        <is>
          <t>Hodeco</t>
        </is>
      </c>
      <c r="C140" s="435" t="inlineStr">
        <is>
          <t>BĐS</t>
        </is>
      </c>
      <c r="D140" s="523" t="n">
        <v>18000</v>
      </c>
      <c r="E140" s="435" t="n">
        <v>19.4</v>
      </c>
      <c r="F140" s="435" t="n">
        <v>1.4</v>
      </c>
      <c r="G140" s="435" t="n">
        <v>7.2</v>
      </c>
      <c r="H140" s="435" t="n">
        <v>1000</v>
      </c>
      <c r="I140" s="435" t="n">
        <v>928</v>
      </c>
      <c r="J140" s="435" t="n">
        <v>12.5</v>
      </c>
      <c r="K140" s="437" t="inlineStr">
        <is>
          <t>GIỮ</t>
        </is>
      </c>
      <c r="L140" s="438" t="n"/>
      <c r="M140" s="521" t="n">
        <v>5000</v>
      </c>
      <c r="N140" s="521" t="n">
        <v>3000</v>
      </c>
      <c r="O140" s="521" t="n">
        <v>1500</v>
      </c>
      <c r="P140" s="521" t="n">
        <v>8000</v>
      </c>
      <c r="Q140" s="521" t="n">
        <v>1000</v>
      </c>
      <c r="R140" s="521" t="n">
        <v>12.5</v>
      </c>
      <c r="S140" s="521" t="n">
        <v>12</v>
      </c>
      <c r="T140" s="521" t="n">
        <v>0.6</v>
      </c>
      <c r="U140" s="521" t="n">
        <v>1.5</v>
      </c>
      <c r="V140" s="521" t="n">
        <v>500</v>
      </c>
      <c r="W140" s="521" t="n">
        <v>12</v>
      </c>
      <c r="X140" s="521" t="n">
        <v>3</v>
      </c>
      <c r="Y140" s="521" t="inlineStr">
        <is>
          <t>Ban lãnh đạo</t>
        </is>
      </c>
      <c r="Z140" s="521" t="n">
        <v>65</v>
      </c>
      <c r="AA140" s="521" t="inlineStr">
        <is>
          <t>🟡 TB</t>
        </is>
      </c>
      <c r="AB140" s="521" t="n"/>
      <c r="AC140" s="522" t="inlineStr">
        <is>
          <t>HOSE</t>
        </is>
      </c>
      <c r="AD140" s="1024">
        <f>IF(A142='🎯 SÓI v42 — TRA CỨU &amp; DEEP DIV'!$C$4,"⭐ ĐANG XEM","")</f>
        <v/>
      </c>
    </row>
    <row r="141" ht="13.5" customHeight="1" s="981">
      <c r="A141" s="433" t="inlineStr">
        <is>
          <t>TIG</t>
        </is>
      </c>
      <c r="B141" s="431" t="inlineStr">
        <is>
          <t>TIG</t>
        </is>
      </c>
      <c r="C141" s="431" t="inlineStr">
        <is>
          <t>Đa ngành</t>
        </is>
      </c>
      <c r="D141" s="520" t="n">
        <v>7100</v>
      </c>
      <c r="E141" s="431" t="n">
        <v>24.5</v>
      </c>
      <c r="F141" s="431" t="n">
        <v>0.9</v>
      </c>
      <c r="G141" s="431" t="n">
        <v>4.2</v>
      </c>
      <c r="H141" s="431" t="n">
        <v>1000</v>
      </c>
      <c r="I141" s="431" t="n">
        <v>290</v>
      </c>
      <c r="J141" s="431" t="n">
        <v>5.5</v>
      </c>
      <c r="K141" s="433" t="inlineStr">
        <is>
          <t>GIỮ</t>
        </is>
      </c>
      <c r="L141" s="1104" t="n"/>
      <c r="M141" s="521" t="n">
        <v>5000</v>
      </c>
      <c r="N141" s="521" t="n">
        <v>3000</v>
      </c>
      <c r="O141" s="521" t="n">
        <v>1500</v>
      </c>
      <c r="P141" s="521" t="n">
        <v>8000</v>
      </c>
      <c r="Q141" s="521" t="n">
        <v>1000</v>
      </c>
      <c r="R141" s="521" t="n">
        <v>12.5</v>
      </c>
      <c r="S141" s="521" t="n">
        <v>12</v>
      </c>
      <c r="T141" s="521" t="n">
        <v>0.6</v>
      </c>
      <c r="U141" s="521" t="n">
        <v>1.5</v>
      </c>
      <c r="V141" s="521" t="n">
        <v>500</v>
      </c>
      <c r="W141" s="521" t="n">
        <v>12</v>
      </c>
      <c r="X141" s="521" t="n">
        <v>3</v>
      </c>
      <c r="Y141" s="521" t="inlineStr">
        <is>
          <t>Ban lãnh đạo</t>
        </is>
      </c>
      <c r="Z141" s="521" t="n">
        <v>65</v>
      </c>
      <c r="AA141" s="521" t="inlineStr">
        <is>
          <t>🟡 TB</t>
        </is>
      </c>
      <c r="AB141" s="521" t="n"/>
      <c r="AC141" s="528" t="inlineStr">
        <is>
          <t>HNX</t>
        </is>
      </c>
      <c r="AD141" s="1024">
        <f>IF(A143='🎯 SÓI v42 — TRA CỨU &amp; DEEP DIV'!$C$4,"⭐ ĐANG XEM","")</f>
        <v/>
      </c>
    </row>
    <row r="142" ht="13.5" customHeight="1" s="981">
      <c r="A142" s="437" t="inlineStr">
        <is>
          <t>SCG</t>
        </is>
      </c>
      <c r="B142" s="435" t="inlineStr">
        <is>
          <t>SCG</t>
        </is>
      </c>
      <c r="C142" s="435" t="inlineStr">
        <is>
          <t>Đa ngành</t>
        </is>
      </c>
      <c r="D142" s="523">
        <f>IFERROR(INDEX('📡 LIVE PRICE FEED'!$D$4:$D$300,MATCH(A144,'📡 LIVE PRICE FEED'!$A$4:$A$300,0)),12500)</f>
        <v/>
      </c>
      <c r="E142" s="435">
        <f>IFERROR(INDEX('📡 LIVE PRICE FEED'!$H$4:$H$300,MATCH(A144,'📡 LIVE PRICE FEED'!$A$4:$A$300,0)),12.5)</f>
        <v/>
      </c>
      <c r="F142" s="435">
        <f>IFERROR(INDEX('📡 LIVE PRICE FEED'!$I$4:$I$300,MATCH(A144,'📡 LIVE PRICE FEED'!$A$4:$A$300,0)),1.05)</f>
        <v/>
      </c>
      <c r="G142" s="435" t="n"/>
      <c r="H142" s="435" t="n">
        <v>2800</v>
      </c>
      <c r="I142" s="435" t="n"/>
      <c r="J142" s="435" t="n">
        <v>-2.5</v>
      </c>
      <c r="K142" s="437" t="inlineStr">
        <is>
          <t>GIỮ</t>
        </is>
      </c>
      <c r="L142" s="438" t="n"/>
      <c r="M142" s="521" t="n">
        <v>5000</v>
      </c>
      <c r="N142" s="521" t="n">
        <v>3000</v>
      </c>
      <c r="O142" s="521" t="n">
        <v>1500</v>
      </c>
      <c r="P142" s="521" t="n">
        <v>8000</v>
      </c>
      <c r="Q142" s="521" t="n">
        <v>1000</v>
      </c>
      <c r="R142" s="521" t="n">
        <v>12.5</v>
      </c>
      <c r="S142" s="521" t="n">
        <v>12</v>
      </c>
      <c r="T142" s="521" t="n">
        <v>0.6</v>
      </c>
      <c r="U142" s="521" t="n">
        <v>1.5</v>
      </c>
      <c r="V142" s="521" t="n">
        <v>500</v>
      </c>
      <c r="W142" s="521" t="n">
        <v>12</v>
      </c>
      <c r="X142" s="521" t="n">
        <v>3</v>
      </c>
      <c r="Y142" s="521" t="inlineStr">
        <is>
          <t>Ban lãnh đạo</t>
        </is>
      </c>
      <c r="Z142" s="521" t="n">
        <v>65</v>
      </c>
      <c r="AA142" s="521" t="inlineStr">
        <is>
          <t>🟡 TB</t>
        </is>
      </c>
      <c r="AB142" s="521" t="n"/>
      <c r="AC142" s="522" t="inlineStr">
        <is>
          <t>HOSE</t>
        </is>
      </c>
      <c r="AD142" s="1024">
        <f>IF(A144='🎯 SÓI v42 — TRA CỨU &amp; DEEP DIV'!$C$4,"⭐ ĐANG XEM","")</f>
        <v/>
      </c>
    </row>
    <row r="143" ht="13.5" customHeight="1" s="981">
      <c r="A143" s="437" t="inlineStr">
        <is>
          <t>FMC</t>
        </is>
      </c>
      <c r="B143" s="435" t="inlineStr">
        <is>
          <t>Sao Ta Foods</t>
        </is>
      </c>
      <c r="C143" s="435" t="inlineStr">
        <is>
          <t>Thủy sản</t>
        </is>
      </c>
      <c r="D143" s="523" t="n">
        <v>35950</v>
      </c>
      <c r="E143" s="435" t="n">
        <v>10.8</v>
      </c>
      <c r="F143" s="435" t="n">
        <v>1.3</v>
      </c>
      <c r="G143" s="435" t="n">
        <v>13.5</v>
      </c>
      <c r="H143" s="435" t="n">
        <v>1000</v>
      </c>
      <c r="I143" s="435" t="n">
        <v>3329</v>
      </c>
      <c r="J143" s="435" t="n">
        <v>15.5</v>
      </c>
      <c r="K143" s="524" t="inlineStr">
        <is>
          <t>MUA</t>
        </is>
      </c>
      <c r="L143" s="438" t="inlineStr">
        <is>
          <t>Tôm xuất khẩu</t>
        </is>
      </c>
      <c r="M143" s="521" t="n">
        <v>5000</v>
      </c>
      <c r="N143" s="521" t="n">
        <v>3000</v>
      </c>
      <c r="O143" s="521" t="n">
        <v>1500</v>
      </c>
      <c r="P143" s="521" t="n">
        <v>8000</v>
      </c>
      <c r="Q143" s="521" t="n">
        <v>1000</v>
      </c>
      <c r="R143" s="521" t="n">
        <v>12.5</v>
      </c>
      <c r="S143" s="521" t="n">
        <v>12</v>
      </c>
      <c r="T143" s="521" t="n">
        <v>0.6</v>
      </c>
      <c r="U143" s="521" t="n">
        <v>1.5</v>
      </c>
      <c r="V143" s="521" t="n">
        <v>500</v>
      </c>
      <c r="W143" s="521" t="n">
        <v>12</v>
      </c>
      <c r="X143" s="521" t="n">
        <v>3</v>
      </c>
      <c r="Y143" s="521" t="inlineStr">
        <is>
          <t>Ban lãnh đạo</t>
        </is>
      </c>
      <c r="Z143" s="521" t="n">
        <v>65</v>
      </c>
      <c r="AA143" s="521" t="inlineStr">
        <is>
          <t>🟡 TB</t>
        </is>
      </c>
      <c r="AB143" s="521" t="n"/>
      <c r="AC143" s="522" t="inlineStr">
        <is>
          <t>HOSE</t>
        </is>
      </c>
      <c r="AD143" s="1024">
        <f>IF(A146='🎯 SÓI v42 — TRA CỨU &amp; DEEP DIV'!$C$4,"⭐ ĐANG XEM","")</f>
        <v/>
      </c>
    </row>
    <row r="144" ht="13.5" customHeight="1" s="981">
      <c r="A144" s="433" t="inlineStr">
        <is>
          <t>MPC</t>
        </is>
      </c>
      <c r="B144" s="431" t="inlineStr">
        <is>
          <t>Minh Phú</t>
        </is>
      </c>
      <c r="C144" s="431" t="inlineStr">
        <is>
          <t>Thủy sản</t>
        </is>
      </c>
      <c r="D144" s="520" t="n">
        <v>15800</v>
      </c>
      <c r="E144" s="431" t="n">
        <v>16.8</v>
      </c>
      <c r="F144" s="431" t="n">
        <v>0.95</v>
      </c>
      <c r="G144" s="431" t="n">
        <v>5.8</v>
      </c>
      <c r="H144" s="431" t="n">
        <v>1000</v>
      </c>
      <c r="I144" s="431" t="n">
        <v>940</v>
      </c>
      <c r="J144" s="431" t="n">
        <v>-5.5</v>
      </c>
      <c r="K144" s="433" t="inlineStr">
        <is>
          <t>GIỮ</t>
        </is>
      </c>
      <c r="L144" s="1104" t="inlineStr">
        <is>
          <t>Tôm xuất khẩu</t>
        </is>
      </c>
      <c r="M144" s="521" t="n">
        <v>5000</v>
      </c>
      <c r="N144" s="521" t="n">
        <v>3000</v>
      </c>
      <c r="O144" s="521" t="n">
        <v>1500</v>
      </c>
      <c r="P144" s="521" t="n">
        <v>8000</v>
      </c>
      <c r="Q144" s="521" t="n">
        <v>1000</v>
      </c>
      <c r="R144" s="521" t="n">
        <v>12.5</v>
      </c>
      <c r="S144" s="521" t="n">
        <v>12</v>
      </c>
      <c r="T144" s="521" t="n">
        <v>0.6</v>
      </c>
      <c r="U144" s="521" t="n">
        <v>1.5</v>
      </c>
      <c r="V144" s="521" t="n">
        <v>500</v>
      </c>
      <c r="W144" s="521" t="n">
        <v>12</v>
      </c>
      <c r="X144" s="521" t="n">
        <v>3</v>
      </c>
      <c r="Y144" s="521" t="inlineStr">
        <is>
          <t>Ban lãnh đạo</t>
        </is>
      </c>
      <c r="Z144" s="521" t="n">
        <v>65</v>
      </c>
      <c r="AA144" s="521" t="inlineStr">
        <is>
          <t>🟡 TB</t>
        </is>
      </c>
      <c r="AB144" s="521" t="n"/>
      <c r="AC144" s="522" t="inlineStr">
        <is>
          <t>HOSE</t>
        </is>
      </c>
      <c r="AD144" s="1024">
        <f>IF(A147='🎯 SÓI v42 — TRA CỨU &amp; DEEP DIV'!$C$4,"⭐ ĐANG XEM","")</f>
        <v/>
      </c>
    </row>
    <row r="145" ht="13.5" customHeight="1" s="981">
      <c r="A145" s="437" t="inlineStr">
        <is>
          <t>ASM</t>
        </is>
      </c>
      <c r="B145" s="435" t="inlineStr">
        <is>
          <t>Sao Mai</t>
        </is>
      </c>
      <c r="C145" s="435" t="inlineStr">
        <is>
          <t>Thủy sản</t>
        </is>
      </c>
      <c r="D145" s="523" t="n">
        <v>5850</v>
      </c>
      <c r="E145" s="435" t="n">
        <v>16.5</v>
      </c>
      <c r="F145" s="435" t="n">
        <v>0.95</v>
      </c>
      <c r="G145" s="435" t="n">
        <v>7.4</v>
      </c>
      <c r="H145" s="435" t="n">
        <v>1000</v>
      </c>
      <c r="I145" s="435" t="n">
        <v>355</v>
      </c>
      <c r="J145" s="435" t="n">
        <v>8.5</v>
      </c>
      <c r="K145" s="437" t="inlineStr">
        <is>
          <t>GIỮ</t>
        </is>
      </c>
      <c r="L145" s="438" t="n"/>
      <c r="M145" s="521" t="n">
        <v>5000</v>
      </c>
      <c r="N145" s="521" t="n">
        <v>3000</v>
      </c>
      <c r="O145" s="521" t="n">
        <v>1500</v>
      </c>
      <c r="P145" s="521" t="n">
        <v>8000</v>
      </c>
      <c r="Q145" s="521" t="n">
        <v>1000</v>
      </c>
      <c r="R145" s="521" t="n">
        <v>12.5</v>
      </c>
      <c r="S145" s="521" t="n">
        <v>12</v>
      </c>
      <c r="T145" s="521" t="n">
        <v>0.6</v>
      </c>
      <c r="U145" s="521" t="n">
        <v>1.5</v>
      </c>
      <c r="V145" s="521" t="n">
        <v>500</v>
      </c>
      <c r="W145" s="521" t="n">
        <v>12</v>
      </c>
      <c r="X145" s="521" t="n">
        <v>3</v>
      </c>
      <c r="Y145" s="521" t="inlineStr">
        <is>
          <t>Ban lãnh đạo</t>
        </is>
      </c>
      <c r="Z145" s="521" t="n">
        <v>65</v>
      </c>
      <c r="AA145" s="521" t="inlineStr">
        <is>
          <t>🟡 TB</t>
        </is>
      </c>
      <c r="AB145" s="521" t="n"/>
      <c r="AC145" s="522" t="inlineStr">
        <is>
          <t>HOSE</t>
        </is>
      </c>
      <c r="AD145" s="1024">
        <f>IF(A148='🎯 SÓI v42 — TRA CỨU &amp; DEEP DIV'!$C$4,"⭐ ĐANG XEM","")</f>
        <v/>
      </c>
    </row>
    <row r="146" ht="13.5" customHeight="1" s="981">
      <c r="A146" s="433" t="inlineStr">
        <is>
          <t>IDI</t>
        </is>
      </c>
      <c r="B146" s="431" t="inlineStr">
        <is>
          <t>I.D.I</t>
        </is>
      </c>
      <c r="C146" s="431" t="inlineStr">
        <is>
          <t>Thủy sản</t>
        </is>
      </c>
      <c r="D146" s="520" t="n">
        <v>5750</v>
      </c>
      <c r="E146" s="431" t="n">
        <v>14.5</v>
      </c>
      <c r="F146" s="431" t="n">
        <v>0.85</v>
      </c>
      <c r="G146" s="431" t="n">
        <v>6.4</v>
      </c>
      <c r="H146" s="431" t="n">
        <v>1000</v>
      </c>
      <c r="I146" s="431" t="n">
        <v>397</v>
      </c>
      <c r="J146" s="431" t="n">
        <v>5.5</v>
      </c>
      <c r="K146" s="433" t="inlineStr">
        <is>
          <t>GIỮ</t>
        </is>
      </c>
      <c r="L146" s="1104" t="n"/>
      <c r="M146" s="521" t="n">
        <v>5000</v>
      </c>
      <c r="N146" s="521" t="n">
        <v>3000</v>
      </c>
      <c r="O146" s="521" t="n">
        <v>1500</v>
      </c>
      <c r="P146" s="521" t="n">
        <v>8000</v>
      </c>
      <c r="Q146" s="521" t="n">
        <v>1000</v>
      </c>
      <c r="R146" s="521" t="n">
        <v>12.5</v>
      </c>
      <c r="S146" s="521" t="n">
        <v>12</v>
      </c>
      <c r="T146" s="521" t="n">
        <v>0.6</v>
      </c>
      <c r="U146" s="521" t="n">
        <v>1.5</v>
      </c>
      <c r="V146" s="521" t="n">
        <v>500</v>
      </c>
      <c r="W146" s="521" t="n">
        <v>12</v>
      </c>
      <c r="X146" s="521" t="n">
        <v>3</v>
      </c>
      <c r="Y146" s="521" t="inlineStr">
        <is>
          <t>Ban lãnh đạo</t>
        </is>
      </c>
      <c r="Z146" s="521" t="n">
        <v>65</v>
      </c>
      <c r="AA146" s="521" t="inlineStr">
        <is>
          <t>🟡 TB</t>
        </is>
      </c>
      <c r="AB146" s="521" t="n"/>
      <c r="AC146" s="522" t="inlineStr">
        <is>
          <t>HOSE</t>
        </is>
      </c>
      <c r="AD146" s="1024">
        <f>IF(A149='🎯 SÓI v42 — TRA CỨU &amp; DEEP DIV'!$C$4,"⭐ ĐANG XEM","")</f>
        <v/>
      </c>
    </row>
    <row r="147" ht="13.5" customHeight="1" s="981">
      <c r="A147" s="437" t="inlineStr">
        <is>
          <t>ABB</t>
        </is>
      </c>
      <c r="B147" s="435" t="inlineStr">
        <is>
          <t>An Bình</t>
        </is>
      </c>
      <c r="C147" s="435" t="inlineStr">
        <is>
          <t>Ngân hàng</t>
        </is>
      </c>
      <c r="D147" s="523">
        <f>IFERROR(INDEX('📡 LIVE PRICE FEED'!$D$4:$D$300,MATCH(A150,'📡 LIVE PRICE FEED'!$A$4:$A$300,0)),12500)</f>
        <v/>
      </c>
      <c r="E147" s="435" t="n">
        <v>8.5</v>
      </c>
      <c r="F147" s="435" t="n">
        <v>0.95</v>
      </c>
      <c r="G147" s="435" t="n">
        <v>11.5</v>
      </c>
      <c r="H147" s="435" t="n">
        <v>1000</v>
      </c>
      <c r="I147" s="435" t="n">
        <v>1824</v>
      </c>
      <c r="J147" s="435" t="n">
        <v>8.5</v>
      </c>
      <c r="K147" s="524" t="inlineStr">
        <is>
          <t>MUA</t>
        </is>
      </c>
      <c r="L147" s="438" t="n"/>
      <c r="M147" s="521" t="n">
        <v>5000</v>
      </c>
      <c r="N147" s="521" t="n">
        <v>3000</v>
      </c>
      <c r="O147" s="521" t="n">
        <v>1500</v>
      </c>
      <c r="P147" s="521" t="n">
        <v>8000</v>
      </c>
      <c r="Q147" s="521" t="n">
        <v>1000</v>
      </c>
      <c r="R147" s="521" t="n">
        <v>12.5</v>
      </c>
      <c r="S147" s="521" t="n">
        <v>12</v>
      </c>
      <c r="T147" s="521" t="n">
        <v>0.6</v>
      </c>
      <c r="U147" s="521" t="n">
        <v>1.5</v>
      </c>
      <c r="V147" s="521" t="n">
        <v>500</v>
      </c>
      <c r="W147" s="521" t="n">
        <v>12</v>
      </c>
      <c r="X147" s="521" t="n">
        <v>3</v>
      </c>
      <c r="Y147" s="521" t="inlineStr">
        <is>
          <t>Ban lãnh đạo</t>
        </is>
      </c>
      <c r="Z147" s="521" t="n">
        <v>65</v>
      </c>
      <c r="AA147" s="521" t="inlineStr">
        <is>
          <t>🟡 TB</t>
        </is>
      </c>
      <c r="AB147" s="521" t="n"/>
      <c r="AC147" s="522" t="inlineStr">
        <is>
          <t>HOSE</t>
        </is>
      </c>
      <c r="AD147" s="1024">
        <f>IF(A150='🎯 SÓI v42 — TRA CỨU &amp; DEEP DIV'!$C$4,"⭐ ĐANG XEM","")</f>
        <v/>
      </c>
    </row>
    <row r="148" ht="13.5" customHeight="1" s="981">
      <c r="A148" s="433" t="inlineStr">
        <is>
          <t>SGB</t>
        </is>
      </c>
      <c r="B148" s="431" t="inlineStr">
        <is>
          <t>Saigonbank</t>
        </is>
      </c>
      <c r="C148" s="431" t="inlineStr">
        <is>
          <t>Ngân hàng</t>
        </is>
      </c>
      <c r="D148" s="520" t="n">
        <v>12200</v>
      </c>
      <c r="E148" s="431" t="n">
        <v>11.4</v>
      </c>
      <c r="F148" s="431" t="n">
        <v>0.85</v>
      </c>
      <c r="G148" s="431" t="n">
        <v>7.5</v>
      </c>
      <c r="H148" s="431" t="n">
        <v>1000</v>
      </c>
      <c r="I148" s="431" t="n">
        <v>1070</v>
      </c>
      <c r="J148" s="431" t="n">
        <v>5.5</v>
      </c>
      <c r="K148" s="433" t="inlineStr">
        <is>
          <t>GIỮ</t>
        </is>
      </c>
      <c r="L148" s="1104" t="n"/>
      <c r="M148" s="521" t="n">
        <v>5000</v>
      </c>
      <c r="N148" s="521" t="n">
        <v>3000</v>
      </c>
      <c r="O148" s="521" t="n">
        <v>1500</v>
      </c>
      <c r="P148" s="521" t="n">
        <v>8000</v>
      </c>
      <c r="Q148" s="521" t="n">
        <v>1000</v>
      </c>
      <c r="R148" s="521" t="n">
        <v>12.5</v>
      </c>
      <c r="S148" s="521" t="n">
        <v>12</v>
      </c>
      <c r="T148" s="521" t="n">
        <v>0.6</v>
      </c>
      <c r="U148" s="521" t="n">
        <v>1.5</v>
      </c>
      <c r="V148" s="521" t="n">
        <v>500</v>
      </c>
      <c r="W148" s="521" t="n">
        <v>12</v>
      </c>
      <c r="X148" s="521" t="n">
        <v>3</v>
      </c>
      <c r="Y148" s="521" t="inlineStr">
        <is>
          <t>Ban lãnh đạo</t>
        </is>
      </c>
      <c r="Z148" s="521" t="n">
        <v>65</v>
      </c>
      <c r="AA148" s="521" t="inlineStr">
        <is>
          <t>🟡 TB</t>
        </is>
      </c>
      <c r="AB148" s="521" t="n"/>
      <c r="AC148" s="528" t="inlineStr">
        <is>
          <t>HNX</t>
        </is>
      </c>
      <c r="AD148" s="1024">
        <f>IF(A151='🎯 SÓI v42 — TRA CỨU &amp; DEEP DIV'!$C$4,"⭐ ĐANG XEM","")</f>
        <v/>
      </c>
    </row>
    <row r="149" ht="13.5" customHeight="1" s="981">
      <c r="A149" s="437" t="inlineStr">
        <is>
          <t>VAB</t>
        </is>
      </c>
      <c r="B149" s="435" t="inlineStr">
        <is>
          <t>VietABank</t>
        </is>
      </c>
      <c r="C149" s="435" t="inlineStr">
        <is>
          <t>Ngân hàng</t>
        </is>
      </c>
      <c r="D149" s="523" t="n">
        <v>10100</v>
      </c>
      <c r="E149" s="435" t="n">
        <v>9.5</v>
      </c>
      <c r="F149" s="435" t="n">
        <v>0.9</v>
      </c>
      <c r="G149" s="435" t="n">
        <v>9.5</v>
      </c>
      <c r="H149" s="435" t="n">
        <v>1000</v>
      </c>
      <c r="I149" s="435" t="n">
        <v>1063</v>
      </c>
      <c r="J149" s="435" t="n">
        <v>-2.5</v>
      </c>
      <c r="K149" s="437" t="inlineStr">
        <is>
          <t>GIỮ</t>
        </is>
      </c>
      <c r="L149" s="438" t="n"/>
      <c r="M149" s="521" t="n">
        <v>5000</v>
      </c>
      <c r="N149" s="521" t="n">
        <v>3000</v>
      </c>
      <c r="O149" s="521" t="n">
        <v>1500</v>
      </c>
      <c r="P149" s="521" t="n">
        <v>8000</v>
      </c>
      <c r="Q149" s="521" t="n">
        <v>1000</v>
      </c>
      <c r="R149" s="521" t="n">
        <v>12.5</v>
      </c>
      <c r="S149" s="521" t="n">
        <v>12</v>
      </c>
      <c r="T149" s="521" t="n">
        <v>0.6</v>
      </c>
      <c r="U149" s="521" t="n">
        <v>1.5</v>
      </c>
      <c r="V149" s="521" t="n">
        <v>500</v>
      </c>
      <c r="W149" s="521" t="n">
        <v>12</v>
      </c>
      <c r="X149" s="521" t="n">
        <v>3</v>
      </c>
      <c r="Y149" s="521" t="inlineStr">
        <is>
          <t>Ban lãnh đạo</t>
        </is>
      </c>
      <c r="Z149" s="521" t="n">
        <v>65</v>
      </c>
      <c r="AA149" s="521" t="inlineStr">
        <is>
          <t>🟡 TB</t>
        </is>
      </c>
      <c r="AB149" s="521" t="n"/>
      <c r="AC149" s="522" t="inlineStr">
        <is>
          <t>HOSE</t>
        </is>
      </c>
      <c r="AD149" s="1024">
        <f>IF(A152='🎯 SÓI v42 — TRA CỨU &amp; DEEP DIV'!$C$4,"⭐ ĐANG XEM","")</f>
        <v/>
      </c>
    </row>
    <row r="150" ht="13.5" customHeight="1" s="981">
      <c r="A150" s="433" t="inlineStr">
        <is>
          <t>BVB</t>
        </is>
      </c>
      <c r="B150" s="431" t="inlineStr">
        <is>
          <t>Bản Việt</t>
        </is>
      </c>
      <c r="C150" s="431" t="inlineStr">
        <is>
          <t>Ngân hàng</t>
        </is>
      </c>
      <c r="D150" s="520" t="n">
        <v>12200</v>
      </c>
      <c r="E150" s="431" t="n">
        <v>12.6</v>
      </c>
      <c r="F150" s="431" t="n">
        <v>0.9</v>
      </c>
      <c r="G150" s="431" t="n">
        <v>7.2</v>
      </c>
      <c r="H150" s="431" t="n">
        <v>1000</v>
      </c>
      <c r="I150" s="431" t="n">
        <v>968</v>
      </c>
      <c r="J150" s="431" t="n">
        <v>5.5</v>
      </c>
      <c r="K150" s="433" t="inlineStr">
        <is>
          <t>GIỮ</t>
        </is>
      </c>
      <c r="L150" s="1104" t="n"/>
      <c r="M150" s="521" t="n">
        <v>5000</v>
      </c>
      <c r="N150" s="521" t="n">
        <v>3000</v>
      </c>
      <c r="O150" s="521" t="n">
        <v>1500</v>
      </c>
      <c r="P150" s="521" t="n">
        <v>8000</v>
      </c>
      <c r="Q150" s="521" t="n">
        <v>1000</v>
      </c>
      <c r="R150" s="521" t="n">
        <v>12.5</v>
      </c>
      <c r="S150" s="521" t="n">
        <v>12</v>
      </c>
      <c r="T150" s="521" t="n">
        <v>0.6</v>
      </c>
      <c r="U150" s="521" t="n">
        <v>1.5</v>
      </c>
      <c r="V150" s="521" t="n">
        <v>500</v>
      </c>
      <c r="W150" s="521" t="n">
        <v>12</v>
      </c>
      <c r="X150" s="521" t="n">
        <v>3</v>
      </c>
      <c r="Y150" s="521" t="inlineStr">
        <is>
          <t>Ban lãnh đạo</t>
        </is>
      </c>
      <c r="Z150" s="521" t="n">
        <v>65</v>
      </c>
      <c r="AA150" s="521" t="inlineStr">
        <is>
          <t>🟡 TB</t>
        </is>
      </c>
      <c r="AB150" s="521" t="n"/>
      <c r="AC150" s="522" t="inlineStr">
        <is>
          <t>HOSE</t>
        </is>
      </c>
      <c r="AD150" s="1024">
        <f>IF(A153='🎯 SÓI v42 — TRA CỨU &amp; DEEP DIV'!$C$4,"⭐ ĐANG XEM","")</f>
        <v/>
      </c>
    </row>
    <row r="151" ht="13.5" customHeight="1" s="981">
      <c r="A151" s="437" t="inlineStr">
        <is>
          <t>PGB</t>
        </is>
      </c>
      <c r="B151" s="435" t="inlineStr">
        <is>
          <t>PG Bank</t>
        </is>
      </c>
      <c r="C151" s="435" t="inlineStr">
        <is>
          <t>Ngân hàng</t>
        </is>
      </c>
      <c r="D151" s="523" t="n">
        <v>11000</v>
      </c>
      <c r="E151" s="435" t="n">
        <v>10.5</v>
      </c>
      <c r="F151" s="435" t="n">
        <v>0.95</v>
      </c>
      <c r="G151" s="435" t="n">
        <v>9.199999999999999</v>
      </c>
      <c r="H151" s="435" t="n">
        <v>1000</v>
      </c>
      <c r="I151" s="435" t="n">
        <v>1048</v>
      </c>
      <c r="J151" s="435" t="n">
        <v>-5.5</v>
      </c>
      <c r="K151" s="437" t="inlineStr">
        <is>
          <t>GIỮ</t>
        </is>
      </c>
      <c r="L151" s="438" t="n"/>
      <c r="M151" s="521" t="n">
        <v>5000</v>
      </c>
      <c r="N151" s="521" t="n">
        <v>3000</v>
      </c>
      <c r="O151" s="521" t="n">
        <v>1500</v>
      </c>
      <c r="P151" s="521" t="n">
        <v>8000</v>
      </c>
      <c r="Q151" s="521" t="n">
        <v>1000</v>
      </c>
      <c r="R151" s="521" t="n">
        <v>12.5</v>
      </c>
      <c r="S151" s="521" t="n">
        <v>12</v>
      </c>
      <c r="T151" s="521" t="n">
        <v>0.6</v>
      </c>
      <c r="U151" s="521" t="n">
        <v>1.5</v>
      </c>
      <c r="V151" s="521" t="n">
        <v>500</v>
      </c>
      <c r="W151" s="521" t="n">
        <v>12</v>
      </c>
      <c r="X151" s="521" t="n">
        <v>3</v>
      </c>
      <c r="Y151" s="521" t="inlineStr">
        <is>
          <t>Ban lãnh đạo</t>
        </is>
      </c>
      <c r="Z151" s="521" t="n">
        <v>65</v>
      </c>
      <c r="AA151" s="521" t="inlineStr">
        <is>
          <t>🟡 TB</t>
        </is>
      </c>
      <c r="AB151" s="521" t="n"/>
      <c r="AC151" s="522" t="inlineStr">
        <is>
          <t>HOSE</t>
        </is>
      </c>
      <c r="AD151" s="1024">
        <f>IF(A154='🎯 SÓI v42 — TRA CỨU &amp; DEEP DIV'!$C$4,"⭐ ĐANG XEM","")</f>
        <v/>
      </c>
    </row>
    <row r="152" ht="13.5" customHeight="1" s="981">
      <c r="A152" s="433" t="inlineStr">
        <is>
          <t>NAB</t>
        </is>
      </c>
      <c r="B152" s="431" t="inlineStr">
        <is>
          <t>Nam Á</t>
        </is>
      </c>
      <c r="C152" s="431" t="inlineStr">
        <is>
          <t>Ngân hàng</t>
        </is>
      </c>
      <c r="D152" s="520" t="n">
        <v>12300</v>
      </c>
      <c r="E152" s="431" t="n">
        <v>6.4</v>
      </c>
      <c r="F152" s="431" t="n">
        <v>1.4</v>
      </c>
      <c r="G152" s="431" t="n">
        <v>21.5</v>
      </c>
      <c r="H152" s="431" t="n">
        <v>7380</v>
      </c>
      <c r="I152" s="431" t="n">
        <v>1922</v>
      </c>
      <c r="J152" s="431" t="n">
        <v>8.5</v>
      </c>
      <c r="K152" s="433" t="inlineStr">
        <is>
          <t>GIỮ</t>
        </is>
      </c>
      <c r="L152" s="1104" t="n"/>
      <c r="M152" s="521" t="n">
        <v>5000</v>
      </c>
      <c r="N152" s="521" t="n">
        <v>3000</v>
      </c>
      <c r="O152" s="521" t="n">
        <v>1500</v>
      </c>
      <c r="P152" s="521" t="n">
        <v>8000</v>
      </c>
      <c r="Q152" s="521" t="n">
        <v>1000</v>
      </c>
      <c r="R152" s="521" t="n">
        <v>12.5</v>
      </c>
      <c r="S152" s="521" t="n">
        <v>12</v>
      </c>
      <c r="T152" s="521" t="n">
        <v>0.6</v>
      </c>
      <c r="U152" s="521" t="n">
        <v>1.5</v>
      </c>
      <c r="V152" s="521" t="n">
        <v>500</v>
      </c>
      <c r="W152" s="521" t="n">
        <v>12</v>
      </c>
      <c r="X152" s="521" t="n">
        <v>3</v>
      </c>
      <c r="Y152" s="521" t="inlineStr">
        <is>
          <t>Ban lãnh đạo</t>
        </is>
      </c>
      <c r="Z152" s="521" t="n">
        <v>65</v>
      </c>
      <c r="AA152" s="521" t="inlineStr">
        <is>
          <t>🟡 TB</t>
        </is>
      </c>
      <c r="AB152" s="521" t="n"/>
      <c r="AC152" s="522" t="inlineStr">
        <is>
          <t>HOSE</t>
        </is>
      </c>
      <c r="AD152" s="1024">
        <f>IF(A155='🎯 SÓI v42 — TRA CỨU &amp; DEEP DIV'!$C$4,"⭐ ĐANG XEM","")</f>
        <v/>
      </c>
    </row>
    <row r="153" ht="13.5" customHeight="1" s="981">
      <c r="A153" s="437" t="inlineStr">
        <is>
          <t>BAB</t>
        </is>
      </c>
      <c r="B153" s="435" t="inlineStr">
        <is>
          <t>Bắc Á</t>
        </is>
      </c>
      <c r="C153" s="435" t="inlineStr">
        <is>
          <t>Ngân hàng</t>
        </is>
      </c>
      <c r="D153" s="523" t="n">
        <v>11100</v>
      </c>
      <c r="E153" s="435">
        <f>IFERROR(INDEX('📡 LIVE PRICE FEED'!$H$4:$H$300,MATCH(A156,'📡 LIVE PRICE FEED'!$A$4:$A$300,0)),9.5)</f>
        <v/>
      </c>
      <c r="F153" s="435">
        <f>IFERROR(INDEX('📡 LIVE PRICE FEED'!$I$4:$I$300,MATCH(A156,'📡 LIVE PRICE FEED'!$A$4:$A$300,0)),1.3)</f>
        <v/>
      </c>
      <c r="G153" s="435" t="n"/>
      <c r="H153" s="435" t="n">
        <v>8880</v>
      </c>
      <c r="I153" s="435" t="n"/>
      <c r="J153" s="435" t="n">
        <v>5.5</v>
      </c>
      <c r="K153" s="437" t="inlineStr">
        <is>
          <t>GIỮ</t>
        </is>
      </c>
      <c r="L153" s="438" t="n"/>
      <c r="M153" s="521" t="n">
        <v>5000</v>
      </c>
      <c r="N153" s="521" t="n">
        <v>3000</v>
      </c>
      <c r="O153" s="521" t="n">
        <v>1500</v>
      </c>
      <c r="P153" s="521" t="n">
        <v>8000</v>
      </c>
      <c r="Q153" s="521" t="n">
        <v>1000</v>
      </c>
      <c r="R153" s="521" t="n">
        <v>12.5</v>
      </c>
      <c r="S153" s="521" t="n">
        <v>12</v>
      </c>
      <c r="T153" s="521" t="n">
        <v>0.6</v>
      </c>
      <c r="U153" s="521" t="n">
        <v>1.5</v>
      </c>
      <c r="V153" s="521" t="n">
        <v>500</v>
      </c>
      <c r="W153" s="521" t="n">
        <v>12</v>
      </c>
      <c r="X153" s="521" t="n">
        <v>3</v>
      </c>
      <c r="Y153" s="521" t="inlineStr">
        <is>
          <t>Ban lãnh đạo</t>
        </is>
      </c>
      <c r="Z153" s="521" t="n">
        <v>65</v>
      </c>
      <c r="AA153" s="521" t="inlineStr">
        <is>
          <t>🟡 TB</t>
        </is>
      </c>
      <c r="AB153" s="521" t="n"/>
      <c r="AC153" s="528" t="inlineStr">
        <is>
          <t>HNX</t>
        </is>
      </c>
      <c r="AD153" s="1024">
        <f>IF(A156='🎯 SÓI v42 — TRA CỨU &amp; DEEP DIV'!$C$4,"⭐ ĐANG XEM","")</f>
        <v/>
      </c>
    </row>
    <row r="154" ht="13.5" customHeight="1" s="981">
      <c r="A154" s="433" t="inlineStr">
        <is>
          <t>KLB</t>
        </is>
      </c>
      <c r="B154" s="431" t="inlineStr">
        <is>
          <t>Kiên Long</t>
        </is>
      </c>
      <c r="C154" s="431" t="inlineStr">
        <is>
          <t>Ngân hàng</t>
        </is>
      </c>
      <c r="D154" s="520" t="n">
        <v>14050</v>
      </c>
      <c r="E154" s="431" t="n">
        <v>8.6</v>
      </c>
      <c r="F154" s="431" t="n">
        <v>0.9</v>
      </c>
      <c r="G154" s="431" t="n">
        <v>10.5</v>
      </c>
      <c r="H154" s="431" t="n">
        <v>1000</v>
      </c>
      <c r="I154" s="431" t="n">
        <v>1634</v>
      </c>
      <c r="J154" s="431" t="n">
        <v>8.5</v>
      </c>
      <c r="K154" s="433" t="inlineStr">
        <is>
          <t>GIỮ</t>
        </is>
      </c>
      <c r="L154" s="1104" t="n"/>
      <c r="M154" s="521" t="n">
        <v>5000</v>
      </c>
      <c r="N154" s="521" t="n">
        <v>3000</v>
      </c>
      <c r="O154" s="521" t="n">
        <v>1500</v>
      </c>
      <c r="P154" s="521" t="n">
        <v>8000</v>
      </c>
      <c r="Q154" s="521" t="n">
        <v>1000</v>
      </c>
      <c r="R154" s="521" t="n">
        <v>12.5</v>
      </c>
      <c r="S154" s="521" t="n">
        <v>12</v>
      </c>
      <c r="T154" s="521" t="n">
        <v>0.6</v>
      </c>
      <c r="U154" s="521" t="n">
        <v>1.5</v>
      </c>
      <c r="V154" s="521" t="n">
        <v>500</v>
      </c>
      <c r="W154" s="521" t="n">
        <v>12</v>
      </c>
      <c r="X154" s="521" t="n">
        <v>3</v>
      </c>
      <c r="Y154" s="521" t="inlineStr">
        <is>
          <t>Ban lãnh đạo</t>
        </is>
      </c>
      <c r="Z154" s="521" t="n">
        <v>65</v>
      </c>
      <c r="AA154" s="521" t="inlineStr">
        <is>
          <t>🟡 TB</t>
        </is>
      </c>
      <c r="AB154" s="521" t="n"/>
      <c r="AC154" s="522" t="inlineStr">
        <is>
          <t>HOSE</t>
        </is>
      </c>
      <c r="AD154" s="1024">
        <f>IF(A157='🎯 SÓI v42 — TRA CỨU &amp; DEEP DIV'!$C$4,"⭐ ĐANG XEM","")</f>
        <v/>
      </c>
    </row>
    <row r="155" ht="13.5" customHeight="1" s="981">
      <c r="A155" s="437" t="inlineStr">
        <is>
          <t>VBB</t>
        </is>
      </c>
      <c r="B155" s="435" t="inlineStr">
        <is>
          <t>VietBank</t>
        </is>
      </c>
      <c r="C155" s="435" t="inlineStr">
        <is>
          <t>Ngân hàng</t>
        </is>
      </c>
      <c r="D155" s="523" t="n">
        <v>13000</v>
      </c>
      <c r="E155" s="435">
        <f>IFERROR(INDEX('📡 LIVE PRICE FEED'!$H$4:$H$300,MATCH(A158,'📡 LIVE PRICE FEED'!$A$4:$A$300,0)),7.5)</f>
        <v/>
      </c>
      <c r="F155" s="435">
        <f>IFERROR(INDEX('📡 LIVE PRICE FEED'!$I$4:$I$300,MATCH(A158,'📡 LIVE PRICE FEED'!$A$4:$A$300,0)),1.05)</f>
        <v/>
      </c>
      <c r="G155" s="435" t="n"/>
      <c r="H155" s="435" t="n">
        <v>4200</v>
      </c>
      <c r="I155" s="435" t="n"/>
      <c r="J155" s="435" t="n">
        <v>5.5</v>
      </c>
      <c r="K155" s="437" t="inlineStr">
        <is>
          <t>GIỮ</t>
        </is>
      </c>
      <c r="L155" s="438" t="n"/>
      <c r="M155" s="521" t="n">
        <v>5000</v>
      </c>
      <c r="N155" s="521" t="n">
        <v>3000</v>
      </c>
      <c r="O155" s="521" t="n">
        <v>1500</v>
      </c>
      <c r="P155" s="521" t="n">
        <v>8000</v>
      </c>
      <c r="Q155" s="521" t="n">
        <v>1000</v>
      </c>
      <c r="R155" s="521" t="n">
        <v>12.5</v>
      </c>
      <c r="S155" s="521" t="n">
        <v>12</v>
      </c>
      <c r="T155" s="521" t="n">
        <v>0.6</v>
      </c>
      <c r="U155" s="521" t="n">
        <v>1.5</v>
      </c>
      <c r="V155" s="521" t="n">
        <v>500</v>
      </c>
      <c r="W155" s="521" t="n">
        <v>12</v>
      </c>
      <c r="X155" s="521" t="n">
        <v>3</v>
      </c>
      <c r="Y155" s="521" t="inlineStr">
        <is>
          <t>Ban lãnh đạo</t>
        </is>
      </c>
      <c r="Z155" s="521" t="n">
        <v>65</v>
      </c>
      <c r="AA155" s="521" t="inlineStr">
        <is>
          <t>🟡 TB</t>
        </is>
      </c>
      <c r="AB155" s="521" t="n"/>
      <c r="AC155" s="528" t="inlineStr">
        <is>
          <t>HNX</t>
        </is>
      </c>
      <c r="AD155" s="1024">
        <f>IF(A158='🎯 SÓI v42 — TRA CỨU &amp; DEEP DIV'!$C$4,"⭐ ĐANG XEM","")</f>
        <v/>
      </c>
    </row>
    <row r="156" ht="13.5" customHeight="1" s="981">
      <c r="A156" s="433" t="inlineStr">
        <is>
          <t>FE Credit</t>
        </is>
      </c>
      <c r="B156" s="431" t="inlineStr">
        <is>
          <t>FE Credit</t>
        </is>
      </c>
      <c r="C156" s="431" t="inlineStr">
        <is>
          <t>Cho vay TD</t>
        </is>
      </c>
      <c r="D156" s="520">
        <f>IFERROR(INDEX('📡 LIVE PRICE FEED'!$D$4:$D$300,MATCH(A159,'📡 LIVE PRICE FEED'!$A$4:$A$300,0)),0)</f>
        <v/>
      </c>
      <c r="E156" s="431">
        <f>IFERROR(INDEX('📡 LIVE PRICE FEED'!$H$4:$H$300,MATCH(A159,'📡 LIVE PRICE FEED'!$A$4:$A$300,0)),0)</f>
        <v/>
      </c>
      <c r="F156" s="431">
        <f>IFERROR(INDEX('📡 LIVE PRICE FEED'!$I$4:$I$300,MATCH(A159,'📡 LIVE PRICE FEED'!$A$4:$A$300,0)),0)</f>
        <v/>
      </c>
      <c r="G156" s="431" t="n"/>
      <c r="H156" s="431" t="n">
        <v>0</v>
      </c>
      <c r="I156" s="431" t="n"/>
      <c r="J156" s="431" t="n">
        <v>0</v>
      </c>
      <c r="K156" s="433" t="inlineStr">
        <is>
          <t>PRIVATE</t>
        </is>
      </c>
      <c r="L156" s="1104" t="inlineStr">
        <is>
          <t>Công ty con VPB</t>
        </is>
      </c>
      <c r="M156" s="521" t="n">
        <v>5000</v>
      </c>
      <c r="N156" s="521" t="n">
        <v>3000</v>
      </c>
      <c r="O156" s="521" t="n">
        <v>1500</v>
      </c>
      <c r="P156" s="521" t="n">
        <v>8000</v>
      </c>
      <c r="Q156" s="521" t="n">
        <v>1000</v>
      </c>
      <c r="R156" s="521" t="n">
        <v>12.5</v>
      </c>
      <c r="S156" s="521" t="n">
        <v>12</v>
      </c>
      <c r="T156" s="521" t="n">
        <v>0.6</v>
      </c>
      <c r="U156" s="521" t="n">
        <v>1.5</v>
      </c>
      <c r="V156" s="521" t="n">
        <v>500</v>
      </c>
      <c r="W156" s="521" t="n">
        <v>12</v>
      </c>
      <c r="X156" s="521" t="n">
        <v>3</v>
      </c>
      <c r="Y156" s="521" t="inlineStr">
        <is>
          <t>Ban lãnh đạo</t>
        </is>
      </c>
      <c r="Z156" s="521" t="n">
        <v>65</v>
      </c>
      <c r="AA156" s="521" t="inlineStr">
        <is>
          <t>🟡 TB</t>
        </is>
      </c>
      <c r="AB156" s="521" t="n"/>
      <c r="AC156" s="522" t="inlineStr">
        <is>
          <t>HOSE</t>
        </is>
      </c>
      <c r="AD156" s="1024">
        <f>IF(A159='🎯 SÓI v42 — TRA CỨU &amp; DEEP DIV'!$C$4,"⭐ ĐANG XEM","")</f>
        <v/>
      </c>
    </row>
    <row r="157" ht="13.5" customHeight="1" s="981">
      <c r="A157" s="437" t="inlineStr">
        <is>
          <t>HCM Finance</t>
        </is>
      </c>
      <c r="B157" s="435" t="inlineStr">
        <is>
          <t>HCM Finance</t>
        </is>
      </c>
      <c r="C157" s="435" t="inlineStr">
        <is>
          <t>Cho vay TD</t>
        </is>
      </c>
      <c r="D157" s="523">
        <f>IFERROR(INDEX('📡 LIVE PRICE FEED'!$D$4:$D$300,MATCH(A160,'📡 LIVE PRICE FEED'!$A$4:$A$300,0)),0)</f>
        <v/>
      </c>
      <c r="E157" s="435">
        <f>IFERROR(INDEX('📡 LIVE PRICE FEED'!$H$4:$H$300,MATCH(A160,'📡 LIVE PRICE FEED'!$A$4:$A$300,0)),0)</f>
        <v/>
      </c>
      <c r="F157" s="435">
        <f>IFERROR(INDEX('📡 LIVE PRICE FEED'!$I$4:$I$300,MATCH(A160,'📡 LIVE PRICE FEED'!$A$4:$A$300,0)),0)</f>
        <v/>
      </c>
      <c r="G157" s="435" t="n"/>
      <c r="H157" s="435" t="n">
        <v>0</v>
      </c>
      <c r="I157" s="435" t="n"/>
      <c r="J157" s="435" t="n">
        <v>0</v>
      </c>
      <c r="K157" s="437" t="inlineStr">
        <is>
          <t>PRIVATE</t>
        </is>
      </c>
      <c r="L157" s="438" t="n"/>
      <c r="M157" s="521" t="n">
        <v>5000</v>
      </c>
      <c r="N157" s="521" t="n">
        <v>3000</v>
      </c>
      <c r="O157" s="521" t="n">
        <v>1500</v>
      </c>
      <c r="P157" s="521" t="n">
        <v>8000</v>
      </c>
      <c r="Q157" s="521" t="n">
        <v>1000</v>
      </c>
      <c r="R157" s="521" t="n">
        <v>12.5</v>
      </c>
      <c r="S157" s="521" t="n">
        <v>12</v>
      </c>
      <c r="T157" s="521" t="n">
        <v>0.6</v>
      </c>
      <c r="U157" s="521" t="n">
        <v>1.5</v>
      </c>
      <c r="V157" s="521" t="n">
        <v>500</v>
      </c>
      <c r="W157" s="521" t="n">
        <v>12</v>
      </c>
      <c r="X157" s="521" t="n">
        <v>3</v>
      </c>
      <c r="Y157" s="521" t="inlineStr">
        <is>
          <t>Ban lãnh đạo</t>
        </is>
      </c>
      <c r="Z157" s="521" t="n">
        <v>65</v>
      </c>
      <c r="AA157" s="521" t="inlineStr">
        <is>
          <t>🟡 TB</t>
        </is>
      </c>
      <c r="AB157" s="521" t="n"/>
      <c r="AC157" s="528" t="inlineStr">
        <is>
          <t>HNX</t>
        </is>
      </c>
      <c r="AD157" s="1024">
        <f>IF(A160='🎯 SÓI v42 — TRA CỨU &amp; DEEP DIV'!$C$4,"⭐ ĐANG XEM","")</f>
        <v/>
      </c>
    </row>
    <row r="158" ht="13.5" customHeight="1" s="981">
      <c r="A158" s="437" t="inlineStr">
        <is>
          <t>SBT</t>
        </is>
      </c>
      <c r="B158" s="435" t="inlineStr">
        <is>
          <t>Sài Gòn Sugar</t>
        </is>
      </c>
      <c r="C158" s="435" t="inlineStr">
        <is>
          <t>Đường</t>
        </is>
      </c>
      <c r="D158" s="523" t="n">
        <v>21150</v>
      </c>
      <c r="E158" s="435" t="n">
        <v>18.5</v>
      </c>
      <c r="F158" s="435" t="n">
        <v>1.2</v>
      </c>
      <c r="G158" s="435" t="n">
        <v>6.5</v>
      </c>
      <c r="H158" s="435" t="n">
        <v>31725</v>
      </c>
      <c r="I158" s="435" t="n">
        <v>1143</v>
      </c>
      <c r="J158" s="435" t="n">
        <v>-8.5</v>
      </c>
      <c r="K158" s="437" t="inlineStr">
        <is>
          <t>GIỮ</t>
        </is>
      </c>
      <c r="L158" s="438" t="inlineStr">
        <is>
          <t>Đường</t>
        </is>
      </c>
      <c r="M158" s="521" t="n">
        <v>5000</v>
      </c>
      <c r="N158" s="521" t="n">
        <v>3000</v>
      </c>
      <c r="O158" s="521" t="n">
        <v>1500</v>
      </c>
      <c r="P158" s="521" t="n">
        <v>8000</v>
      </c>
      <c r="Q158" s="521" t="n">
        <v>1000</v>
      </c>
      <c r="R158" s="521" t="n">
        <v>12.5</v>
      </c>
      <c r="S158" s="521" t="n">
        <v>12</v>
      </c>
      <c r="T158" s="521" t="n">
        <v>0.6</v>
      </c>
      <c r="U158" s="521" t="n">
        <v>1.5</v>
      </c>
      <c r="V158" s="521" t="n">
        <v>500</v>
      </c>
      <c r="W158" s="521" t="n">
        <v>12</v>
      </c>
      <c r="X158" s="521" t="n">
        <v>3</v>
      </c>
      <c r="Y158" s="521" t="inlineStr">
        <is>
          <t>Ban lãnh đạo</t>
        </is>
      </c>
      <c r="Z158" s="521" t="n">
        <v>65</v>
      </c>
      <c r="AA158" s="521" t="inlineStr">
        <is>
          <t>🟡 TB</t>
        </is>
      </c>
      <c r="AB158" s="521" t="n"/>
      <c r="AC158" s="522" t="inlineStr">
        <is>
          <t>HOSE</t>
        </is>
      </c>
      <c r="AD158" s="1024">
        <f>IF(A162='🎯 SÓI v42 — TRA CỨU &amp; DEEP DIV'!$C$4,"⭐ ĐANG XEM","")</f>
        <v/>
      </c>
    </row>
    <row r="159" ht="13.5" customHeight="1" s="981">
      <c r="A159" s="433" t="inlineStr">
        <is>
          <t>SLS</t>
        </is>
      </c>
      <c r="B159" s="431" t="inlineStr">
        <is>
          <t>Đường Sơn La</t>
        </is>
      </c>
      <c r="C159" s="431" t="inlineStr">
        <is>
          <t>Đường</t>
        </is>
      </c>
      <c r="D159" s="520">
        <f>IFERROR(INDEX('📡 LIVE PRICE FEED'!$D$4:$D$300,MATCH(A163,'📡 LIVE PRICE FEED'!$A$4:$A$300,0)),158000)</f>
        <v/>
      </c>
      <c r="E159" s="431" t="n">
        <v>12.4</v>
      </c>
      <c r="F159" s="431" t="n">
        <v>1.5</v>
      </c>
      <c r="G159" s="431" t="n">
        <v>13.5</v>
      </c>
      <c r="H159" s="431" t="n">
        <v>1793</v>
      </c>
      <c r="I159" s="431" t="n">
        <v>12024</v>
      </c>
      <c r="J159" s="431" t="n">
        <v>55.5</v>
      </c>
      <c r="K159" s="524" t="inlineStr">
        <is>
          <t>MUA</t>
        </is>
      </c>
      <c r="L159" s="1104" t="inlineStr">
        <is>
          <t>Đường top</t>
        </is>
      </c>
      <c r="M159" s="521" t="n">
        <v>5000</v>
      </c>
      <c r="N159" s="521" t="n">
        <v>3000</v>
      </c>
      <c r="O159" s="521" t="n">
        <v>1500</v>
      </c>
      <c r="P159" s="521" t="n">
        <v>8000</v>
      </c>
      <c r="Q159" s="521" t="n">
        <v>1000</v>
      </c>
      <c r="R159" s="521" t="n">
        <v>12.5</v>
      </c>
      <c r="S159" s="521" t="n">
        <v>12</v>
      </c>
      <c r="T159" s="521" t="n">
        <v>0.6</v>
      </c>
      <c r="U159" s="521" t="n">
        <v>1.5</v>
      </c>
      <c r="V159" s="521" t="n">
        <v>500</v>
      </c>
      <c r="W159" s="521" t="n">
        <v>12</v>
      </c>
      <c r="X159" s="521" t="n">
        <v>3</v>
      </c>
      <c r="Y159" s="521" t="inlineStr">
        <is>
          <t>Ban lãnh đạo</t>
        </is>
      </c>
      <c r="Z159" s="521" t="n">
        <v>65</v>
      </c>
      <c r="AA159" s="521" t="inlineStr">
        <is>
          <t>🟡 TB</t>
        </is>
      </c>
      <c r="AB159" s="521" t="n"/>
      <c r="AC159" s="528" t="inlineStr">
        <is>
          <t>HNX</t>
        </is>
      </c>
      <c r="AD159" s="1024">
        <f>IF(A163='🎯 SÓI v42 — TRA CỨU &amp; DEEP DIV'!$C$4,"⭐ ĐANG XEM","")</f>
        <v/>
      </c>
    </row>
    <row r="160" ht="13.5" customHeight="1" s="981">
      <c r="A160" s="437" t="inlineStr">
        <is>
          <t>LSS</t>
        </is>
      </c>
      <c r="B160" s="435" t="inlineStr">
        <is>
          <t>Lam Sơn Sugar</t>
        </is>
      </c>
      <c r="C160" s="435" t="inlineStr">
        <is>
          <t>Đường</t>
        </is>
      </c>
      <c r="D160" s="523" t="n">
        <v>8260</v>
      </c>
      <c r="E160" s="435" t="n">
        <v>24.5</v>
      </c>
      <c r="F160" s="435" t="n">
        <v>0.95</v>
      </c>
      <c r="G160" s="435" t="n">
        <v>3.8</v>
      </c>
      <c r="H160" s="435" t="n">
        <v>1000</v>
      </c>
      <c r="I160" s="435" t="n">
        <v>337</v>
      </c>
      <c r="J160" s="435" t="n">
        <v>-15.5</v>
      </c>
      <c r="K160" s="437" t="inlineStr">
        <is>
          <t>GIỮ</t>
        </is>
      </c>
      <c r="L160" s="438" t="n"/>
      <c r="M160" s="521" t="n">
        <v>5000</v>
      </c>
      <c r="N160" s="521" t="n">
        <v>3000</v>
      </c>
      <c r="O160" s="521" t="n">
        <v>1500</v>
      </c>
      <c r="P160" s="521" t="n">
        <v>8000</v>
      </c>
      <c r="Q160" s="521" t="n">
        <v>1000</v>
      </c>
      <c r="R160" s="521" t="n">
        <v>12.5</v>
      </c>
      <c r="S160" s="521" t="n">
        <v>12</v>
      </c>
      <c r="T160" s="521" t="n">
        <v>0.6</v>
      </c>
      <c r="U160" s="521" t="n">
        <v>1.5</v>
      </c>
      <c r="V160" s="521" t="n">
        <v>500</v>
      </c>
      <c r="W160" s="521" t="n">
        <v>12</v>
      </c>
      <c r="X160" s="521" t="n">
        <v>3</v>
      </c>
      <c r="Y160" s="521" t="inlineStr">
        <is>
          <t>Ban lãnh đạo</t>
        </is>
      </c>
      <c r="Z160" s="521" t="n">
        <v>65</v>
      </c>
      <c r="AA160" s="521" t="inlineStr">
        <is>
          <t>🟡 TB</t>
        </is>
      </c>
      <c r="AB160" s="521" t="n"/>
      <c r="AC160" s="528" t="inlineStr">
        <is>
          <t>HNX</t>
        </is>
      </c>
      <c r="AD160" s="1024">
        <f>IF(A164='🎯 SÓI v42 — TRA CỨU &amp; DEEP DIV'!$C$4,"⭐ ĐANG XEM","")</f>
        <v/>
      </c>
    </row>
    <row r="161" ht="13.5" customHeight="1" s="981">
      <c r="A161" s="433" t="inlineStr">
        <is>
          <t>BHN</t>
        </is>
      </c>
      <c r="B161" s="431" t="inlineStr">
        <is>
          <t>Habeco</t>
        </is>
      </c>
      <c r="C161" s="431" t="inlineStr">
        <is>
          <t>Bia</t>
        </is>
      </c>
      <c r="D161" s="520" t="n">
        <v>29250</v>
      </c>
      <c r="E161" s="431" t="n">
        <v>24.5</v>
      </c>
      <c r="F161" s="431" t="n">
        <v>2.2</v>
      </c>
      <c r="G161" s="431" t="n">
        <v>10.5</v>
      </c>
      <c r="H161" s="431" t="n">
        <v>1000</v>
      </c>
      <c r="I161" s="431" t="n">
        <v>1194</v>
      </c>
      <c r="J161" s="431" t="n">
        <v>-5.5</v>
      </c>
      <c r="K161" s="433" t="inlineStr">
        <is>
          <t>GIỮ</t>
        </is>
      </c>
      <c r="L161" s="1104" t="inlineStr">
        <is>
          <t>Bia Hà Nội</t>
        </is>
      </c>
      <c r="M161" s="521" t="n">
        <v>5000</v>
      </c>
      <c r="N161" s="521" t="n">
        <v>3000</v>
      </c>
      <c r="O161" s="521" t="n">
        <v>1500</v>
      </c>
      <c r="P161" s="521" t="n">
        <v>8000</v>
      </c>
      <c r="Q161" s="521" t="n">
        <v>1000</v>
      </c>
      <c r="R161" s="521" t="n">
        <v>12.5</v>
      </c>
      <c r="S161" s="521" t="n">
        <v>12</v>
      </c>
      <c r="T161" s="521" t="n">
        <v>0.6</v>
      </c>
      <c r="U161" s="521" t="n">
        <v>1.5</v>
      </c>
      <c r="V161" s="521" t="n">
        <v>500</v>
      </c>
      <c r="W161" s="521" t="n">
        <v>12</v>
      </c>
      <c r="X161" s="521" t="n">
        <v>3</v>
      </c>
      <c r="Y161" s="521" t="inlineStr">
        <is>
          <t>Ban lãnh đạo</t>
        </is>
      </c>
      <c r="Z161" s="521" t="n">
        <v>65</v>
      </c>
      <c r="AA161" s="521" t="inlineStr">
        <is>
          <t>🟡 TB</t>
        </is>
      </c>
      <c r="AB161" s="521" t="n"/>
      <c r="AC161" s="522" t="inlineStr">
        <is>
          <t>HOSE</t>
        </is>
      </c>
      <c r="AD161" s="1024">
        <f>IF(A165='🎯 SÓI v42 — TRA CỨU &amp; DEEP DIV'!$C$4,"⭐ ĐANG XEM","")</f>
        <v/>
      </c>
    </row>
    <row r="162" ht="13.5" customHeight="1" s="981">
      <c r="A162" s="437" t="inlineStr">
        <is>
          <t>SDA</t>
        </is>
      </c>
      <c r="B162" s="435" t="inlineStr">
        <is>
          <t>Sông Đà</t>
        </is>
      </c>
      <c r="C162" s="435" t="inlineStr">
        <is>
          <t>Xây dựng</t>
        </is>
      </c>
      <c r="D162" s="523" t="n">
        <v>1500</v>
      </c>
      <c r="E162" s="435">
        <f>IFERROR(INDEX('📡 LIVE PRICE FEED'!$H$4:$H$300,MATCH(A166,'📡 LIVE PRICE FEED'!$A$4:$A$300,0)),18.5)</f>
        <v/>
      </c>
      <c r="F162" s="435">
        <f>IFERROR(INDEX('📡 LIVE PRICE FEED'!$I$4:$I$300,MATCH(A166,'📡 LIVE PRICE FEED'!$A$4:$A$300,0)),0.85)</f>
        <v/>
      </c>
      <c r="G162" s="435" t="n"/>
      <c r="H162" s="435" t="n">
        <v>8500</v>
      </c>
      <c r="I162" s="435" t="n"/>
      <c r="J162" s="435" t="n">
        <v>-12.5</v>
      </c>
      <c r="K162" s="437" t="inlineStr">
        <is>
          <t>GIỮ</t>
        </is>
      </c>
      <c r="L162" s="438" t="n"/>
      <c r="M162" s="521" t="n">
        <v>5000</v>
      </c>
      <c r="N162" s="521" t="n">
        <v>3000</v>
      </c>
      <c r="O162" s="521" t="n">
        <v>1500</v>
      </c>
      <c r="P162" s="521" t="n">
        <v>8000</v>
      </c>
      <c r="Q162" s="521" t="n">
        <v>1000</v>
      </c>
      <c r="R162" s="521" t="n">
        <v>12.5</v>
      </c>
      <c r="S162" s="521" t="n">
        <v>12</v>
      </c>
      <c r="T162" s="521" t="n">
        <v>0.6</v>
      </c>
      <c r="U162" s="521" t="n">
        <v>1.5</v>
      </c>
      <c r="V162" s="521" t="n">
        <v>500</v>
      </c>
      <c r="W162" s="521" t="n">
        <v>12</v>
      </c>
      <c r="X162" s="521" t="n">
        <v>3</v>
      </c>
      <c r="Y162" s="521" t="inlineStr">
        <is>
          <t>Ban lãnh đạo</t>
        </is>
      </c>
      <c r="Z162" s="521" t="n">
        <v>65</v>
      </c>
      <c r="AA162" s="521" t="inlineStr">
        <is>
          <t>🟡 TB</t>
        </is>
      </c>
      <c r="AB162" s="521" t="n"/>
      <c r="AC162" s="528" t="inlineStr">
        <is>
          <t>HNX</t>
        </is>
      </c>
      <c r="AD162" s="1024">
        <f>IF(A166='🎯 SÓI v42 — TRA CỨU &amp; DEEP DIV'!$C$4,"⭐ ĐANG XEM","")</f>
        <v/>
      </c>
    </row>
    <row r="163" ht="13.5" customHeight="1" s="981">
      <c r="A163" s="433" t="inlineStr">
        <is>
          <t>SD5</t>
        </is>
      </c>
      <c r="B163" s="431" t="inlineStr">
        <is>
          <t>Sông Đà 5</t>
        </is>
      </c>
      <c r="C163" s="431" t="inlineStr">
        <is>
          <t>Xây dựng</t>
        </is>
      </c>
      <c r="D163" s="520">
        <f>IFERROR(INDEX('📡 LIVE PRICE FEED'!$D$4:$D$300,MATCH(A167,'📡 LIVE PRICE FEED'!$A$4:$A$300,0)),8500)</f>
        <v/>
      </c>
      <c r="E163" s="431">
        <f>IFERROR(INDEX('📡 LIVE PRICE FEED'!$H$4:$H$300,MATCH(A167,'📡 LIVE PRICE FEED'!$A$4:$A$300,0)),12.5)</f>
        <v/>
      </c>
      <c r="F163" s="431">
        <f>IFERROR(INDEX('📡 LIVE PRICE FEED'!$I$4:$I$300,MATCH(A167,'📡 LIVE PRICE FEED'!$A$4:$A$300,0)),0.75)</f>
        <v/>
      </c>
      <c r="G163" s="431" t="n"/>
      <c r="H163" s="431" t="n">
        <v>2200</v>
      </c>
      <c r="I163" s="431" t="n"/>
      <c r="J163" s="431" t="n">
        <v>-18.5</v>
      </c>
      <c r="K163" s="433" t="inlineStr">
        <is>
          <t>GIỮ</t>
        </is>
      </c>
      <c r="L163" s="1104" t="n"/>
      <c r="M163" s="521" t="n">
        <v>5000</v>
      </c>
      <c r="N163" s="521" t="n">
        <v>3000</v>
      </c>
      <c r="O163" s="521" t="n">
        <v>1500</v>
      </c>
      <c r="P163" s="521" t="n">
        <v>8000</v>
      </c>
      <c r="Q163" s="521" t="n">
        <v>1000</v>
      </c>
      <c r="R163" s="521" t="n">
        <v>12.5</v>
      </c>
      <c r="S163" s="521" t="n">
        <v>12</v>
      </c>
      <c r="T163" s="521" t="n">
        <v>0.6</v>
      </c>
      <c r="U163" s="521" t="n">
        <v>1.5</v>
      </c>
      <c r="V163" s="521" t="n">
        <v>500</v>
      </c>
      <c r="W163" s="521" t="n">
        <v>12</v>
      </c>
      <c r="X163" s="521" t="n">
        <v>3</v>
      </c>
      <c r="Y163" s="521" t="inlineStr">
        <is>
          <t>Ban lãnh đạo</t>
        </is>
      </c>
      <c r="Z163" s="521" t="n">
        <v>65</v>
      </c>
      <c r="AA163" s="521" t="inlineStr">
        <is>
          <t>🟡 TB</t>
        </is>
      </c>
      <c r="AB163" s="521" t="n"/>
      <c r="AC163" s="528" t="inlineStr">
        <is>
          <t>HNX</t>
        </is>
      </c>
      <c r="AD163" s="1024">
        <f>IF(A167='🎯 SÓI v42 — TRA CỨU &amp; DEEP DIV'!$C$4,"⭐ ĐANG XEM","")</f>
        <v/>
      </c>
    </row>
    <row r="164" ht="13.5" customHeight="1" s="981">
      <c r="A164" s="437" t="inlineStr">
        <is>
          <t>GMC</t>
        </is>
      </c>
      <c r="B164" s="435" t="inlineStr">
        <is>
          <t>Gilimex</t>
        </is>
      </c>
      <c r="C164" s="435" t="inlineStr">
        <is>
          <t>Dệt may</t>
        </is>
      </c>
      <c r="D164" s="523" t="n">
        <v>4800</v>
      </c>
      <c r="E164" s="435">
        <f>IFERROR(INDEX('📡 LIVE PRICE FEED'!$H$4:$H$300,MATCH(A168,'📡 LIVE PRICE FEED'!$A$4:$A$300,0)),12.5)</f>
        <v/>
      </c>
      <c r="F164" s="435">
        <f>IFERROR(INDEX('📡 LIVE PRICE FEED'!$I$4:$I$300,MATCH(A168,'📡 LIVE PRICE FEED'!$A$4:$A$300,0)),1.85)</f>
        <v/>
      </c>
      <c r="G164" s="435" t="n"/>
      <c r="H164" s="435" t="n">
        <v>2200</v>
      </c>
      <c r="I164" s="435" t="n"/>
      <c r="J164" s="435" t="n">
        <v>12.5</v>
      </c>
      <c r="K164" s="524" t="inlineStr">
        <is>
          <t>MUA</t>
        </is>
      </c>
      <c r="L164" s="438" t="n"/>
      <c r="M164" s="521" t="n">
        <v>5000</v>
      </c>
      <c r="N164" s="521" t="n">
        <v>3000</v>
      </c>
      <c r="O164" s="521" t="n">
        <v>1500</v>
      </c>
      <c r="P164" s="521" t="n">
        <v>8000</v>
      </c>
      <c r="Q164" s="521" t="n">
        <v>1000</v>
      </c>
      <c r="R164" s="521" t="n">
        <v>12.5</v>
      </c>
      <c r="S164" s="521" t="n">
        <v>12</v>
      </c>
      <c r="T164" s="521" t="n">
        <v>0.6</v>
      </c>
      <c r="U164" s="521" t="n">
        <v>1.5</v>
      </c>
      <c r="V164" s="521" t="n">
        <v>500</v>
      </c>
      <c r="W164" s="521" t="n">
        <v>12</v>
      </c>
      <c r="X164" s="521" t="n">
        <v>3</v>
      </c>
      <c r="Y164" s="521" t="inlineStr">
        <is>
          <t>Ban lãnh đạo</t>
        </is>
      </c>
      <c r="Z164" s="521" t="n">
        <v>65</v>
      </c>
      <c r="AA164" s="521" t="inlineStr">
        <is>
          <t>🟡 TB</t>
        </is>
      </c>
      <c r="AB164" s="521" t="n"/>
      <c r="AC164" s="528" t="inlineStr">
        <is>
          <t>HNX</t>
        </is>
      </c>
      <c r="AD164" s="1024">
        <f>IF(A168='🎯 SÓI v42 — TRA CỨU &amp; DEEP DIV'!$C$4,"⭐ ĐANG XEM","")</f>
        <v/>
      </c>
    </row>
    <row r="165" ht="13.5" customHeight="1" s="981">
      <c r="A165" s="433" t="inlineStr">
        <is>
          <t>VGT</t>
        </is>
      </c>
      <c r="B165" s="431" t="inlineStr">
        <is>
          <t>Vinatex</t>
        </is>
      </c>
      <c r="C165" s="431" t="inlineStr">
        <is>
          <t>Dệt may</t>
        </is>
      </c>
      <c r="D165" s="520" t="n">
        <v>11700</v>
      </c>
      <c r="E165" s="431">
        <f>IFERROR(INDEX('📡 LIVE PRICE FEED'!$H$4:$H$300,MATCH(A169,'📡 LIVE PRICE FEED'!$A$4:$A$300,0)),15.5)</f>
        <v/>
      </c>
      <c r="F165" s="431">
        <f>IFERROR(INDEX('📡 LIVE PRICE FEED'!$I$4:$I$300,MATCH(A169,'📡 LIVE PRICE FEED'!$A$4:$A$300,0)),1.1)</f>
        <v/>
      </c>
      <c r="G165" s="431" t="n"/>
      <c r="H165" s="431" t="n">
        <v>4500</v>
      </c>
      <c r="I165" s="431" t="n"/>
      <c r="J165" s="431" t="n">
        <v>-8.5</v>
      </c>
      <c r="K165" s="433" t="inlineStr">
        <is>
          <t>GIỮ</t>
        </is>
      </c>
      <c r="L165" s="1104" t="inlineStr">
        <is>
          <t>Dệt may quốc doanh</t>
        </is>
      </c>
      <c r="M165" s="521" t="n">
        <v>5000</v>
      </c>
      <c r="N165" s="521" t="n">
        <v>3000</v>
      </c>
      <c r="O165" s="521" t="n">
        <v>1500</v>
      </c>
      <c r="P165" s="521" t="n">
        <v>8000</v>
      </c>
      <c r="Q165" s="521" t="n">
        <v>1000</v>
      </c>
      <c r="R165" s="521" t="n">
        <v>12.5</v>
      </c>
      <c r="S165" s="521" t="n">
        <v>12</v>
      </c>
      <c r="T165" s="521" t="n">
        <v>0.6</v>
      </c>
      <c r="U165" s="521" t="n">
        <v>1.5</v>
      </c>
      <c r="V165" s="521" t="n">
        <v>500</v>
      </c>
      <c r="W165" s="521" t="n">
        <v>12</v>
      </c>
      <c r="X165" s="521" t="n">
        <v>3</v>
      </c>
      <c r="Y165" s="521" t="inlineStr">
        <is>
          <t>Ban lãnh đạo</t>
        </is>
      </c>
      <c r="Z165" s="521" t="n">
        <v>65</v>
      </c>
      <c r="AA165" s="521" t="inlineStr">
        <is>
          <t>🟡 TB</t>
        </is>
      </c>
      <c r="AB165" s="521" t="n"/>
      <c r="AC165" s="528" t="inlineStr">
        <is>
          <t>UPCoM</t>
        </is>
      </c>
      <c r="AD165" s="1024">
        <f>IF(A169='🎯 SÓI v42 — TRA CỨU &amp; DEEP DIV'!$C$4,"⭐ ĐANG XEM","")</f>
        <v/>
      </c>
    </row>
    <row r="166" ht="13.5" customHeight="1" s="981">
      <c r="A166" s="437" t="inlineStr">
        <is>
          <t>CMX</t>
        </is>
      </c>
      <c r="B166" s="435" t="inlineStr">
        <is>
          <t>Camimex</t>
        </is>
      </c>
      <c r="C166" s="435" t="inlineStr">
        <is>
          <t>Thực phẩm</t>
        </is>
      </c>
      <c r="D166" s="523" t="n">
        <v>5740</v>
      </c>
      <c r="E166" s="435" t="n">
        <v>15.6</v>
      </c>
      <c r="F166" s="435" t="n">
        <v>1.1</v>
      </c>
      <c r="G166" s="435" t="n">
        <v>7.5</v>
      </c>
      <c r="H166" s="435" t="n">
        <v>1000</v>
      </c>
      <c r="I166" s="435" t="n">
        <v>368</v>
      </c>
      <c r="J166" s="435" t="n">
        <v>8.5</v>
      </c>
      <c r="K166" s="437" t="inlineStr">
        <is>
          <t>GIỮ</t>
        </is>
      </c>
      <c r="L166" s="438" t="n"/>
      <c r="M166" s="521" t="n">
        <v>5000</v>
      </c>
      <c r="N166" s="521" t="n">
        <v>3000</v>
      </c>
      <c r="O166" s="521" t="n">
        <v>1500</v>
      </c>
      <c r="P166" s="521" t="n">
        <v>8000</v>
      </c>
      <c r="Q166" s="521" t="n">
        <v>1000</v>
      </c>
      <c r="R166" s="521" t="n">
        <v>12.5</v>
      </c>
      <c r="S166" s="521" t="n">
        <v>12</v>
      </c>
      <c r="T166" s="521" t="n">
        <v>0.6</v>
      </c>
      <c r="U166" s="521" t="n">
        <v>1.5</v>
      </c>
      <c r="V166" s="521" t="n">
        <v>500</v>
      </c>
      <c r="W166" s="521" t="n">
        <v>12</v>
      </c>
      <c r="X166" s="521" t="n">
        <v>3</v>
      </c>
      <c r="Y166" s="521" t="inlineStr">
        <is>
          <t>Ban lãnh đạo</t>
        </is>
      </c>
      <c r="Z166" s="521" t="n">
        <v>65</v>
      </c>
      <c r="AA166" s="521" t="inlineStr">
        <is>
          <t>🟡 TB</t>
        </is>
      </c>
      <c r="AB166" s="521" t="n"/>
      <c r="AC166" s="522" t="inlineStr">
        <is>
          <t>HOSE</t>
        </is>
      </c>
      <c r="AD166" s="1024">
        <f>IF(A170='🎯 SÓI v42 — TRA CỨU &amp; DEEP DIV'!$C$4,"⭐ ĐANG XEM","")</f>
        <v/>
      </c>
    </row>
    <row r="167" ht="13.5" customHeight="1" s="981">
      <c r="A167" s="433" t="inlineStr">
        <is>
          <t>ITD</t>
        </is>
      </c>
      <c r="B167" s="431" t="inlineStr">
        <is>
          <t>ITD</t>
        </is>
      </c>
      <c r="C167" s="431" t="inlineStr">
        <is>
          <t>Công nghệ</t>
        </is>
      </c>
      <c r="D167" s="520" t="n">
        <v>16100</v>
      </c>
      <c r="E167" s="431" t="n">
        <v>15.5</v>
      </c>
      <c r="F167" s="431" t="n">
        <v>1.3</v>
      </c>
      <c r="G167" s="431" t="n">
        <v>8.5</v>
      </c>
      <c r="H167" s="431" t="n">
        <v>805</v>
      </c>
      <c r="I167" s="431" t="n">
        <v>1039</v>
      </c>
      <c r="J167" s="431" t="n">
        <v>15.5</v>
      </c>
      <c r="K167" s="433" t="inlineStr">
        <is>
          <t>GIỮ</t>
        </is>
      </c>
      <c r="L167" s="1104" t="n"/>
      <c r="M167" s="521" t="n">
        <v>5000</v>
      </c>
      <c r="N167" s="521" t="n">
        <v>3000</v>
      </c>
      <c r="O167" s="521" t="n">
        <v>1500</v>
      </c>
      <c r="P167" s="521" t="n">
        <v>8000</v>
      </c>
      <c r="Q167" s="521" t="n">
        <v>1000</v>
      </c>
      <c r="R167" s="521" t="n">
        <v>12.5</v>
      </c>
      <c r="S167" s="521" t="n">
        <v>12</v>
      </c>
      <c r="T167" s="521" t="n">
        <v>0.6</v>
      </c>
      <c r="U167" s="521" t="n">
        <v>1.5</v>
      </c>
      <c r="V167" s="521" t="n">
        <v>500</v>
      </c>
      <c r="W167" s="521" t="n">
        <v>12</v>
      </c>
      <c r="X167" s="521" t="n">
        <v>3</v>
      </c>
      <c r="Y167" s="521" t="inlineStr">
        <is>
          <t>Ban lãnh đạo</t>
        </is>
      </c>
      <c r="Z167" s="521" t="n">
        <v>65</v>
      </c>
      <c r="AA167" s="521" t="inlineStr">
        <is>
          <t>🟡 TB</t>
        </is>
      </c>
      <c r="AB167" s="521" t="n"/>
      <c r="AC167" s="528" t="inlineStr">
        <is>
          <t>HNX</t>
        </is>
      </c>
      <c r="AD167" s="1024">
        <f>IF(A171='🎯 SÓI v42 — TRA CỨU &amp; DEEP DIV'!$C$4,"⭐ ĐANG XEM","")</f>
        <v/>
      </c>
    </row>
    <row r="168" ht="13.5" customHeight="1" s="981">
      <c r="A168" s="437" t="inlineStr">
        <is>
          <t>VLA</t>
        </is>
      </c>
      <c r="B168" s="435" t="inlineStr">
        <is>
          <t>Viễn Liên</t>
        </is>
      </c>
      <c r="C168" s="435" t="inlineStr">
        <is>
          <t>CN viễn thông</t>
        </is>
      </c>
      <c r="D168" s="523">
        <f>IFERROR(INDEX('📡 LIVE PRICE FEED'!$D$4:$D$300,MATCH(A172,'📡 LIVE PRICE FEED'!$A$4:$A$300,0)),12500)</f>
        <v/>
      </c>
      <c r="E168" s="435">
        <f>IFERROR(INDEX('📡 LIVE PRICE FEED'!$H$4:$H$300,MATCH(A172,'📡 LIVE PRICE FEED'!$A$4:$A$300,0)),15.5)</f>
        <v/>
      </c>
      <c r="F168" s="435">
        <f>IFERROR(INDEX('📡 LIVE PRICE FEED'!$I$4:$I$300,MATCH(A172,'📡 LIVE PRICE FEED'!$A$4:$A$300,0)),1.2)</f>
        <v/>
      </c>
      <c r="G168" s="435" t="n"/>
      <c r="H168" s="435" t="n">
        <v>1500</v>
      </c>
      <c r="I168" s="435" t="n"/>
      <c r="J168" s="435" t="n">
        <v>5.5</v>
      </c>
      <c r="K168" s="437" t="inlineStr">
        <is>
          <t>GIỮ</t>
        </is>
      </c>
      <c r="L168" s="438" t="n"/>
      <c r="M168" s="521" t="n">
        <v>5000</v>
      </c>
      <c r="N168" s="521" t="n">
        <v>3000</v>
      </c>
      <c r="O168" s="521" t="n">
        <v>1500</v>
      </c>
      <c r="P168" s="521" t="n">
        <v>8000</v>
      </c>
      <c r="Q168" s="521" t="n">
        <v>1000</v>
      </c>
      <c r="R168" s="521" t="n">
        <v>12.5</v>
      </c>
      <c r="S168" s="521" t="n">
        <v>12</v>
      </c>
      <c r="T168" s="521" t="n">
        <v>0.6</v>
      </c>
      <c r="U168" s="521" t="n">
        <v>1.5</v>
      </c>
      <c r="V168" s="521" t="n">
        <v>500</v>
      </c>
      <c r="W168" s="521" t="n">
        <v>12</v>
      </c>
      <c r="X168" s="521" t="n">
        <v>3</v>
      </c>
      <c r="Y168" s="521" t="inlineStr">
        <is>
          <t>Ban lãnh đạo</t>
        </is>
      </c>
      <c r="Z168" s="521" t="n">
        <v>65</v>
      </c>
      <c r="AA168" s="521" t="inlineStr">
        <is>
          <t>🟡 TB</t>
        </is>
      </c>
      <c r="AB168" s="521" t="n"/>
      <c r="AC168" s="522" t="inlineStr">
        <is>
          <t>HOSE</t>
        </is>
      </c>
      <c r="AD168" s="1024">
        <f>IF(A172='🎯 SÓI v42 — TRA CỨU &amp; DEEP DIV'!$C$4,"⭐ ĐANG XEM","")</f>
        <v/>
      </c>
    </row>
    <row r="169" ht="13.5" customHeight="1" s="981">
      <c r="A169" s="433" t="inlineStr">
        <is>
          <t>TYA</t>
        </is>
      </c>
      <c r="B169" s="431" t="inlineStr">
        <is>
          <t>Taya</t>
        </is>
      </c>
      <c r="C169" s="431" t="inlineStr">
        <is>
          <t>CN viễn thông</t>
        </is>
      </c>
      <c r="D169" s="520">
        <f>IFERROR(INDEX('📡 LIVE PRICE FEED'!$D$4:$D$300,MATCH(A173,'📡 LIVE PRICE FEED'!$A$4:$A$300,0)),22500)</f>
        <v/>
      </c>
      <c r="E169" s="431">
        <f>IFERROR(INDEX('📡 LIVE PRICE FEED'!$H$4:$H$300,MATCH(A173,'📡 LIVE PRICE FEED'!$A$4:$A$300,0)),18.5)</f>
        <v/>
      </c>
      <c r="F169" s="431">
        <f>IFERROR(INDEX('📡 LIVE PRICE FEED'!$I$4:$I$300,MATCH(A173,'📡 LIVE PRICE FEED'!$A$4:$A$300,0)),1.55)</f>
        <v/>
      </c>
      <c r="G169" s="431" t="n"/>
      <c r="H169" s="431" t="n">
        <v>2800</v>
      </c>
      <c r="I169" s="431" t="n"/>
      <c r="J169" s="431" t="n">
        <v>12.5</v>
      </c>
      <c r="K169" s="433" t="inlineStr">
        <is>
          <t>GIỮ</t>
        </is>
      </c>
      <c r="L169" s="1104" t="n"/>
      <c r="M169" s="521" t="n">
        <v>5000</v>
      </c>
      <c r="N169" s="521" t="n">
        <v>3000</v>
      </c>
      <c r="O169" s="521" t="n">
        <v>1500</v>
      </c>
      <c r="P169" s="521" t="n">
        <v>8000</v>
      </c>
      <c r="Q169" s="521" t="n">
        <v>1000</v>
      </c>
      <c r="R169" s="521" t="n">
        <v>12.5</v>
      </c>
      <c r="S169" s="521" t="n">
        <v>12</v>
      </c>
      <c r="T169" s="521" t="n">
        <v>0.6</v>
      </c>
      <c r="U169" s="521" t="n">
        <v>1.5</v>
      </c>
      <c r="V169" s="521" t="n">
        <v>500</v>
      </c>
      <c r="W169" s="521" t="n">
        <v>12</v>
      </c>
      <c r="X169" s="521" t="n">
        <v>3</v>
      </c>
      <c r="Y169" s="521" t="inlineStr">
        <is>
          <t>Ban lãnh đạo</t>
        </is>
      </c>
      <c r="Z169" s="521" t="n">
        <v>65</v>
      </c>
      <c r="AA169" s="521" t="inlineStr">
        <is>
          <t>🟡 TB</t>
        </is>
      </c>
      <c r="AB169" s="521" t="n"/>
      <c r="AC169" s="528" t="inlineStr">
        <is>
          <t>HNX</t>
        </is>
      </c>
      <c r="AD169" s="1024">
        <f>IF(A173='🎯 SÓI v42 — TRA CỨU &amp; DEEP DIV'!$C$4,"⭐ ĐANG XEM","")</f>
        <v/>
      </c>
    </row>
    <row r="170" ht="13.5" customHeight="1" s="981">
      <c r="A170" s="437" t="inlineStr">
        <is>
          <t>VFC</t>
        </is>
      </c>
      <c r="B170" s="435" t="inlineStr">
        <is>
          <t>VietFranchise</t>
        </is>
      </c>
      <c r="C170" s="435" t="inlineStr">
        <is>
          <t>Tài chính</t>
        </is>
      </c>
      <c r="D170" s="523" t="n">
        <v>104000</v>
      </c>
      <c r="E170" s="435">
        <f>IFERROR(INDEX('📡 LIVE PRICE FEED'!$H$4:$H$300,MATCH(A174,'📡 LIVE PRICE FEED'!$A$4:$A$300,0)),15.5)</f>
        <v/>
      </c>
      <c r="F170" s="435">
        <f>IFERROR(INDEX('📡 LIVE PRICE FEED'!$I$4:$I$300,MATCH(A174,'📡 LIVE PRICE FEED'!$A$4:$A$300,0)),1.85)</f>
        <v/>
      </c>
      <c r="G170" s="435" t="n"/>
      <c r="H170" s="435" t="n">
        <v>3500</v>
      </c>
      <c r="I170" s="435" t="n"/>
      <c r="J170" s="435" t="n">
        <v>8.5</v>
      </c>
      <c r="K170" s="437" t="inlineStr">
        <is>
          <t>GIỮ</t>
        </is>
      </c>
      <c r="L170" s="438" t="n"/>
      <c r="M170" s="521" t="n">
        <v>5000</v>
      </c>
      <c r="N170" s="521" t="n">
        <v>3000</v>
      </c>
      <c r="O170" s="521" t="n">
        <v>1500</v>
      </c>
      <c r="P170" s="521" t="n">
        <v>8000</v>
      </c>
      <c r="Q170" s="521" t="n">
        <v>1000</v>
      </c>
      <c r="R170" s="521" t="n">
        <v>12.5</v>
      </c>
      <c r="S170" s="521" t="n">
        <v>12</v>
      </c>
      <c r="T170" s="521" t="n">
        <v>0.6</v>
      </c>
      <c r="U170" s="521" t="n">
        <v>1.5</v>
      </c>
      <c r="V170" s="521" t="n">
        <v>500</v>
      </c>
      <c r="W170" s="521" t="n">
        <v>12</v>
      </c>
      <c r="X170" s="521" t="n">
        <v>3</v>
      </c>
      <c r="Y170" s="521" t="inlineStr">
        <is>
          <t>Ban lãnh đạo</t>
        </is>
      </c>
      <c r="Z170" s="521" t="n">
        <v>65</v>
      </c>
      <c r="AA170" s="521" t="inlineStr">
        <is>
          <t>🟡 TB</t>
        </is>
      </c>
      <c r="AB170" s="521" t="n"/>
      <c r="AC170" s="522" t="inlineStr">
        <is>
          <t>HOSE</t>
        </is>
      </c>
      <c r="AD170" s="1024">
        <f>IF(A174='🎯 SÓI v42 — TRA CỨU &amp; DEEP DIV'!$C$4,"⭐ ĐANG XEM","")</f>
        <v/>
      </c>
    </row>
    <row r="171" ht="13.5" customHeight="1" s="981">
      <c r="A171" s="433" t="inlineStr">
        <is>
          <t>TIN</t>
        </is>
      </c>
      <c r="B171" s="431" t="inlineStr">
        <is>
          <t>VPS Finance</t>
        </is>
      </c>
      <c r="C171" s="431" t="inlineStr">
        <is>
          <t>Tài chính</t>
        </is>
      </c>
      <c r="D171" s="520">
        <f>IFERROR(INDEX('📡 LIVE PRICE FEED'!$D$4:$D$300,MATCH(A175,'📡 LIVE PRICE FEED'!$A$4:$A$300,0)),8500)</f>
        <v/>
      </c>
      <c r="E171" s="431">
        <f>IFERROR(INDEX('📡 LIVE PRICE FEED'!$H$4:$H$300,MATCH(A175,'📡 LIVE PRICE FEED'!$A$4:$A$300,0)),9.5)</f>
        <v/>
      </c>
      <c r="F171" s="431">
        <f>IFERROR(INDEX('📡 LIVE PRICE FEED'!$I$4:$I$300,MATCH(A175,'📡 LIVE PRICE FEED'!$A$4:$A$300,0)),1.15)</f>
        <v/>
      </c>
      <c r="G171" s="431" t="n"/>
      <c r="H171" s="431" t="n">
        <v>2200</v>
      </c>
      <c r="I171" s="431" t="n"/>
      <c r="J171" s="431" t="n">
        <v>2.5</v>
      </c>
      <c r="K171" s="433" t="inlineStr">
        <is>
          <t>GIỮ</t>
        </is>
      </c>
      <c r="L171" s="1104" t="n"/>
      <c r="M171" s="521" t="n">
        <v>5000</v>
      </c>
      <c r="N171" s="521" t="n">
        <v>3000</v>
      </c>
      <c r="O171" s="521" t="n">
        <v>1500</v>
      </c>
      <c r="P171" s="521" t="n">
        <v>8000</v>
      </c>
      <c r="Q171" s="521" t="n">
        <v>1000</v>
      </c>
      <c r="R171" s="521" t="n">
        <v>12.5</v>
      </c>
      <c r="S171" s="521" t="n">
        <v>12</v>
      </c>
      <c r="T171" s="521" t="n">
        <v>0.6</v>
      </c>
      <c r="U171" s="521" t="n">
        <v>1.5</v>
      </c>
      <c r="V171" s="521" t="n">
        <v>500</v>
      </c>
      <c r="W171" s="521" t="n">
        <v>12</v>
      </c>
      <c r="X171" s="521" t="n">
        <v>3</v>
      </c>
      <c r="Y171" s="521" t="inlineStr">
        <is>
          <t>Ban lãnh đạo</t>
        </is>
      </c>
      <c r="Z171" s="521" t="n">
        <v>65</v>
      </c>
      <c r="AA171" s="521" t="inlineStr">
        <is>
          <t>🟡 TB</t>
        </is>
      </c>
      <c r="AB171" s="521" t="n"/>
      <c r="AC171" s="528" t="inlineStr">
        <is>
          <t>HNX</t>
        </is>
      </c>
      <c r="AD171" s="1024">
        <f>IF(A175='🎯 SÓI v42 — TRA CỨU &amp; DEEP DIV'!$C$4,"⭐ ĐANG XEM","")</f>
        <v/>
      </c>
    </row>
    <row r="172" ht="13.5" customHeight="1" s="981">
      <c r="A172" s="437" t="inlineStr">
        <is>
          <t>VEA</t>
        </is>
      </c>
      <c r="B172" s="435" t="inlineStr">
        <is>
          <t>VEAM</t>
        </is>
      </c>
      <c r="C172" s="435" t="inlineStr">
        <is>
          <t>Cơ khí</t>
        </is>
      </c>
      <c r="D172" s="523">
        <f>IFERROR(INDEX('📡 LIVE PRICE FEED'!$D$4:$D$300,MATCH(A176,'📡 LIVE PRICE FEED'!$A$4:$A$300,0)),58500)</f>
        <v/>
      </c>
      <c r="E172" s="435" t="n">
        <v>9.5</v>
      </c>
      <c r="F172" s="435" t="n">
        <v>1.4</v>
      </c>
      <c r="G172" s="435" t="n">
        <v>16.5</v>
      </c>
      <c r="H172" s="435" t="n">
        <v>1000</v>
      </c>
      <c r="I172" s="435" t="n">
        <v>3663</v>
      </c>
      <c r="J172" s="435" t="n">
        <v>12.5</v>
      </c>
      <c r="K172" s="524" t="inlineStr">
        <is>
          <t>MUA</t>
        </is>
      </c>
      <c r="L172" s="438" t="inlineStr">
        <is>
          <t>Cổ tức cao 14%</t>
        </is>
      </c>
      <c r="M172" s="521" t="n">
        <v>5000</v>
      </c>
      <c r="N172" s="521" t="n">
        <v>3000</v>
      </c>
      <c r="O172" s="521" t="n">
        <v>1500</v>
      </c>
      <c r="P172" s="521" t="n">
        <v>8000</v>
      </c>
      <c r="Q172" s="521" t="n">
        <v>1000</v>
      </c>
      <c r="R172" s="521" t="n">
        <v>12.5</v>
      </c>
      <c r="S172" s="521" t="n">
        <v>12</v>
      </c>
      <c r="T172" s="521" t="n">
        <v>0.6</v>
      </c>
      <c r="U172" s="521" t="n">
        <v>1.5</v>
      </c>
      <c r="V172" s="521" t="n">
        <v>500</v>
      </c>
      <c r="W172" s="521" t="n">
        <v>12</v>
      </c>
      <c r="X172" s="521" t="n">
        <v>3</v>
      </c>
      <c r="Y172" s="521" t="inlineStr">
        <is>
          <t>Ban lãnh đạo</t>
        </is>
      </c>
      <c r="Z172" s="521" t="n">
        <v>65</v>
      </c>
      <c r="AA172" s="521" t="inlineStr">
        <is>
          <t>🟡 TB</t>
        </is>
      </c>
      <c r="AB172" s="521" t="n"/>
      <c r="AC172" s="528" t="inlineStr">
        <is>
          <t>UPCoM</t>
        </is>
      </c>
      <c r="AD172" s="1024">
        <f>IF(A176='🎯 SÓI v42 — TRA CỨU &amp; DEEP DIV'!$C$4,"⭐ ĐANG XEM","")</f>
        <v/>
      </c>
    </row>
    <row r="173" ht="13.5" customHeight="1" s="981">
      <c r="A173" s="433" t="inlineStr">
        <is>
          <t>PHN</t>
        </is>
      </c>
      <c r="B173" s="431" t="inlineStr">
        <is>
          <t>PHN</t>
        </is>
      </c>
      <c r="C173" s="431" t="inlineStr">
        <is>
          <t>Cơ khí</t>
        </is>
      </c>
      <c r="D173" s="520">
        <f>IFERROR(INDEX('📡 LIVE PRICE FEED'!$D$4:$D$300,MATCH(A177,'📡 LIVE PRICE FEED'!$A$4:$A$300,0)),12500)</f>
        <v/>
      </c>
      <c r="E173" s="431">
        <f>IFERROR(INDEX('📡 LIVE PRICE FEED'!$H$4:$H$300,MATCH(A177,'📡 LIVE PRICE FEED'!$A$4:$A$300,0)),12.5)</f>
        <v/>
      </c>
      <c r="F173" s="431">
        <f>IFERROR(INDEX('📡 LIVE PRICE FEED'!$I$4:$I$300,MATCH(A177,'📡 LIVE PRICE FEED'!$A$4:$A$300,0)),1.05)</f>
        <v/>
      </c>
      <c r="G173" s="431" t="n"/>
      <c r="H173" s="431" t="n">
        <v>2200</v>
      </c>
      <c r="I173" s="431" t="n"/>
      <c r="J173" s="431" t="n">
        <v>-5.5</v>
      </c>
      <c r="K173" s="433" t="inlineStr">
        <is>
          <t>GIỮ</t>
        </is>
      </c>
      <c r="L173" s="1104" t="n"/>
      <c r="M173" s="521" t="n">
        <v>5000</v>
      </c>
      <c r="N173" s="521" t="n">
        <v>3000</v>
      </c>
      <c r="O173" s="521" t="n">
        <v>1500</v>
      </c>
      <c r="P173" s="521" t="n">
        <v>8000</v>
      </c>
      <c r="Q173" s="521" t="n">
        <v>1000</v>
      </c>
      <c r="R173" s="521" t="n">
        <v>12.5</v>
      </c>
      <c r="S173" s="521" t="n">
        <v>12</v>
      </c>
      <c r="T173" s="521" t="n">
        <v>0.6</v>
      </c>
      <c r="U173" s="521" t="n">
        <v>1.5</v>
      </c>
      <c r="V173" s="521" t="n">
        <v>500</v>
      </c>
      <c r="W173" s="521" t="n">
        <v>12</v>
      </c>
      <c r="X173" s="521" t="n">
        <v>3</v>
      </c>
      <c r="Y173" s="521" t="inlineStr">
        <is>
          <t>Ban lãnh đạo</t>
        </is>
      </c>
      <c r="Z173" s="521" t="n">
        <v>65</v>
      </c>
      <c r="AA173" s="521" t="inlineStr">
        <is>
          <t>🟡 TB</t>
        </is>
      </c>
      <c r="AB173" s="521" t="n"/>
      <c r="AC173" s="528" t="inlineStr">
        <is>
          <t>HNX</t>
        </is>
      </c>
      <c r="AD173" s="1024">
        <f>IF(A177='🎯 SÓI v42 — TRA CỨU &amp; DEEP DIV'!$C$4,"⭐ ĐANG XEM","")</f>
        <v/>
      </c>
    </row>
    <row r="174" ht="13.5" customHeight="1" s="981">
      <c r="A174" s="437" t="inlineStr">
        <is>
          <t>YEG</t>
        </is>
      </c>
      <c r="B174" s="435" t="inlineStr">
        <is>
          <t>Yeah1</t>
        </is>
      </c>
      <c r="C174" s="435" t="inlineStr">
        <is>
          <t>Truyền thông</t>
        </is>
      </c>
      <c r="D174" s="523">
        <f>IFERROR(INDEX('📡 LIVE PRICE FEED'!$D$4:$D$300,MATCH(A178,'📡 LIVE PRICE FEED'!$A$4:$A$300,0)),8500)</f>
        <v/>
      </c>
      <c r="E174" s="435">
        <f>IFERROR(INDEX('📡 LIVE PRICE FEED'!$H$4:$H$300,MATCH(A178,'📡 LIVE PRICE FEED'!$A$4:$A$300,0)),0)</f>
        <v/>
      </c>
      <c r="F174" s="435">
        <f>IFERROR(INDEX('📡 LIVE PRICE FEED'!$I$4:$I$300,MATCH(A178,'📡 LIVE PRICE FEED'!$A$4:$A$300,0)),0.65)</f>
        <v/>
      </c>
      <c r="G174" s="435" t="n"/>
      <c r="H174" s="435" t="n">
        <v>1500</v>
      </c>
      <c r="I174" s="435" t="n"/>
      <c r="J174" s="435" t="n">
        <v>-32.5</v>
      </c>
      <c r="K174" s="527" t="inlineStr">
        <is>
          <t>TRÁNH</t>
        </is>
      </c>
      <c r="L174" s="438" t="n"/>
      <c r="M174" s="521" t="n">
        <v>5000</v>
      </c>
      <c r="N174" s="521" t="n">
        <v>3000</v>
      </c>
      <c r="O174" s="521" t="n">
        <v>1500</v>
      </c>
      <c r="P174" s="521" t="n">
        <v>8000</v>
      </c>
      <c r="Q174" s="521" t="n">
        <v>1000</v>
      </c>
      <c r="R174" s="521" t="n">
        <v>12.5</v>
      </c>
      <c r="S174" s="521" t="n">
        <v>12</v>
      </c>
      <c r="T174" s="521" t="n">
        <v>0.6</v>
      </c>
      <c r="U174" s="521" t="n">
        <v>1.5</v>
      </c>
      <c r="V174" s="521" t="n">
        <v>500</v>
      </c>
      <c r="W174" s="521" t="n">
        <v>12</v>
      </c>
      <c r="X174" s="521" t="n">
        <v>3</v>
      </c>
      <c r="Y174" s="521" t="inlineStr">
        <is>
          <t>Ban lãnh đạo</t>
        </is>
      </c>
      <c r="Z174" s="521" t="n">
        <v>65</v>
      </c>
      <c r="AA174" s="521" t="inlineStr">
        <is>
          <t>🟡 TB</t>
        </is>
      </c>
      <c r="AB174" s="521" t="n"/>
      <c r="AC174" s="522" t="inlineStr">
        <is>
          <t>HOSE</t>
        </is>
      </c>
      <c r="AD174" s="1024">
        <f>IF(A178='🎯 SÓI v42 — TRA CỨU &amp; DEEP DIV'!$C$4,"⭐ ĐANG XEM","")</f>
        <v/>
      </c>
    </row>
    <row r="175" ht="13.5" customHeight="1" s="981">
      <c r="A175" s="437" t="inlineStr">
        <is>
          <t>VTV</t>
        </is>
      </c>
      <c r="B175" s="435" t="inlineStr">
        <is>
          <t>Truyền hình VN</t>
        </is>
      </c>
      <c r="C175" s="435" t="inlineStr">
        <is>
          <t>Truyền thông</t>
        </is>
      </c>
      <c r="D175" s="523">
        <f>IFERROR(INDEX('📡 LIVE PRICE FEED'!$D$4:$D$300,MATCH(A180,'📡 LIVE PRICE FEED'!$A$4:$A$300,0)),22500)</f>
        <v/>
      </c>
      <c r="E175" s="435" t="n">
        <v>18.5</v>
      </c>
      <c r="F175" s="435" t="n">
        <v>1.6</v>
      </c>
      <c r="G175" s="435" t="n">
        <v>8.5</v>
      </c>
      <c r="H175" s="435" t="n">
        <v>1000</v>
      </c>
      <c r="I175" s="435" t="n">
        <v>795</v>
      </c>
      <c r="J175" s="435" t="n">
        <v>8.5</v>
      </c>
      <c r="K175" s="437" t="inlineStr">
        <is>
          <t>GIỮ</t>
        </is>
      </c>
      <c r="L175" s="438" t="n"/>
      <c r="M175" s="521" t="n">
        <v>5000</v>
      </c>
      <c r="N175" s="521" t="n">
        <v>3000</v>
      </c>
      <c r="O175" s="521" t="n">
        <v>1500</v>
      </c>
      <c r="P175" s="521" t="n">
        <v>8000</v>
      </c>
      <c r="Q175" s="521" t="n">
        <v>1000</v>
      </c>
      <c r="R175" s="521" t="n">
        <v>12.5</v>
      </c>
      <c r="S175" s="521" t="n">
        <v>12</v>
      </c>
      <c r="T175" s="521" t="n">
        <v>0.6</v>
      </c>
      <c r="U175" s="521" t="n">
        <v>1.5</v>
      </c>
      <c r="V175" s="521" t="n">
        <v>500</v>
      </c>
      <c r="W175" s="521" t="n">
        <v>12</v>
      </c>
      <c r="X175" s="521" t="n">
        <v>3</v>
      </c>
      <c r="Y175" s="521" t="inlineStr">
        <is>
          <t>Ban lãnh đạo</t>
        </is>
      </c>
      <c r="Z175" s="521" t="n">
        <v>65</v>
      </c>
      <c r="AA175" s="521" t="inlineStr">
        <is>
          <t>🟡 TB</t>
        </is>
      </c>
      <c r="AB175" s="521" t="n"/>
      <c r="AC175" s="522" t="inlineStr">
        <is>
          <t>HOSE</t>
        </is>
      </c>
      <c r="AD175" s="1024">
        <f>IF(A180='🎯 SÓI v42 — TRA CỨU &amp; DEEP DIV'!$C$4,"⭐ ĐANG XEM","")</f>
        <v/>
      </c>
    </row>
    <row r="176" ht="13.5" customHeight="1" s="981">
      <c r="A176" s="433" t="inlineStr">
        <is>
          <t>VEC</t>
        </is>
      </c>
      <c r="B176" s="431" t="inlineStr">
        <is>
          <t>VEC</t>
        </is>
      </c>
      <c r="C176" s="431" t="inlineStr">
        <is>
          <t>Hạ tầng</t>
        </is>
      </c>
      <c r="D176" s="520">
        <f>IFERROR(INDEX('📡 LIVE PRICE FEED'!$D$4:$D$300,MATCH(A181,'📡 LIVE PRICE FEED'!$A$4:$A$300,0)),12500)</f>
        <v/>
      </c>
      <c r="E176" s="431">
        <f>IFERROR(INDEX('📡 LIVE PRICE FEED'!$H$4:$H$300,MATCH(A181,'📡 LIVE PRICE FEED'!$A$4:$A$300,0)),15.5)</f>
        <v/>
      </c>
      <c r="F176" s="431">
        <f>IFERROR(INDEX('📡 LIVE PRICE FEED'!$I$4:$I$300,MATCH(A181,'📡 LIVE PRICE FEED'!$A$4:$A$300,0)),0.95)</f>
        <v/>
      </c>
      <c r="G176" s="431" t="n"/>
      <c r="H176" s="431" t="n">
        <v>5500</v>
      </c>
      <c r="I176" s="431" t="n"/>
      <c r="J176" s="431" t="n">
        <v>-12.5</v>
      </c>
      <c r="K176" s="433" t="inlineStr">
        <is>
          <t>GIỮ</t>
        </is>
      </c>
      <c r="L176" s="1104" t="n"/>
      <c r="M176" s="521" t="n">
        <v>5000</v>
      </c>
      <c r="N176" s="521" t="n">
        <v>3000</v>
      </c>
      <c r="O176" s="521" t="n">
        <v>1500</v>
      </c>
      <c r="P176" s="521" t="n">
        <v>8000</v>
      </c>
      <c r="Q176" s="521" t="n">
        <v>1000</v>
      </c>
      <c r="R176" s="521" t="n">
        <v>12.5</v>
      </c>
      <c r="S176" s="521" t="n">
        <v>12</v>
      </c>
      <c r="T176" s="521" t="n">
        <v>0.6</v>
      </c>
      <c r="U176" s="521" t="n">
        <v>1.5</v>
      </c>
      <c r="V176" s="521" t="n">
        <v>500</v>
      </c>
      <c r="W176" s="521" t="n">
        <v>12</v>
      </c>
      <c r="X176" s="521" t="n">
        <v>3</v>
      </c>
      <c r="Y176" s="521" t="inlineStr">
        <is>
          <t>Ban lãnh đạo</t>
        </is>
      </c>
      <c r="Z176" s="521" t="n">
        <v>65</v>
      </c>
      <c r="AA176" s="521" t="inlineStr">
        <is>
          <t>🟡 TB</t>
        </is>
      </c>
      <c r="AB176" s="521" t="n"/>
      <c r="AC176" s="528" t="inlineStr">
        <is>
          <t>UPCoM</t>
        </is>
      </c>
      <c r="AD176" s="1024">
        <f>IF(A181='🎯 SÓI v42 — TRA CỨU &amp; DEEP DIV'!$C$4,"⭐ ĐANG XEM","")</f>
        <v/>
      </c>
    </row>
    <row r="177" ht="13.5" customHeight="1" s="981">
      <c r="A177" s="437" t="inlineStr">
        <is>
          <t>VGC</t>
        </is>
      </c>
      <c r="B177" s="435" t="inlineStr">
        <is>
          <t>Viglacera</t>
        </is>
      </c>
      <c r="C177" s="435" t="inlineStr">
        <is>
          <t>VLXD + KCN</t>
        </is>
      </c>
      <c r="D177" s="523" t="n">
        <v>43000</v>
      </c>
      <c r="E177" s="435" t="n">
        <v>14.5</v>
      </c>
      <c r="F177" s="435" t="n">
        <v>1.5</v>
      </c>
      <c r="G177" s="435" t="n">
        <v>11.5</v>
      </c>
      <c r="H177" s="435" t="n">
        <v>1000</v>
      </c>
      <c r="I177" s="435" t="n">
        <v>2966</v>
      </c>
      <c r="J177" s="435" t="n">
        <v>22.5</v>
      </c>
      <c r="K177" s="524" t="inlineStr">
        <is>
          <t>MUA</t>
        </is>
      </c>
      <c r="L177" s="438" t="inlineStr">
        <is>
          <t>VLXD + KCN</t>
        </is>
      </c>
      <c r="M177" s="521" t="n">
        <v>5000</v>
      </c>
      <c r="N177" s="521" t="n">
        <v>3000</v>
      </c>
      <c r="O177" s="521" t="n">
        <v>1500</v>
      </c>
      <c r="P177" s="521" t="n">
        <v>8000</v>
      </c>
      <c r="Q177" s="521" t="n">
        <v>1000</v>
      </c>
      <c r="R177" s="521" t="n">
        <v>12.5</v>
      </c>
      <c r="S177" s="521" t="n">
        <v>12</v>
      </c>
      <c r="T177" s="521" t="n">
        <v>0.6</v>
      </c>
      <c r="U177" s="521" t="n">
        <v>1.5</v>
      </c>
      <c r="V177" s="521" t="n">
        <v>500</v>
      </c>
      <c r="W177" s="521" t="n">
        <v>12</v>
      </c>
      <c r="X177" s="521" t="n">
        <v>3</v>
      </c>
      <c r="Y177" s="521" t="inlineStr">
        <is>
          <t>Ban lãnh đạo</t>
        </is>
      </c>
      <c r="Z177" s="521" t="n">
        <v>65</v>
      </c>
      <c r="AA177" s="521" t="inlineStr">
        <is>
          <t>🟡 TB</t>
        </is>
      </c>
      <c r="AB177" s="521" t="n"/>
      <c r="AC177" s="522" t="inlineStr">
        <is>
          <t>HOSE</t>
        </is>
      </c>
      <c r="AD177" s="1024">
        <f>IF(A182='🎯 SÓI v42 — TRA CỨU &amp; DEEP DIV'!$C$4,"⭐ ĐANG XEM","")</f>
        <v/>
      </c>
    </row>
    <row r="178" ht="13.5" customHeight="1" s="981">
      <c r="A178" s="433" t="inlineStr">
        <is>
          <t>D2D</t>
        </is>
      </c>
      <c r="B178" s="431" t="inlineStr">
        <is>
          <t>D2D</t>
        </is>
      </c>
      <c r="C178" s="431" t="inlineStr">
        <is>
          <t>BĐS</t>
        </is>
      </c>
      <c r="D178" s="520" t="n">
        <v>33250</v>
      </c>
      <c r="E178" s="431" t="n">
        <v>14.5</v>
      </c>
      <c r="F178" s="431" t="n">
        <v>2.1</v>
      </c>
      <c r="G178" s="431" t="n">
        <v>15.5</v>
      </c>
      <c r="H178" s="431" t="n">
        <v>1000</v>
      </c>
      <c r="I178" s="431" t="n">
        <v>2293</v>
      </c>
      <c r="J178" s="431" t="n">
        <v>15.5</v>
      </c>
      <c r="K178" s="433" t="inlineStr">
        <is>
          <t>GIỮ</t>
        </is>
      </c>
      <c r="L178" s="1104" t="n"/>
      <c r="M178" s="521" t="n">
        <v>5000</v>
      </c>
      <c r="N178" s="521" t="n">
        <v>3000</v>
      </c>
      <c r="O178" s="521" t="n">
        <v>1500</v>
      </c>
      <c r="P178" s="521" t="n">
        <v>8000</v>
      </c>
      <c r="Q178" s="521" t="n">
        <v>1000</v>
      </c>
      <c r="R178" s="521" t="n">
        <v>12.5</v>
      </c>
      <c r="S178" s="521" t="n">
        <v>12</v>
      </c>
      <c r="T178" s="521" t="n">
        <v>0.6</v>
      </c>
      <c r="U178" s="521" t="n">
        <v>1.5</v>
      </c>
      <c r="V178" s="521" t="n">
        <v>500</v>
      </c>
      <c r="W178" s="521" t="n">
        <v>12</v>
      </c>
      <c r="X178" s="521" t="n">
        <v>3</v>
      </c>
      <c r="Y178" s="521" t="inlineStr">
        <is>
          <t>Ban lãnh đạo</t>
        </is>
      </c>
      <c r="Z178" s="521" t="n">
        <v>65</v>
      </c>
      <c r="AA178" s="521" t="inlineStr">
        <is>
          <t>🟡 TB</t>
        </is>
      </c>
      <c r="AB178" s="521" t="n"/>
      <c r="AC178" s="522" t="inlineStr">
        <is>
          <t>HOSE</t>
        </is>
      </c>
      <c r="AD178" s="1024">
        <f>IF(A183='🎯 SÓI v42 — TRA CỨU &amp; DEEP DIV'!$C$4,"⭐ ĐANG XEM","")</f>
        <v/>
      </c>
    </row>
    <row r="179" ht="13.5" customHeight="1" s="981">
      <c r="A179" s="437" t="inlineStr">
        <is>
          <t>NDN</t>
        </is>
      </c>
      <c r="B179" s="435" t="inlineStr">
        <is>
          <t>NDN</t>
        </is>
      </c>
      <c r="C179" s="435" t="inlineStr">
        <is>
          <t>BĐS</t>
        </is>
      </c>
      <c r="D179" s="523">
        <f>IFERROR(INDEX('📡 LIVE PRICE FEED'!$D$4:$D$300,MATCH(A184,'📡 LIVE PRICE FEED'!$A$4:$A$300,0)),12500)</f>
        <v/>
      </c>
      <c r="E179" s="435" t="n">
        <v>14.5</v>
      </c>
      <c r="F179" s="435" t="n">
        <v>1.3</v>
      </c>
      <c r="G179" s="435" t="n">
        <v>10.5</v>
      </c>
      <c r="H179" s="435" t="n">
        <v>1000</v>
      </c>
      <c r="I179" s="435" t="n">
        <v>731</v>
      </c>
      <c r="J179" s="435" t="n">
        <v>-8.5</v>
      </c>
      <c r="K179" s="437" t="inlineStr">
        <is>
          <t>GIỮ</t>
        </is>
      </c>
      <c r="L179" s="438" t="n"/>
      <c r="M179" s="521" t="n">
        <v>5000</v>
      </c>
      <c r="N179" s="521" t="n">
        <v>3000</v>
      </c>
      <c r="O179" s="521" t="n">
        <v>1500</v>
      </c>
      <c r="P179" s="521" t="n">
        <v>8000</v>
      </c>
      <c r="Q179" s="521" t="n">
        <v>1000</v>
      </c>
      <c r="R179" s="521" t="n">
        <v>12.5</v>
      </c>
      <c r="S179" s="521" t="n">
        <v>12</v>
      </c>
      <c r="T179" s="521" t="n">
        <v>0.6</v>
      </c>
      <c r="U179" s="521" t="n">
        <v>1.5</v>
      </c>
      <c r="V179" s="521" t="n">
        <v>500</v>
      </c>
      <c r="W179" s="521" t="n">
        <v>12</v>
      </c>
      <c r="X179" s="521" t="n">
        <v>3</v>
      </c>
      <c r="Y179" s="521" t="inlineStr">
        <is>
          <t>Ban lãnh đạo</t>
        </is>
      </c>
      <c r="Z179" s="521" t="n">
        <v>65</v>
      </c>
      <c r="AA179" s="521" t="inlineStr">
        <is>
          <t>🟡 TB</t>
        </is>
      </c>
      <c r="AB179" s="521" t="n"/>
      <c r="AC179" s="522" t="inlineStr">
        <is>
          <t>HOSE</t>
        </is>
      </c>
      <c r="AD179" s="1024">
        <f>IF(A184='🎯 SÓI v42 — TRA CỨU &amp; DEEP DIV'!$C$4,"⭐ ĐANG XEM","")</f>
        <v/>
      </c>
    </row>
    <row r="180" ht="13.5" customHeight="1" s="981">
      <c r="A180" s="433" t="inlineStr">
        <is>
          <t>TDC</t>
        </is>
      </c>
      <c r="B180" s="431" t="inlineStr">
        <is>
          <t>TDC</t>
        </is>
      </c>
      <c r="C180" s="431" t="inlineStr">
        <is>
          <t>BĐS</t>
        </is>
      </c>
      <c r="D180" s="520" t="n">
        <v>10850</v>
      </c>
      <c r="E180" s="431" t="n">
        <v>15.5</v>
      </c>
      <c r="F180" s="431" t="n">
        <v>1.4</v>
      </c>
      <c r="G180" s="431" t="n">
        <v>9.5</v>
      </c>
      <c r="H180" s="431" t="n">
        <v>1000</v>
      </c>
      <c r="I180" s="431" t="n">
        <v>700</v>
      </c>
      <c r="J180" s="431" t="n">
        <v>-15.5</v>
      </c>
      <c r="K180" s="433" t="inlineStr">
        <is>
          <t>GIỮ</t>
        </is>
      </c>
      <c r="L180" s="1104" t="n"/>
      <c r="M180" s="521" t="n">
        <v>5000</v>
      </c>
      <c r="N180" s="521" t="n">
        <v>3000</v>
      </c>
      <c r="O180" s="521" t="n">
        <v>1500</v>
      </c>
      <c r="P180" s="521" t="n">
        <v>8000</v>
      </c>
      <c r="Q180" s="521" t="n">
        <v>1000</v>
      </c>
      <c r="R180" s="521" t="n">
        <v>12.5</v>
      </c>
      <c r="S180" s="521" t="n">
        <v>12</v>
      </c>
      <c r="T180" s="521" t="n">
        <v>0.6</v>
      </c>
      <c r="U180" s="521" t="n">
        <v>1.5</v>
      </c>
      <c r="V180" s="521" t="n">
        <v>500</v>
      </c>
      <c r="W180" s="521" t="n">
        <v>12</v>
      </c>
      <c r="X180" s="521" t="n">
        <v>3</v>
      </c>
      <c r="Y180" s="521" t="inlineStr">
        <is>
          <t>Ban lãnh đạo</t>
        </is>
      </c>
      <c r="Z180" s="521" t="n">
        <v>65</v>
      </c>
      <c r="AA180" s="521" t="inlineStr">
        <is>
          <t>🟡 TB</t>
        </is>
      </c>
      <c r="AB180" s="521" t="n"/>
      <c r="AC180" s="522" t="inlineStr">
        <is>
          <t>HOSE</t>
        </is>
      </c>
      <c r="AD180" s="1024">
        <f>IF(A185='🎯 SÓI v42 — TRA CỨU &amp; DEEP DIV'!$C$4,"⭐ ĐANG XEM","")</f>
        <v/>
      </c>
    </row>
    <row r="181" ht="13.5" customHeight="1" s="981">
      <c r="A181" s="437" t="inlineStr">
        <is>
          <t>TDM</t>
        </is>
      </c>
      <c r="B181" s="435" t="inlineStr">
        <is>
          <t>TDM</t>
        </is>
      </c>
      <c r="C181" s="435" t="inlineStr">
        <is>
          <t>Cấp nước</t>
        </is>
      </c>
      <c r="D181" s="523">
        <f>IFERROR(INDEX('📡 LIVE PRICE FEED'!$D$4:$D$300,MATCH(A186,'📡 LIVE PRICE FEED'!$A$4:$A$300,0)),32500)</f>
        <v/>
      </c>
      <c r="E181" s="435" t="n">
        <v>12.4</v>
      </c>
      <c r="F181" s="435" t="n">
        <v>1.3</v>
      </c>
      <c r="G181" s="435" t="n">
        <v>11.5</v>
      </c>
      <c r="H181" s="435" t="n">
        <v>1000</v>
      </c>
      <c r="I181" s="435" t="n">
        <v>4613</v>
      </c>
      <c r="J181" s="435" t="n">
        <v>12.5</v>
      </c>
      <c r="K181" s="524" t="inlineStr">
        <is>
          <t>MUA</t>
        </is>
      </c>
      <c r="L181" s="438" t="inlineStr">
        <is>
          <t>Cấp nước</t>
        </is>
      </c>
      <c r="M181" s="521" t="n">
        <v>5000</v>
      </c>
      <c r="N181" s="521" t="n">
        <v>3000</v>
      </c>
      <c r="O181" s="521" t="n">
        <v>1500</v>
      </c>
      <c r="P181" s="521" t="n">
        <v>8000</v>
      </c>
      <c r="Q181" s="521" t="n">
        <v>1000</v>
      </c>
      <c r="R181" s="521" t="n">
        <v>12.5</v>
      </c>
      <c r="S181" s="521" t="n">
        <v>12</v>
      </c>
      <c r="T181" s="521" t="n">
        <v>0.6</v>
      </c>
      <c r="U181" s="521" t="n">
        <v>1.5</v>
      </c>
      <c r="V181" s="521" t="n">
        <v>500</v>
      </c>
      <c r="W181" s="521" t="n">
        <v>12</v>
      </c>
      <c r="X181" s="521" t="n">
        <v>3</v>
      </c>
      <c r="Y181" s="521" t="inlineStr">
        <is>
          <t>Ban lãnh đạo</t>
        </is>
      </c>
      <c r="Z181" s="521" t="n">
        <v>65</v>
      </c>
      <c r="AA181" s="521" t="inlineStr">
        <is>
          <t>🟡 TB</t>
        </is>
      </c>
      <c r="AB181" s="521" t="n"/>
      <c r="AC181" s="522" t="inlineStr">
        <is>
          <t>HOSE</t>
        </is>
      </c>
      <c r="AD181" s="1024">
        <f>IF(A186='🎯 SÓI v42 — TRA CỨU &amp; DEEP DIV'!$C$4,"⭐ ĐANG XEM","")</f>
        <v/>
      </c>
    </row>
    <row r="182" ht="13.5" customHeight="1" s="981">
      <c r="A182" s="433" t="inlineStr">
        <is>
          <t>BWE</t>
        </is>
      </c>
      <c r="B182" s="431" t="inlineStr">
        <is>
          <t>Bình Dương Water</t>
        </is>
      </c>
      <c r="C182" s="431" t="inlineStr">
        <is>
          <t>Cấp nước</t>
        </is>
      </c>
      <c r="D182" s="520" t="n">
        <v>44000</v>
      </c>
      <c r="E182" s="431" t="n">
        <v>12.5</v>
      </c>
      <c r="F182" s="431" t="n">
        <v>1.5</v>
      </c>
      <c r="G182" s="431" t="n">
        <v>13.5</v>
      </c>
      <c r="H182" s="431" t="n">
        <v>1000</v>
      </c>
      <c r="I182" s="431" t="n">
        <v>3520</v>
      </c>
      <c r="J182" s="431" t="n">
        <v>15.5</v>
      </c>
      <c r="K182" s="524" t="inlineStr">
        <is>
          <t>MUA</t>
        </is>
      </c>
      <c r="L182" s="1104" t="inlineStr">
        <is>
          <t>Nước BD</t>
        </is>
      </c>
      <c r="M182" s="521" t="n">
        <v>5000</v>
      </c>
      <c r="N182" s="521" t="n">
        <v>3000</v>
      </c>
      <c r="O182" s="521" t="n">
        <v>1500</v>
      </c>
      <c r="P182" s="521" t="n">
        <v>8000</v>
      </c>
      <c r="Q182" s="521" t="n">
        <v>1000</v>
      </c>
      <c r="R182" s="521" t="n">
        <v>12.5</v>
      </c>
      <c r="S182" s="521" t="n">
        <v>12</v>
      </c>
      <c r="T182" s="521" t="n">
        <v>0.6</v>
      </c>
      <c r="U182" s="521" t="n">
        <v>1.5</v>
      </c>
      <c r="V182" s="521" t="n">
        <v>500</v>
      </c>
      <c r="W182" s="521" t="n">
        <v>12</v>
      </c>
      <c r="X182" s="521" t="n">
        <v>3</v>
      </c>
      <c r="Y182" s="521" t="inlineStr">
        <is>
          <t>Ban lãnh đạo</t>
        </is>
      </c>
      <c r="Z182" s="521" t="n">
        <v>65</v>
      </c>
      <c r="AA182" s="521" t="inlineStr">
        <is>
          <t>🟡 TB</t>
        </is>
      </c>
      <c r="AB182" s="521" t="n"/>
      <c r="AC182" s="522" t="inlineStr">
        <is>
          <t>HOSE</t>
        </is>
      </c>
      <c r="AD182" s="1024">
        <f>IF(A187='🎯 SÓI v42 — TRA CỨU &amp; DEEP DIV'!$C$4,"⭐ ĐANG XEM","")</f>
        <v/>
      </c>
    </row>
    <row r="183" ht="13.5" customHeight="1" s="981">
      <c r="A183" s="437" t="inlineStr">
        <is>
          <t>DNW</t>
        </is>
      </c>
      <c r="B183" s="435" t="inlineStr">
        <is>
          <t>Đồng Nai Water</t>
        </is>
      </c>
      <c r="C183" s="435" t="inlineStr">
        <is>
          <t>Cấp nước</t>
        </is>
      </c>
      <c r="D183" s="523">
        <f>IFERROR(INDEX('📡 LIVE PRICE FEED'!$D$4:$D$300,MATCH(A188,'📡 LIVE PRICE FEED'!$A$4:$A$300,0)),22500)</f>
        <v/>
      </c>
      <c r="E183" s="435" t="n">
        <v>14.5</v>
      </c>
      <c r="F183" s="435" t="n">
        <v>1.4</v>
      </c>
      <c r="G183" s="435" t="n">
        <v>10.5</v>
      </c>
      <c r="H183" s="435" t="n">
        <v>1000</v>
      </c>
      <c r="I183" s="435" t="n">
        <v>2207</v>
      </c>
      <c r="J183" s="435" t="n">
        <v>8.5</v>
      </c>
      <c r="K183" s="437" t="inlineStr">
        <is>
          <t>GIỮ</t>
        </is>
      </c>
      <c r="L183" s="438" t="n"/>
      <c r="M183" s="521" t="n">
        <v>5000</v>
      </c>
      <c r="N183" s="521" t="n">
        <v>3000</v>
      </c>
      <c r="O183" s="521" t="n">
        <v>1500</v>
      </c>
      <c r="P183" s="521" t="n">
        <v>8000</v>
      </c>
      <c r="Q183" s="521" t="n">
        <v>1000</v>
      </c>
      <c r="R183" s="521" t="n">
        <v>12.5</v>
      </c>
      <c r="S183" s="521" t="n">
        <v>12</v>
      </c>
      <c r="T183" s="521" t="n">
        <v>0.6</v>
      </c>
      <c r="U183" s="521" t="n">
        <v>1.5</v>
      </c>
      <c r="V183" s="521" t="n">
        <v>500</v>
      </c>
      <c r="W183" s="521" t="n">
        <v>12</v>
      </c>
      <c r="X183" s="521" t="n">
        <v>3</v>
      </c>
      <c r="Y183" s="521" t="inlineStr">
        <is>
          <t>Ban lãnh đạo</t>
        </is>
      </c>
      <c r="Z183" s="521" t="n">
        <v>65</v>
      </c>
      <c r="AA183" s="521" t="inlineStr">
        <is>
          <t>🟡 TB</t>
        </is>
      </c>
      <c r="AB183" s="521" t="n"/>
      <c r="AC183" s="528" t="inlineStr">
        <is>
          <t>HNX</t>
        </is>
      </c>
      <c r="AD183" s="1024">
        <f>IF(A188='🎯 SÓI v42 — TRA CỨU &amp; DEEP DIV'!$C$4,"⭐ ĐANG XEM","")</f>
        <v/>
      </c>
    </row>
    <row r="184" ht="13.5" customHeight="1" s="981">
      <c r="A184" s="433" t="inlineStr">
        <is>
          <t>NTW</t>
        </is>
      </c>
      <c r="B184" s="431" t="inlineStr">
        <is>
          <t>Nhà Bè Water</t>
        </is>
      </c>
      <c r="C184" s="431" t="inlineStr">
        <is>
          <t>Cấp nước</t>
        </is>
      </c>
      <c r="D184" s="520">
        <f>IFERROR(INDEX('📡 LIVE PRICE FEED'!$D$4:$D$300,MATCH(A189,'📡 LIVE PRICE FEED'!$A$4:$A$300,0)),32500)</f>
        <v/>
      </c>
      <c r="E184" s="431" t="n">
        <v>15.5</v>
      </c>
      <c r="F184" s="431" t="n">
        <v>1.4</v>
      </c>
      <c r="G184" s="431" t="n">
        <v>9.5</v>
      </c>
      <c r="H184" s="431" t="n">
        <v>1000</v>
      </c>
      <c r="I184" s="431" t="n">
        <v>1290</v>
      </c>
      <c r="J184" s="431" t="n">
        <v>10.5</v>
      </c>
      <c r="K184" s="433" t="inlineStr">
        <is>
          <t>GIỮ</t>
        </is>
      </c>
      <c r="L184" s="1104" t="n"/>
      <c r="M184" s="521" t="n">
        <v>5000</v>
      </c>
      <c r="N184" s="521" t="n">
        <v>3000</v>
      </c>
      <c r="O184" s="521" t="n">
        <v>1500</v>
      </c>
      <c r="P184" s="521" t="n">
        <v>8000</v>
      </c>
      <c r="Q184" s="521" t="n">
        <v>1000</v>
      </c>
      <c r="R184" s="521" t="n">
        <v>12.5</v>
      </c>
      <c r="S184" s="521" t="n">
        <v>12</v>
      </c>
      <c r="T184" s="521" t="n">
        <v>0.6</v>
      </c>
      <c r="U184" s="521" t="n">
        <v>1.5</v>
      </c>
      <c r="V184" s="521" t="n">
        <v>500</v>
      </c>
      <c r="W184" s="521" t="n">
        <v>12</v>
      </c>
      <c r="X184" s="521" t="n">
        <v>3</v>
      </c>
      <c r="Y184" s="521" t="inlineStr">
        <is>
          <t>Ban lãnh đạo</t>
        </is>
      </c>
      <c r="Z184" s="521" t="n">
        <v>65</v>
      </c>
      <c r="AA184" s="521" t="inlineStr">
        <is>
          <t>🟡 TB</t>
        </is>
      </c>
      <c r="AB184" s="521" t="n"/>
      <c r="AC184" s="528" t="inlineStr">
        <is>
          <t>HNX</t>
        </is>
      </c>
      <c r="AD184" s="1024">
        <f>IF(A189='🎯 SÓI v42 — TRA CỨU &amp; DEEP DIV'!$C$4,"⭐ ĐANG XEM","")</f>
        <v/>
      </c>
    </row>
    <row r="185" ht="13.5" customHeight="1" s="981">
      <c r="A185" s="437" t="inlineStr">
        <is>
          <t>HND</t>
        </is>
      </c>
      <c r="B185" s="435" t="inlineStr">
        <is>
          <t>Hải Nguyên</t>
        </is>
      </c>
      <c r="C185" s="435" t="inlineStr">
        <is>
          <t>Điện gió</t>
        </is>
      </c>
      <c r="D185" s="523" t="n">
        <v>10700</v>
      </c>
      <c r="E185" s="435" t="n">
        <v>10.5</v>
      </c>
      <c r="F185" s="435" t="n">
        <v>1.4</v>
      </c>
      <c r="G185" s="435" t="n">
        <v>13.4</v>
      </c>
      <c r="H185" s="435" t="n">
        <v>1000</v>
      </c>
      <c r="I185" s="435" t="n">
        <v>1019</v>
      </c>
      <c r="J185" s="435" t="n">
        <v>-5.5</v>
      </c>
      <c r="K185" s="437" t="inlineStr">
        <is>
          <t>GIỮ</t>
        </is>
      </c>
      <c r="L185" s="438" t="n"/>
      <c r="M185" s="521" t="n">
        <v>5000</v>
      </c>
      <c r="N185" s="521" t="n">
        <v>3000</v>
      </c>
      <c r="O185" s="521" t="n">
        <v>1500</v>
      </c>
      <c r="P185" s="521" t="n">
        <v>8000</v>
      </c>
      <c r="Q185" s="521" t="n">
        <v>1000</v>
      </c>
      <c r="R185" s="521" t="n">
        <v>12.5</v>
      </c>
      <c r="S185" s="521" t="n">
        <v>12</v>
      </c>
      <c r="T185" s="521" t="n">
        <v>0.6</v>
      </c>
      <c r="U185" s="521" t="n">
        <v>1.5</v>
      </c>
      <c r="V185" s="521" t="n">
        <v>500</v>
      </c>
      <c r="W185" s="521" t="n">
        <v>12</v>
      </c>
      <c r="X185" s="521" t="n">
        <v>3</v>
      </c>
      <c r="Y185" s="521" t="inlineStr">
        <is>
          <t>Ban lãnh đạo</t>
        </is>
      </c>
      <c r="Z185" s="521" t="n">
        <v>65</v>
      </c>
      <c r="AA185" s="521" t="inlineStr">
        <is>
          <t>🟡 TB</t>
        </is>
      </c>
      <c r="AB185" s="521" t="n"/>
      <c r="AC185" s="528" t="inlineStr">
        <is>
          <t>HNX</t>
        </is>
      </c>
      <c r="AD185" s="1024">
        <f>IF(A190='🎯 SÓI v42 — TRA CỨU &amp; DEEP DIV'!$C$4,"⭐ ĐANG XEM","")</f>
        <v/>
      </c>
    </row>
    <row r="186" ht="13.5" customHeight="1" s="981">
      <c r="A186" s="433" t="inlineStr">
        <is>
          <t>LBM</t>
        </is>
      </c>
      <c r="B186" s="431" t="inlineStr">
        <is>
          <t>Lâm Đồng</t>
        </is>
      </c>
      <c r="C186" s="431" t="inlineStr">
        <is>
          <t>Bauxit</t>
        </is>
      </c>
      <c r="D186" s="520">
        <f>IFERROR(INDEX('📡 LIVE PRICE FEED'!$D$4:$D$300,MATCH(A191,'📡 LIVE PRICE FEED'!$A$4:$A$300,0)),8500)</f>
        <v/>
      </c>
      <c r="E186" s="431" t="n">
        <v>16.5</v>
      </c>
      <c r="F186" s="431" t="n">
        <v>1.4</v>
      </c>
      <c r="G186" s="431" t="n">
        <v>9.5</v>
      </c>
      <c r="H186" s="431" t="n">
        <v>1000</v>
      </c>
      <c r="I186" s="431" t="n">
        <v>1752</v>
      </c>
      <c r="J186" s="431" t="n">
        <v>-12.5</v>
      </c>
      <c r="K186" s="433" t="inlineStr">
        <is>
          <t>GIỮ</t>
        </is>
      </c>
      <c r="L186" s="1104" t="n"/>
      <c r="M186" s="521" t="n">
        <v>5000</v>
      </c>
      <c r="N186" s="521" t="n">
        <v>3000</v>
      </c>
      <c r="O186" s="521" t="n">
        <v>1500</v>
      </c>
      <c r="P186" s="521" t="n">
        <v>8000</v>
      </c>
      <c r="Q186" s="521" t="n">
        <v>1000</v>
      </c>
      <c r="R186" s="521" t="n">
        <v>12.5</v>
      </c>
      <c r="S186" s="521" t="n">
        <v>12</v>
      </c>
      <c r="T186" s="521" t="n">
        <v>0.6</v>
      </c>
      <c r="U186" s="521" t="n">
        <v>1.5</v>
      </c>
      <c r="V186" s="521" t="n">
        <v>500</v>
      </c>
      <c r="W186" s="521" t="n">
        <v>12</v>
      </c>
      <c r="X186" s="521" t="n">
        <v>3</v>
      </c>
      <c r="Y186" s="521" t="inlineStr">
        <is>
          <t>Ban lãnh đạo</t>
        </is>
      </c>
      <c r="Z186" s="521" t="n">
        <v>65</v>
      </c>
      <c r="AA186" s="521" t="inlineStr">
        <is>
          <t>🟡 TB</t>
        </is>
      </c>
      <c r="AB186" s="521" t="n"/>
      <c r="AC186" s="522" t="inlineStr">
        <is>
          <t>HOSE</t>
        </is>
      </c>
      <c r="AD186" s="1024">
        <f>IF(A191='🎯 SÓI v42 — TRA CỨU &amp; DEEP DIV'!$C$4,"⭐ ĐANG XEM","")</f>
        <v/>
      </c>
    </row>
    <row r="187" ht="13.5" customHeight="1" s="981">
      <c r="A187" s="437" t="inlineStr">
        <is>
          <t>SGN</t>
        </is>
      </c>
      <c r="B187" s="435" t="inlineStr">
        <is>
          <t>Sài Gòn Ground</t>
        </is>
      </c>
      <c r="C187" s="435" t="inlineStr">
        <is>
          <t>DV mặt đất</t>
        </is>
      </c>
      <c r="D187" s="523" t="n">
        <v>51900</v>
      </c>
      <c r="E187" s="435" t="n">
        <v>12.4</v>
      </c>
      <c r="F187" s="435" t="n">
        <v>2.5</v>
      </c>
      <c r="G187" s="435" t="n">
        <v>22.5</v>
      </c>
      <c r="H187" s="435" t="n">
        <v>1000</v>
      </c>
      <c r="I187" s="435" t="n">
        <v>4185</v>
      </c>
      <c r="J187" s="435" t="n">
        <v>12.5</v>
      </c>
      <c r="K187" s="437" t="inlineStr">
        <is>
          <t>GIỮ</t>
        </is>
      </c>
      <c r="L187" s="438" t="n"/>
      <c r="M187" s="521" t="n">
        <v>5000</v>
      </c>
      <c r="N187" s="521" t="n">
        <v>3000</v>
      </c>
      <c r="O187" s="521" t="n">
        <v>1500</v>
      </c>
      <c r="P187" s="521" t="n">
        <v>8000</v>
      </c>
      <c r="Q187" s="521" t="n">
        <v>1000</v>
      </c>
      <c r="R187" s="521" t="n">
        <v>12.5</v>
      </c>
      <c r="S187" s="521" t="n">
        <v>12</v>
      </c>
      <c r="T187" s="521" t="n">
        <v>0.6</v>
      </c>
      <c r="U187" s="521" t="n">
        <v>1.5</v>
      </c>
      <c r="V187" s="521" t="n">
        <v>500</v>
      </c>
      <c r="W187" s="521" t="n">
        <v>12</v>
      </c>
      <c r="X187" s="521" t="n">
        <v>3</v>
      </c>
      <c r="Y187" s="521" t="inlineStr">
        <is>
          <t>Ban lãnh đạo</t>
        </is>
      </c>
      <c r="Z187" s="521" t="n">
        <v>65</v>
      </c>
      <c r="AA187" s="521" t="inlineStr">
        <is>
          <t>🟡 TB</t>
        </is>
      </c>
      <c r="AB187" s="521" t="n"/>
      <c r="AC187" s="522" t="inlineStr">
        <is>
          <t>HOSE</t>
        </is>
      </c>
      <c r="AD187" s="1024">
        <f>IF(A192='🎯 SÓI v42 — TRA CỨU &amp; DEEP DIV'!$C$4,"⭐ ĐANG XEM","")</f>
        <v/>
      </c>
    </row>
    <row r="188" ht="13.5" customHeight="1" s="981">
      <c r="A188" s="433" t="inlineStr">
        <is>
          <t>VNG</t>
        </is>
      </c>
      <c r="B188" s="431" t="inlineStr">
        <is>
          <t>VNG</t>
        </is>
      </c>
      <c r="C188" s="431" t="inlineStr">
        <is>
          <t>CN giải trí</t>
        </is>
      </c>
      <c r="D188" s="520">
        <f>IFERROR(INDEX('📡 LIVE PRICE FEED'!$D$4:$D$300,MATCH(A193,'📡 LIVE PRICE FEED'!$A$4:$A$300,0)),358000)</f>
        <v/>
      </c>
      <c r="E188" s="431">
        <f>IFERROR(INDEX('📡 LIVE PRICE FEED'!$H$4:$H$300,MATCH(A193,'📡 LIVE PRICE FEED'!$A$4:$A$300,0)),0)</f>
        <v/>
      </c>
      <c r="F188" s="431">
        <f>IFERROR(INDEX('📡 LIVE PRICE FEED'!$I$4:$I$300,MATCH(A193,'📡 LIVE PRICE FEED'!$A$4:$A$300,0)),5.5)</f>
        <v/>
      </c>
      <c r="G188" s="431" t="n"/>
      <c r="H188" s="431" t="n">
        <v>18000</v>
      </c>
      <c r="I188" s="431" t="n"/>
      <c r="J188" s="431" t="n">
        <v>-25.5</v>
      </c>
      <c r="K188" s="527" t="inlineStr">
        <is>
          <t>TRÁNH</t>
        </is>
      </c>
      <c r="L188" s="1104" t="inlineStr">
        <is>
          <t>Lỗ liên tiếp</t>
        </is>
      </c>
      <c r="M188" s="521" t="n">
        <v>5000</v>
      </c>
      <c r="N188" s="521" t="n">
        <v>3000</v>
      </c>
      <c r="O188" s="521" t="n">
        <v>1500</v>
      </c>
      <c r="P188" s="521" t="n">
        <v>8000</v>
      </c>
      <c r="Q188" s="521" t="n">
        <v>1000</v>
      </c>
      <c r="R188" s="521" t="n">
        <v>12.5</v>
      </c>
      <c r="S188" s="521" t="n">
        <v>12</v>
      </c>
      <c r="T188" s="521" t="n">
        <v>0.6</v>
      </c>
      <c r="U188" s="521" t="n">
        <v>1.5</v>
      </c>
      <c r="V188" s="521" t="n">
        <v>500</v>
      </c>
      <c r="W188" s="521" t="n">
        <v>12</v>
      </c>
      <c r="X188" s="521" t="n">
        <v>3</v>
      </c>
      <c r="Y188" s="521" t="inlineStr">
        <is>
          <t>Ban lãnh đạo</t>
        </is>
      </c>
      <c r="Z188" s="521" t="n">
        <v>65</v>
      </c>
      <c r="AA188" s="521" t="inlineStr">
        <is>
          <t>🟡 TB</t>
        </is>
      </c>
      <c r="AB188" s="521" t="n"/>
      <c r="AC188" s="522" t="inlineStr">
        <is>
          <t>HOSE</t>
        </is>
      </c>
      <c r="AD188" s="1024">
        <f>IF(A193='🎯 SÓI v42 — TRA CỨU &amp; DEEP DIV'!$C$4,"⭐ ĐANG XEM","")</f>
        <v/>
      </c>
    </row>
    <row r="189" ht="13.5" customHeight="1" s="981">
      <c r="A189" s="437" t="inlineStr">
        <is>
          <t>HT1</t>
        </is>
      </c>
      <c r="B189" s="435" t="inlineStr">
        <is>
          <t>Xi măng Hà Tiên</t>
        </is>
      </c>
      <c r="C189" s="435" t="inlineStr">
        <is>
          <t>Xi măng</t>
        </is>
      </c>
      <c r="D189" s="523">
        <f>IFERROR(INDEX('📡 LIVE PRICE FEED'!$D$4:$D$300,MATCH(A194,'📡 LIVE PRICE FEED'!$A$4:$A$300,0)),12500)</f>
        <v/>
      </c>
      <c r="E189" s="435" t="n">
        <v>16.5</v>
      </c>
      <c r="F189" s="435" t="n">
        <v>1.1</v>
      </c>
      <c r="G189" s="435" t="n">
        <v>7.5</v>
      </c>
      <c r="H189" s="435" t="n">
        <v>1000</v>
      </c>
      <c r="I189" s="435" t="n">
        <v>836</v>
      </c>
      <c r="J189" s="435" t="n">
        <v>-15.5</v>
      </c>
      <c r="K189" s="437" t="inlineStr">
        <is>
          <t>GIỮ</t>
        </is>
      </c>
      <c r="L189" s="438" t="n"/>
      <c r="M189" s="521" t="n">
        <v>5000</v>
      </c>
      <c r="N189" s="521" t="n">
        <v>3000</v>
      </c>
      <c r="O189" s="521" t="n">
        <v>1500</v>
      </c>
      <c r="P189" s="521" t="n">
        <v>8000</v>
      </c>
      <c r="Q189" s="521" t="n">
        <v>1000</v>
      </c>
      <c r="R189" s="521" t="n">
        <v>12.5</v>
      </c>
      <c r="S189" s="521" t="n">
        <v>12</v>
      </c>
      <c r="T189" s="521" t="n">
        <v>0.6</v>
      </c>
      <c r="U189" s="521" t="n">
        <v>1.5</v>
      </c>
      <c r="V189" s="521" t="n">
        <v>500</v>
      </c>
      <c r="W189" s="521" t="n">
        <v>12</v>
      </c>
      <c r="X189" s="521" t="n">
        <v>3</v>
      </c>
      <c r="Y189" s="521" t="inlineStr">
        <is>
          <t>Ban lãnh đạo</t>
        </is>
      </c>
      <c r="Z189" s="521" t="n">
        <v>65</v>
      </c>
      <c r="AA189" s="521" t="inlineStr">
        <is>
          <t>🟡 TB</t>
        </is>
      </c>
      <c r="AB189" s="521" t="n"/>
      <c r="AC189" s="522" t="inlineStr">
        <is>
          <t>HOSE</t>
        </is>
      </c>
      <c r="AD189" s="1024">
        <f>IF(A194='🎯 SÓI v42 — TRA CỨU &amp; DEEP DIV'!$C$4,"⭐ ĐANG XEM","")</f>
        <v/>
      </c>
    </row>
    <row r="190" ht="13.5" customHeight="1" s="981">
      <c r="A190" s="433" t="inlineStr">
        <is>
          <t>BCC</t>
        </is>
      </c>
      <c r="B190" s="431" t="inlineStr">
        <is>
          <t>Bỉm Sơn</t>
        </is>
      </c>
      <c r="C190" s="431" t="inlineStr">
        <is>
          <t>Xi măng</t>
        </is>
      </c>
      <c r="D190" s="520">
        <f>IFERROR(INDEX('📡 LIVE PRICE FEED'!$D$4:$D$300,MATCH(A195,'📡 LIVE PRICE FEED'!$A$4:$A$300,0)),8500)</f>
        <v/>
      </c>
      <c r="E190" s="431" t="n">
        <v>24.5</v>
      </c>
      <c r="F190" s="431" t="n">
        <v>0.85</v>
      </c>
      <c r="G190" s="431" t="n">
        <v>3.5</v>
      </c>
      <c r="H190" s="431" t="n">
        <v>1000</v>
      </c>
      <c r="I190" s="431" t="n">
        <v>286</v>
      </c>
      <c r="J190" s="431" t="n">
        <v>-32.5</v>
      </c>
      <c r="K190" s="527" t="inlineStr">
        <is>
          <t>TRÁNH</t>
        </is>
      </c>
      <c r="L190" s="1104" t="inlineStr">
        <is>
          <t>Lỗ</t>
        </is>
      </c>
      <c r="M190" s="521" t="n">
        <v>5000</v>
      </c>
      <c r="N190" s="521" t="n">
        <v>3000</v>
      </c>
      <c r="O190" s="521" t="n">
        <v>1500</v>
      </c>
      <c r="P190" s="521" t="n">
        <v>8000</v>
      </c>
      <c r="Q190" s="521" t="n">
        <v>1000</v>
      </c>
      <c r="R190" s="521" t="n">
        <v>12.5</v>
      </c>
      <c r="S190" s="521" t="n">
        <v>12</v>
      </c>
      <c r="T190" s="521" t="n">
        <v>0.6</v>
      </c>
      <c r="U190" s="521" t="n">
        <v>1.5</v>
      </c>
      <c r="V190" s="521" t="n">
        <v>500</v>
      </c>
      <c r="W190" s="521" t="n">
        <v>12</v>
      </c>
      <c r="X190" s="521" t="n">
        <v>3</v>
      </c>
      <c r="Y190" s="521" t="inlineStr">
        <is>
          <t>Ban lãnh đạo</t>
        </is>
      </c>
      <c r="Z190" s="521" t="n">
        <v>65</v>
      </c>
      <c r="AA190" s="521" t="inlineStr">
        <is>
          <t>🟡 TB</t>
        </is>
      </c>
      <c r="AB190" s="521" t="n"/>
      <c r="AC190" s="528" t="inlineStr">
        <is>
          <t>HNX</t>
        </is>
      </c>
      <c r="AD190" s="1024">
        <f>IF(A195='🎯 SÓI v42 — TRA CỨU &amp; DEEP DIV'!$C$4,"⭐ ĐANG XEM","")</f>
        <v/>
      </c>
    </row>
    <row r="191" ht="13.5" customHeight="1" s="981">
      <c r="A191" s="437" t="inlineStr">
        <is>
          <t>HOM</t>
        </is>
      </c>
      <c r="B191" s="435" t="inlineStr">
        <is>
          <t>Hoàng Mai</t>
        </is>
      </c>
      <c r="C191" s="435" t="inlineStr">
        <is>
          <t>Xi măng</t>
        </is>
      </c>
      <c r="D191" s="523">
        <f>IFERROR(INDEX('📡 LIVE PRICE FEED'!$D$4:$D$300,MATCH(A196,'📡 LIVE PRICE FEED'!$A$4:$A$300,0)),5500)</f>
        <v/>
      </c>
      <c r="E191" s="435" t="n">
        <v>14.5</v>
      </c>
      <c r="F191" s="435" t="n">
        <v>1.1</v>
      </c>
      <c r="G191" s="435" t="n">
        <v>7.5</v>
      </c>
      <c r="H191" s="435" t="n">
        <v>1000</v>
      </c>
      <c r="I191" s="435" t="n">
        <v>290</v>
      </c>
      <c r="J191" s="435" t="n">
        <v>-45.5</v>
      </c>
      <c r="K191" s="527" t="inlineStr">
        <is>
          <t>TRÁNH</t>
        </is>
      </c>
      <c r="L191" s="438" t="n"/>
      <c r="M191" s="521" t="n">
        <v>5000</v>
      </c>
      <c r="N191" s="521" t="n">
        <v>3000</v>
      </c>
      <c r="O191" s="521" t="n">
        <v>1500</v>
      </c>
      <c r="P191" s="521" t="n">
        <v>8000</v>
      </c>
      <c r="Q191" s="521" t="n">
        <v>1000</v>
      </c>
      <c r="R191" s="521" t="n">
        <v>12.5</v>
      </c>
      <c r="S191" s="521" t="n">
        <v>12</v>
      </c>
      <c r="T191" s="521" t="n">
        <v>0.6</v>
      </c>
      <c r="U191" s="521" t="n">
        <v>1.5</v>
      </c>
      <c r="V191" s="521" t="n">
        <v>500</v>
      </c>
      <c r="W191" s="521" t="n">
        <v>12</v>
      </c>
      <c r="X191" s="521" t="n">
        <v>3</v>
      </c>
      <c r="Y191" s="521" t="inlineStr">
        <is>
          <t>Ban lãnh đạo</t>
        </is>
      </c>
      <c r="Z191" s="521" t="n">
        <v>65</v>
      </c>
      <c r="AA191" s="521" t="inlineStr">
        <is>
          <t>🟡 TB</t>
        </is>
      </c>
      <c r="AB191" s="521" t="n"/>
      <c r="AC191" s="522" t="inlineStr">
        <is>
          <t>HOSE</t>
        </is>
      </c>
      <c r="AD191" s="1024">
        <f>IF(A196='🎯 SÓI v42 — TRA CỨU &amp; DEEP DIV'!$C$4,"⭐ ĐANG XEM","")</f>
        <v/>
      </c>
    </row>
    <row r="192" ht="13.5" customHeight="1" s="981">
      <c r="A192" s="433" t="inlineStr">
        <is>
          <t>DRC</t>
        </is>
      </c>
      <c r="B192" s="431" t="inlineStr">
        <is>
          <t>Cao su Đà Nẵng</t>
        </is>
      </c>
      <c r="C192" s="431" t="inlineStr">
        <is>
          <t>Lốp xe</t>
        </is>
      </c>
      <c r="D192" s="520">
        <f>IFERROR(INDEX('📡 LIVE PRICE FEED'!$D$4:$D$300,MATCH(A197,'📡 LIVE PRICE FEED'!$A$4:$A$300,0)),38500)</f>
        <v/>
      </c>
      <c r="E192" s="431" t="n">
        <v>14.5</v>
      </c>
      <c r="F192" s="431" t="n">
        <v>1.8</v>
      </c>
      <c r="G192" s="431" t="n">
        <v>14.5</v>
      </c>
      <c r="H192" s="431" t="n">
        <v>1000</v>
      </c>
      <c r="I192" s="431" t="n">
        <v>869</v>
      </c>
      <c r="J192" s="431" t="n">
        <v>12.5</v>
      </c>
      <c r="K192" s="524" t="inlineStr">
        <is>
          <t>MUA</t>
        </is>
      </c>
      <c r="L192" s="1104" t="n"/>
      <c r="M192" s="521" t="n">
        <v>5000</v>
      </c>
      <c r="N192" s="521" t="n">
        <v>3000</v>
      </c>
      <c r="O192" s="521" t="n">
        <v>1500</v>
      </c>
      <c r="P192" s="521" t="n">
        <v>8000</v>
      </c>
      <c r="Q192" s="521" t="n">
        <v>1000</v>
      </c>
      <c r="R192" s="521" t="n">
        <v>12.5</v>
      </c>
      <c r="S192" s="521" t="n">
        <v>12</v>
      </c>
      <c r="T192" s="521" t="n">
        <v>0.6</v>
      </c>
      <c r="U192" s="521" t="n">
        <v>1.5</v>
      </c>
      <c r="V192" s="521" t="n">
        <v>500</v>
      </c>
      <c r="W192" s="521" t="n">
        <v>12</v>
      </c>
      <c r="X192" s="521" t="n">
        <v>3</v>
      </c>
      <c r="Y192" s="521" t="inlineStr">
        <is>
          <t>Ban lãnh đạo</t>
        </is>
      </c>
      <c r="Z192" s="521" t="n">
        <v>65</v>
      </c>
      <c r="AA192" s="521" t="inlineStr">
        <is>
          <t>🟡 TB</t>
        </is>
      </c>
      <c r="AB192" s="521" t="n"/>
      <c r="AC192" s="522" t="inlineStr">
        <is>
          <t>HOSE</t>
        </is>
      </c>
      <c r="AD192" s="1024">
        <f>IF(A197='🎯 SÓI v42 — TRA CỨU &amp; DEEP DIV'!$C$4,"⭐ ĐANG XEM","")</f>
        <v/>
      </c>
    </row>
    <row r="193" ht="13.5" customHeight="1" s="981">
      <c r="A193" s="437" t="inlineStr">
        <is>
          <t>CSM</t>
        </is>
      </c>
      <c r="B193" s="435" t="inlineStr">
        <is>
          <t>CSM</t>
        </is>
      </c>
      <c r="C193" s="435" t="inlineStr">
        <is>
          <t>Cao su</t>
        </is>
      </c>
      <c r="D193" s="523">
        <f>IFERROR(INDEX('📡 LIVE PRICE FEED'!$D$4:$D$300,MATCH(A198,'📡 LIVE PRICE FEED'!$A$4:$A$300,0)),8500)</f>
        <v/>
      </c>
      <c r="E193" s="435" t="n">
        <v>16.5</v>
      </c>
      <c r="F193" s="435" t="n">
        <v>1.3</v>
      </c>
      <c r="G193" s="435" t="n">
        <v>7.5</v>
      </c>
      <c r="H193" s="435" t="n">
        <v>1000</v>
      </c>
      <c r="I193" s="435" t="n">
        <v>730</v>
      </c>
      <c r="J193" s="435" t="n">
        <v>-12.5</v>
      </c>
      <c r="K193" s="437" t="inlineStr">
        <is>
          <t>GIỮ</t>
        </is>
      </c>
      <c r="L193" s="438" t="n"/>
      <c r="M193" s="521" t="n">
        <v>5000</v>
      </c>
      <c r="N193" s="521" t="n">
        <v>3000</v>
      </c>
      <c r="O193" s="521" t="n">
        <v>1500</v>
      </c>
      <c r="P193" s="521" t="n">
        <v>8000</v>
      </c>
      <c r="Q193" s="521" t="n">
        <v>1000</v>
      </c>
      <c r="R193" s="521" t="n">
        <v>12.5</v>
      </c>
      <c r="S193" s="521" t="n">
        <v>12</v>
      </c>
      <c r="T193" s="521" t="n">
        <v>0.6</v>
      </c>
      <c r="U193" s="521" t="n">
        <v>1.5</v>
      </c>
      <c r="V193" s="521" t="n">
        <v>500</v>
      </c>
      <c r="W193" s="521" t="n">
        <v>12</v>
      </c>
      <c r="X193" s="521" t="n">
        <v>3</v>
      </c>
      <c r="Y193" s="521" t="inlineStr">
        <is>
          <t>Ban lãnh đạo</t>
        </is>
      </c>
      <c r="Z193" s="521" t="n">
        <v>65</v>
      </c>
      <c r="AA193" s="521" t="inlineStr">
        <is>
          <t>🟡 TB</t>
        </is>
      </c>
      <c r="AB193" s="521" t="n"/>
      <c r="AC193" s="522" t="inlineStr">
        <is>
          <t>HOSE</t>
        </is>
      </c>
      <c r="AD193" s="1024">
        <f>IF(A198='🎯 SÓI v42 — TRA CỨU &amp; DEEP DIV'!$C$4,"⭐ ĐANG XEM","")</f>
        <v/>
      </c>
    </row>
    <row r="194" ht="13.5" customHeight="1" s="981">
      <c r="A194" s="433" t="inlineStr">
        <is>
          <t>E1VFVN30</t>
        </is>
      </c>
      <c r="B194" s="431" t="inlineStr">
        <is>
          <t>VFMVN30 ETF</t>
        </is>
      </c>
      <c r="C194" s="431" t="inlineStr">
        <is>
          <t>ETF</t>
        </is>
      </c>
      <c r="D194" s="520">
        <f>IFERROR(INDEX('📡 LIVE PRICE FEED'!$D$4:$D$300,MATCH(A199,'📡 LIVE PRICE FEED'!$A$4:$A$300,0)),23500)</f>
        <v/>
      </c>
      <c r="E194" s="431">
        <f>IFERROR(INDEX('📡 LIVE PRICE FEED'!$H$4:$H$300,MATCH(A199,'📡 LIVE PRICE FEED'!$A$4:$A$300,0)),0)</f>
        <v/>
      </c>
      <c r="F194" s="431">
        <f>IFERROR(INDEX('📡 LIVE PRICE FEED'!$I$4:$I$300,MATCH(A199,'📡 LIVE PRICE FEED'!$A$4:$A$300,0)),0)</f>
        <v/>
      </c>
      <c r="G194" s="431" t="n"/>
      <c r="H194" s="431" t="n">
        <v>8500</v>
      </c>
      <c r="I194" s="431" t="n"/>
      <c r="J194" s="431" t="n">
        <v>8.5</v>
      </c>
      <c r="K194" s="524" t="inlineStr">
        <is>
          <t>MUA</t>
        </is>
      </c>
      <c r="L194" s="1104" t="inlineStr">
        <is>
          <t>VN30 ETF</t>
        </is>
      </c>
      <c r="M194" s="521" t="n">
        <v>5000</v>
      </c>
      <c r="N194" s="521" t="n">
        <v>3000</v>
      </c>
      <c r="O194" s="521" t="n">
        <v>1500</v>
      </c>
      <c r="P194" s="521" t="n">
        <v>8000</v>
      </c>
      <c r="Q194" s="521" t="n">
        <v>1000</v>
      </c>
      <c r="R194" s="521" t="n">
        <v>12.5</v>
      </c>
      <c r="S194" s="521" t="n">
        <v>12</v>
      </c>
      <c r="T194" s="521" t="n">
        <v>0.6</v>
      </c>
      <c r="U194" s="521" t="n">
        <v>1.5</v>
      </c>
      <c r="V194" s="521" t="n">
        <v>500</v>
      </c>
      <c r="W194" s="521" t="n">
        <v>12</v>
      </c>
      <c r="X194" s="521" t="n">
        <v>3</v>
      </c>
      <c r="Y194" s="521" t="inlineStr">
        <is>
          <t>Ban lãnh đạo</t>
        </is>
      </c>
      <c r="Z194" s="521" t="n">
        <v>65</v>
      </c>
      <c r="AA194" s="521" t="inlineStr">
        <is>
          <t>🟡 TB</t>
        </is>
      </c>
      <c r="AB194" s="521" t="n"/>
      <c r="AC194" s="522" t="inlineStr">
        <is>
          <t>HOSE</t>
        </is>
      </c>
      <c r="AD194" s="1024">
        <f>IF(A199='🎯 SÓI v42 — TRA CỨU &amp; DEEP DIV'!$C$4,"⭐ ĐANG XEM","")</f>
        <v/>
      </c>
    </row>
    <row r="195" ht="13.5" customHeight="1" s="981">
      <c r="A195" s="437" t="inlineStr">
        <is>
          <t>FUEVFVND</t>
        </is>
      </c>
      <c r="B195" s="435" t="inlineStr">
        <is>
          <t>VFMVN Diamond ETF</t>
        </is>
      </c>
      <c r="C195" s="435" t="inlineStr">
        <is>
          <t>ETF</t>
        </is>
      </c>
      <c r="D195" s="523">
        <f>IFERROR(INDEX('📡 LIVE PRICE FEED'!$D$4:$D$300,MATCH(A200,'📡 LIVE PRICE FEED'!$A$4:$A$300,0)),32500)</f>
        <v/>
      </c>
      <c r="E195" s="435">
        <f>IFERROR(INDEX('📡 LIVE PRICE FEED'!$H$4:$H$300,MATCH(A200,'📡 LIVE PRICE FEED'!$A$4:$A$300,0)),0)</f>
        <v/>
      </c>
      <c r="F195" s="435">
        <f>IFERROR(INDEX('📡 LIVE PRICE FEED'!$I$4:$I$300,MATCH(A200,'📡 LIVE PRICE FEED'!$A$4:$A$300,0)),0)</f>
        <v/>
      </c>
      <c r="G195" s="435" t="n"/>
      <c r="H195" s="435" t="n">
        <v>12000</v>
      </c>
      <c r="I195" s="435" t="n"/>
      <c r="J195" s="435" t="n">
        <v>12.5</v>
      </c>
      <c r="K195" s="524" t="inlineStr">
        <is>
          <t>MUA</t>
        </is>
      </c>
      <c r="L195" s="438" t="inlineStr">
        <is>
          <t>Diamond ETF</t>
        </is>
      </c>
      <c r="M195" s="521" t="n">
        <v>5000</v>
      </c>
      <c r="N195" s="521" t="n">
        <v>3000</v>
      </c>
      <c r="O195" s="521" t="n">
        <v>1500</v>
      </c>
      <c r="P195" s="521" t="n">
        <v>8000</v>
      </c>
      <c r="Q195" s="521" t="n">
        <v>1000</v>
      </c>
      <c r="R195" s="521" t="n">
        <v>12.5</v>
      </c>
      <c r="S195" s="521" t="n">
        <v>12</v>
      </c>
      <c r="T195" s="521" t="n">
        <v>0.6</v>
      </c>
      <c r="U195" s="521" t="n">
        <v>1.5</v>
      </c>
      <c r="V195" s="521" t="n">
        <v>500</v>
      </c>
      <c r="W195" s="521" t="n">
        <v>12</v>
      </c>
      <c r="X195" s="521" t="n">
        <v>3</v>
      </c>
      <c r="Y195" s="521" t="inlineStr">
        <is>
          <t>Ban lãnh đạo</t>
        </is>
      </c>
      <c r="Z195" s="521" t="n">
        <v>65</v>
      </c>
      <c r="AA195" s="521" t="inlineStr">
        <is>
          <t>🟡 TB</t>
        </is>
      </c>
      <c r="AB195" s="521" t="n"/>
      <c r="AC195" s="522" t="inlineStr">
        <is>
          <t>HOSE</t>
        </is>
      </c>
      <c r="AD195" s="1024">
        <f>IF(A200='🎯 SÓI v42 — TRA CỨU &amp; DEEP DIV'!$C$4,"⭐ ĐANG XEM","")</f>
        <v/>
      </c>
    </row>
    <row r="196" ht="13.5" customHeight="1" s="981">
      <c r="A196" s="433" t="inlineStr">
        <is>
          <t>FUEMAV30</t>
        </is>
      </c>
      <c r="B196" s="431" t="inlineStr">
        <is>
          <t>MAFM VN30 ETF</t>
        </is>
      </c>
      <c r="C196" s="431" t="inlineStr">
        <is>
          <t>ETF</t>
        </is>
      </c>
      <c r="D196" s="520">
        <f>IFERROR(INDEX('📡 LIVE PRICE FEED'!$D$4:$D$300,MATCH(A201,'📡 LIVE PRICE FEED'!$A$4:$A$300,0)),22500)</f>
        <v/>
      </c>
      <c r="E196" s="431">
        <f>IFERROR(INDEX('📡 LIVE PRICE FEED'!$H$4:$H$300,MATCH(A201,'📡 LIVE PRICE FEED'!$A$4:$A$300,0)),0)</f>
        <v/>
      </c>
      <c r="F196" s="431">
        <f>IFERROR(INDEX('📡 LIVE PRICE FEED'!$I$4:$I$300,MATCH(A201,'📡 LIVE PRICE FEED'!$A$4:$A$300,0)),0)</f>
        <v/>
      </c>
      <c r="G196" s="431" t="n"/>
      <c r="H196" s="431" t="n">
        <v>2200</v>
      </c>
      <c r="I196" s="431" t="n"/>
      <c r="J196" s="431" t="n">
        <v>8.5</v>
      </c>
      <c r="K196" s="433" t="inlineStr">
        <is>
          <t>GIỮ</t>
        </is>
      </c>
      <c r="L196" s="1104" t="n"/>
      <c r="M196" s="521" t="n">
        <v>5000</v>
      </c>
      <c r="N196" s="521" t="n">
        <v>3000</v>
      </c>
      <c r="O196" s="521" t="n">
        <v>1500</v>
      </c>
      <c r="P196" s="521" t="n">
        <v>8000</v>
      </c>
      <c r="Q196" s="521" t="n">
        <v>1000</v>
      </c>
      <c r="R196" s="521" t="n">
        <v>12.5</v>
      </c>
      <c r="S196" s="521" t="n">
        <v>12</v>
      </c>
      <c r="T196" s="521" t="n">
        <v>0.6</v>
      </c>
      <c r="U196" s="521" t="n">
        <v>1.5</v>
      </c>
      <c r="V196" s="521" t="n">
        <v>500</v>
      </c>
      <c r="W196" s="521" t="n">
        <v>12</v>
      </c>
      <c r="X196" s="521" t="n">
        <v>3</v>
      </c>
      <c r="Y196" s="521" t="inlineStr">
        <is>
          <t>Ban lãnh đạo</t>
        </is>
      </c>
      <c r="Z196" s="521" t="n">
        <v>65</v>
      </c>
      <c r="AA196" s="521" t="inlineStr">
        <is>
          <t>🟡 TB</t>
        </is>
      </c>
      <c r="AB196" s="521" t="n"/>
      <c r="AC196" s="522" t="inlineStr">
        <is>
          <t>HOSE</t>
        </is>
      </c>
      <c r="AD196" s="1024">
        <f>IF(A201='🎯 SÓI v42 — TRA CỨU &amp; DEEP DIV'!$C$4,"⭐ ĐANG XEM","")</f>
        <v/>
      </c>
    </row>
    <row r="197" ht="13.5" customHeight="1" s="981">
      <c r="A197" s="437" t="inlineStr">
        <is>
          <t>FUESSVFL</t>
        </is>
      </c>
      <c r="B197" s="435" t="inlineStr">
        <is>
          <t>SSI VNFin Lead ETF</t>
        </is>
      </c>
      <c r="C197" s="435" t="inlineStr">
        <is>
          <t>ETF</t>
        </is>
      </c>
      <c r="D197" s="523">
        <f>IFERROR(INDEX('📡 LIVE PRICE FEED'!$D$4:$D$300,MATCH(A202,'📡 LIVE PRICE FEED'!$A$4:$A$300,0)),32500)</f>
        <v/>
      </c>
      <c r="E197" s="435">
        <f>IFERROR(INDEX('📡 LIVE PRICE FEED'!$H$4:$H$300,MATCH(A202,'📡 LIVE PRICE FEED'!$A$4:$A$300,0)),0)</f>
        <v/>
      </c>
      <c r="F197" s="435">
        <f>IFERROR(INDEX('📡 LIVE PRICE FEED'!$I$4:$I$300,MATCH(A202,'📡 LIVE PRICE FEED'!$A$4:$A$300,0)),0)</f>
        <v/>
      </c>
      <c r="G197" s="435" t="n"/>
      <c r="H197" s="435" t="n">
        <v>3500</v>
      </c>
      <c r="I197" s="435" t="n"/>
      <c r="J197" s="435" t="n">
        <v>10.5</v>
      </c>
      <c r="K197" s="524" t="inlineStr">
        <is>
          <t>MUA</t>
        </is>
      </c>
      <c r="L197" s="438" t="n"/>
      <c r="M197" s="521" t="n">
        <v>5000</v>
      </c>
      <c r="N197" s="521" t="n">
        <v>3000</v>
      </c>
      <c r="O197" s="521" t="n">
        <v>1500</v>
      </c>
      <c r="P197" s="521" t="n">
        <v>8000</v>
      </c>
      <c r="Q197" s="521" t="n">
        <v>1000</v>
      </c>
      <c r="R197" s="521" t="n">
        <v>12.5</v>
      </c>
      <c r="S197" s="521" t="n">
        <v>12</v>
      </c>
      <c r="T197" s="521" t="n">
        <v>0.6</v>
      </c>
      <c r="U197" s="521" t="n">
        <v>1.5</v>
      </c>
      <c r="V197" s="521" t="n">
        <v>500</v>
      </c>
      <c r="W197" s="521" t="n">
        <v>12</v>
      </c>
      <c r="X197" s="521" t="n">
        <v>3</v>
      </c>
      <c r="Y197" s="521" t="inlineStr">
        <is>
          <t>Ban lãnh đạo</t>
        </is>
      </c>
      <c r="Z197" s="521" t="n">
        <v>65</v>
      </c>
      <c r="AA197" s="521" t="inlineStr">
        <is>
          <t>🟡 TB</t>
        </is>
      </c>
      <c r="AB197" s="521" t="n"/>
      <c r="AC197" s="522" t="inlineStr">
        <is>
          <t>HOSE</t>
        </is>
      </c>
      <c r="AD197" s="1024">
        <f>IF(A202='🎯 SÓI v42 — TRA CỨU &amp; DEEP DIV'!$C$4,"⭐ ĐANG XEM","")</f>
        <v/>
      </c>
    </row>
    <row r="198" ht="13.5" customHeight="1" s="981">
      <c r="A198" s="529" t="inlineStr">
        <is>
          <t>SSB</t>
        </is>
      </c>
      <c r="B198" s="530" t="inlineStr">
        <is>
          <t>SeABank</t>
        </is>
      </c>
      <c r="C198" s="530" t="inlineStr">
        <is>
          <t>Ngân hàng</t>
        </is>
      </c>
      <c r="D198" s="531" t="n">
        <v>16700</v>
      </c>
      <c r="E198" s="532" t="n">
        <v>12.8</v>
      </c>
      <c r="F198" s="532" t="n">
        <v>1.6</v>
      </c>
      <c r="G198" s="532" t="n">
        <v>11.5</v>
      </c>
      <c r="H198" s="532" t="n">
        <v>8350</v>
      </c>
      <c r="I198" s="532" t="n">
        <v>1305</v>
      </c>
      <c r="J198" s="532" t="n">
        <v>8.199999999999999</v>
      </c>
      <c r="K198" s="533" t="inlineStr">
        <is>
          <t>GIỮ</t>
        </is>
      </c>
      <c r="L198" s="532" t="n"/>
      <c r="M198" s="532" t="n"/>
      <c r="N198" s="532" t="n"/>
      <c r="O198" s="532" t="n"/>
      <c r="P198" s="532" t="n"/>
      <c r="Q198" s="532" t="n"/>
      <c r="R198" s="532" t="n"/>
      <c r="S198" s="532" t="n"/>
      <c r="T198" s="532" t="n"/>
      <c r="U198" s="532" t="n"/>
      <c r="V198" s="532" t="n"/>
      <c r="W198" s="532" t="n"/>
      <c r="X198" s="532" t="n"/>
      <c r="Y198" s="532" t="n"/>
      <c r="Z198" s="532" t="n"/>
      <c r="AA198" s="532" t="n"/>
      <c r="AB198" s="532" t="n"/>
      <c r="AC198" s="522" t="inlineStr">
        <is>
          <t>HOSE</t>
        </is>
      </c>
      <c r="AD198" s="1024">
        <f>IF(A203='🎯 SÓI v42 — TRA CỨU &amp; DEEP DIV'!$C$4,"⭐ ĐANG XEM","")</f>
        <v/>
      </c>
    </row>
    <row r="199" ht="13.5" customHeight="1" s="981">
      <c r="A199" s="534" t="inlineStr">
        <is>
          <t>AGG</t>
        </is>
      </c>
      <c r="B199" s="535" t="inlineStr">
        <is>
          <t>An Gia Group</t>
        </is>
      </c>
      <c r="C199" s="535" t="inlineStr">
        <is>
          <t>BĐS</t>
        </is>
      </c>
      <c r="D199" s="536" t="n">
        <v>11950</v>
      </c>
      <c r="E199" s="537" t="n">
        <v>18.5</v>
      </c>
      <c r="F199" s="537" t="n">
        <v>1.4</v>
      </c>
      <c r="G199" s="537" t="n">
        <v>7.5</v>
      </c>
      <c r="H199" s="537" t="n">
        <v>1792</v>
      </c>
      <c r="I199" s="537" t="n">
        <v>646</v>
      </c>
      <c r="J199" s="537" t="n">
        <v>15.2</v>
      </c>
      <c r="K199" s="538" t="inlineStr">
        <is>
          <t>XEM</t>
        </is>
      </c>
      <c r="L199" s="537" t="n"/>
      <c r="M199" s="537" t="n"/>
      <c r="N199" s="537" t="n"/>
      <c r="O199" s="537" t="n"/>
      <c r="P199" s="537" t="n"/>
      <c r="Q199" s="537" t="n"/>
      <c r="R199" s="537" t="n"/>
      <c r="S199" s="537" t="n"/>
      <c r="T199" s="537" t="n"/>
      <c r="U199" s="537" t="n"/>
      <c r="V199" s="537" t="n"/>
      <c r="W199" s="537" t="n"/>
      <c r="X199" s="537" t="n"/>
      <c r="Y199" s="537" t="n"/>
      <c r="Z199" s="537" t="n"/>
      <c r="AA199" s="537" t="n"/>
      <c r="AB199" s="537" t="n"/>
      <c r="AC199" s="522" t="inlineStr">
        <is>
          <t>HOSE</t>
        </is>
      </c>
      <c r="AD199" s="1024">
        <f>IF(A204='🎯 SÓI v42 — TRA CỨU &amp; DEEP DIV'!$C$4,"⭐ ĐANG XEM","")</f>
        <v/>
      </c>
    </row>
    <row r="200" ht="13.5" customHeight="1" s="981">
      <c r="A200" s="529" t="inlineStr">
        <is>
          <t>CRE</t>
        </is>
      </c>
      <c r="B200" s="530" t="inlineStr">
        <is>
          <t>Cenland</t>
        </is>
      </c>
      <c r="C200" s="530" t="inlineStr">
        <is>
          <t>BĐS</t>
        </is>
      </c>
      <c r="D200" s="531" t="n">
        <v>7860</v>
      </c>
      <c r="E200" s="532" t="n">
        <v>24.5</v>
      </c>
      <c r="F200" s="532" t="n">
        <v>1.1</v>
      </c>
      <c r="G200" s="532" t="n">
        <v>4.5</v>
      </c>
      <c r="H200" s="532" t="n">
        <v>1000</v>
      </c>
      <c r="I200" s="532" t="n">
        <v>321</v>
      </c>
      <c r="J200" s="532" t="n">
        <v>-12.1</v>
      </c>
      <c r="K200" s="539" t="inlineStr">
        <is>
          <t>XEM</t>
        </is>
      </c>
      <c r="L200" s="532" t="n"/>
      <c r="M200" s="532" t="n"/>
      <c r="N200" s="532" t="n"/>
      <c r="O200" s="532" t="n"/>
      <c r="P200" s="532" t="n"/>
      <c r="Q200" s="532" t="n"/>
      <c r="R200" s="532" t="n"/>
      <c r="S200" s="532" t="n"/>
      <c r="T200" s="532" t="n"/>
      <c r="U200" s="532" t="n"/>
      <c r="V200" s="532" t="n"/>
      <c r="W200" s="532" t="n"/>
      <c r="X200" s="532" t="n"/>
      <c r="Y200" s="532" t="n"/>
      <c r="Z200" s="532" t="n"/>
      <c r="AA200" s="532" t="n"/>
      <c r="AB200" s="532" t="n"/>
      <c r="AC200" s="522" t="inlineStr">
        <is>
          <t>HOSE</t>
        </is>
      </c>
      <c r="AD200" s="1024">
        <f>IF(A205='🎯 SÓI v42 — TRA CỨU &amp; DEEP DIV'!$C$4,"⭐ ĐANG XEM","")</f>
        <v/>
      </c>
    </row>
    <row r="201" ht="13.5" customHeight="1" s="981">
      <c r="A201" s="534" t="inlineStr">
        <is>
          <t>HQC</t>
        </is>
      </c>
      <c r="B201" s="535" t="inlineStr">
        <is>
          <t>HQC</t>
        </is>
      </c>
      <c r="C201" s="535" t="inlineStr">
        <is>
          <t>BĐS</t>
        </is>
      </c>
      <c r="D201" s="536" t="n">
        <v>2430</v>
      </c>
      <c r="E201" s="537">
        <f>IFERROR(INDEX('📡 LIVE PRICE FEED'!$H$4:$H$300,MATCH(A206,'📡 LIVE PRICE FEED'!$A$4:$A$300,0)),25)</f>
        <v/>
      </c>
      <c r="F201" s="537" t="n">
        <v>0.65</v>
      </c>
      <c r="G201" s="537" t="n"/>
      <c r="H201" s="537" t="n">
        <v>1500</v>
      </c>
      <c r="I201" s="537" t="n"/>
      <c r="J201" s="537" t="n">
        <v>-8.5</v>
      </c>
      <c r="K201" s="538" t="inlineStr">
        <is>
          <t>XEM</t>
        </is>
      </c>
      <c r="L201" s="537" t="n"/>
      <c r="M201" s="537" t="n"/>
      <c r="N201" s="537" t="n"/>
      <c r="O201" s="537" t="n"/>
      <c r="P201" s="537" t="n"/>
      <c r="Q201" s="537" t="n"/>
      <c r="R201" s="537" t="n"/>
      <c r="S201" s="537" t="n"/>
      <c r="T201" s="537" t="n"/>
      <c r="U201" s="537" t="n"/>
      <c r="V201" s="537" t="n"/>
      <c r="W201" s="537" t="n"/>
      <c r="X201" s="537" t="n"/>
      <c r="Y201" s="537" t="n"/>
      <c r="Z201" s="537" t="n"/>
      <c r="AA201" s="537" t="n"/>
      <c r="AB201" s="537" t="n"/>
      <c r="AC201" s="522" t="inlineStr">
        <is>
          <t>HOSE</t>
        </is>
      </c>
      <c r="AD201" s="1024">
        <f>IF(A206='🎯 SÓI v42 — TRA CỨU &amp; DEEP DIV'!$C$4,"⭐ ĐANG XEM","")</f>
        <v/>
      </c>
    </row>
    <row r="202" ht="13.5" customHeight="1" s="981">
      <c r="A202" s="529" t="inlineStr">
        <is>
          <t>DIG</t>
        </is>
      </c>
      <c r="B202" s="530" t="inlineStr">
        <is>
          <t>DIC Corp</t>
        </is>
      </c>
      <c r="C202" s="530" t="inlineStr">
        <is>
          <t>BĐS</t>
        </is>
      </c>
      <c r="D202" s="531" t="n">
        <v>13500</v>
      </c>
      <c r="E202" s="532" t="n">
        <v>32.4</v>
      </c>
      <c r="F202" s="532" t="n">
        <v>1.6</v>
      </c>
      <c r="G202" s="532" t="n">
        <v>4.8</v>
      </c>
      <c r="H202" s="532" t="n">
        <v>10125</v>
      </c>
      <c r="I202" s="532" t="n">
        <v>417</v>
      </c>
      <c r="J202" s="532" t="n">
        <v>22.1</v>
      </c>
      <c r="K202" s="539" t="inlineStr">
        <is>
          <t>XEM</t>
        </is>
      </c>
      <c r="L202" s="532" t="n"/>
      <c r="M202" s="532" t="n"/>
      <c r="N202" s="532" t="n"/>
      <c r="O202" s="532" t="n"/>
      <c r="P202" s="532" t="n"/>
      <c r="Q202" s="532" t="n"/>
      <c r="R202" s="532" t="n"/>
      <c r="S202" s="532" t="n"/>
      <c r="T202" s="532" t="n"/>
      <c r="U202" s="532" t="n"/>
      <c r="V202" s="532" t="n"/>
      <c r="W202" s="532" t="n"/>
      <c r="X202" s="532" t="n"/>
      <c r="Y202" s="532" t="n"/>
      <c r="Z202" s="532" t="n"/>
      <c r="AA202" s="532" t="n"/>
      <c r="AB202" s="532" t="n"/>
      <c r="AC202" s="522" t="inlineStr">
        <is>
          <t>HOSE</t>
        </is>
      </c>
      <c r="AD202" s="1024">
        <f>IF(A207='🎯 SÓI v42 — TRA CỨU &amp; DEEP DIV'!$C$4,"⭐ ĐANG XEM","")</f>
        <v/>
      </c>
    </row>
    <row r="203" ht="13.5" customHeight="1" s="981">
      <c r="A203" s="534" t="inlineStr">
        <is>
          <t>SCR</t>
        </is>
      </c>
      <c r="B203" s="535" t="inlineStr">
        <is>
          <t>Sudico</t>
        </is>
      </c>
      <c r="C203" s="535" t="inlineStr">
        <is>
          <t>BĐS</t>
        </is>
      </c>
      <c r="D203" s="536" t="n">
        <v>5350</v>
      </c>
      <c r="E203" s="537" t="n">
        <v>28.6</v>
      </c>
      <c r="F203" s="537" t="n">
        <v>0.95</v>
      </c>
      <c r="G203" s="537" t="n">
        <v>3.4</v>
      </c>
      <c r="H203" s="537" t="n">
        <v>1000</v>
      </c>
      <c r="I203" s="537" t="n">
        <v>187</v>
      </c>
      <c r="J203" s="537" t="n">
        <v>-5.1</v>
      </c>
      <c r="K203" s="538" t="inlineStr">
        <is>
          <t>XEM</t>
        </is>
      </c>
      <c r="L203" s="537" t="n"/>
      <c r="M203" s="537" t="n"/>
      <c r="N203" s="537" t="n"/>
      <c r="O203" s="537" t="n"/>
      <c r="P203" s="537" t="n"/>
      <c r="Q203" s="537" t="n"/>
      <c r="R203" s="537" t="n"/>
      <c r="S203" s="537" t="n"/>
      <c r="T203" s="537" t="n"/>
      <c r="U203" s="537" t="n"/>
      <c r="V203" s="537" t="n"/>
      <c r="W203" s="537" t="n"/>
      <c r="X203" s="537" t="n"/>
      <c r="Y203" s="537" t="n"/>
      <c r="Z203" s="537" t="n"/>
      <c r="AA203" s="537" t="n"/>
      <c r="AB203" s="537" t="n"/>
      <c r="AC203" s="522" t="inlineStr">
        <is>
          <t>HOSE</t>
        </is>
      </c>
      <c r="AD203" s="1024">
        <f>IF(A208='🎯 SÓI v42 — TRA CỨU &amp; DEEP DIV'!$C$4,"⭐ ĐANG XEM","")</f>
        <v/>
      </c>
    </row>
    <row r="204" ht="13.5" customHeight="1" s="981">
      <c r="A204" s="529" t="inlineStr">
        <is>
          <t>NBB</t>
        </is>
      </c>
      <c r="B204" s="530" t="inlineStr">
        <is>
          <t>Nam Bay Bay</t>
        </is>
      </c>
      <c r="C204" s="530" t="inlineStr">
        <is>
          <t>BĐS</t>
        </is>
      </c>
      <c r="D204" s="531">
        <f>IFERROR(INDEX('📡 LIVE PRICE FEED'!$D$4:$D$300,MATCH(A209,'📡 LIVE PRICE FEED'!$A$4:$A$300,0)),22000)</f>
        <v/>
      </c>
      <c r="E204" s="532" t="n">
        <v>21.5</v>
      </c>
      <c r="F204" s="532" t="n">
        <v>1.3</v>
      </c>
      <c r="G204" s="532" t="n">
        <v>6.2</v>
      </c>
      <c r="H204" s="532" t="n">
        <v>1000</v>
      </c>
      <c r="I204" s="532" t="n">
        <v>819</v>
      </c>
      <c r="J204" s="532" t="n">
        <v>12.3</v>
      </c>
      <c r="K204" s="539" t="inlineStr">
        <is>
          <t>XEM</t>
        </is>
      </c>
      <c r="L204" s="532" t="n"/>
      <c r="M204" s="532" t="n"/>
      <c r="N204" s="532" t="n"/>
      <c r="O204" s="532" t="n"/>
      <c r="P204" s="532" t="n"/>
      <c r="Q204" s="532" t="n"/>
      <c r="R204" s="532" t="n"/>
      <c r="S204" s="532" t="n"/>
      <c r="T204" s="532" t="n"/>
      <c r="U204" s="532" t="n"/>
      <c r="V204" s="532" t="n"/>
      <c r="W204" s="532" t="n"/>
      <c r="X204" s="532" t="n"/>
      <c r="Y204" s="532" t="n"/>
      <c r="Z204" s="532" t="n"/>
      <c r="AA204" s="532" t="n"/>
      <c r="AB204" s="532" t="n"/>
      <c r="AC204" s="522" t="inlineStr">
        <is>
          <t>HOSE</t>
        </is>
      </c>
      <c r="AD204" s="1024">
        <f>IF(A209='🎯 SÓI v42 — TRA CỨU &amp; DEEP DIV'!$C$4,"⭐ ĐANG XEM","")</f>
        <v/>
      </c>
    </row>
    <row r="205" ht="13.5" customHeight="1" s="981">
      <c r="A205" s="534" t="inlineStr">
        <is>
          <t>TDH</t>
        </is>
      </c>
      <c r="B205" s="535" t="inlineStr">
        <is>
          <t>Thuduc House</t>
        </is>
      </c>
      <c r="C205" s="535" t="inlineStr">
        <is>
          <t>BĐS</t>
        </is>
      </c>
      <c r="D205" s="536">
        <f>IFERROR(INDEX('📡 LIVE PRICE FEED'!$D$4:$D$300,MATCH(A210,'📡 LIVE PRICE FEED'!$A$4:$A$300,0)),8200)</f>
        <v/>
      </c>
      <c r="E205" s="537">
        <f>IFERROR(INDEX('📡 LIVE PRICE FEED'!$H$4:$H$300,MATCH(A210,'📡 LIVE PRICE FEED'!$A$4:$A$300,0)),20)</f>
        <v/>
      </c>
      <c r="F205" s="537" t="n">
        <v>0.55</v>
      </c>
      <c r="G205" s="537" t="n"/>
      <c r="H205" s="537" t="n">
        <v>1500</v>
      </c>
      <c r="I205" s="537" t="n"/>
      <c r="J205" s="537" t="n">
        <v>-18.5</v>
      </c>
      <c r="K205" s="538" t="inlineStr">
        <is>
          <t>XEM</t>
        </is>
      </c>
      <c r="L205" s="537" t="n"/>
      <c r="M205" s="537" t="n"/>
      <c r="N205" s="537" t="n"/>
      <c r="O205" s="537" t="n"/>
      <c r="P205" s="537" t="n"/>
      <c r="Q205" s="537" t="n"/>
      <c r="R205" s="537" t="n"/>
      <c r="S205" s="537" t="n"/>
      <c r="T205" s="537" t="n"/>
      <c r="U205" s="537" t="n"/>
      <c r="V205" s="537" t="n"/>
      <c r="W205" s="537" t="n"/>
      <c r="X205" s="537" t="n"/>
      <c r="Y205" s="537" t="n"/>
      <c r="Z205" s="537" t="n"/>
      <c r="AA205" s="537" t="n"/>
      <c r="AB205" s="537" t="n"/>
      <c r="AC205" s="522" t="inlineStr">
        <is>
          <t>HOSE</t>
        </is>
      </c>
      <c r="AD205" s="1024">
        <f>IF(A210='🎯 SÓI v42 — TRA CỨU &amp; DEEP DIV'!$C$4,"⭐ ĐANG XEM","")</f>
        <v/>
      </c>
    </row>
    <row r="206" ht="13.5" customHeight="1" s="981">
      <c r="A206" s="529" t="inlineStr">
        <is>
          <t>VPI</t>
        </is>
      </c>
      <c r="B206" s="530" t="inlineStr">
        <is>
          <t>Vietnam Property Invest</t>
        </is>
      </c>
      <c r="C206" s="530" t="inlineStr">
        <is>
          <t>BĐS</t>
        </is>
      </c>
      <c r="D206" s="531" t="n">
        <v>59200</v>
      </c>
      <c r="E206" s="532" t="n">
        <v>18.5</v>
      </c>
      <c r="F206" s="532" t="n">
        <v>1.4</v>
      </c>
      <c r="G206" s="532" t="n">
        <v>7.5</v>
      </c>
      <c r="H206" s="532" t="n">
        <v>1000</v>
      </c>
      <c r="I206" s="532" t="n">
        <v>3200</v>
      </c>
      <c r="J206" s="532" t="n">
        <v>8.699999999999999</v>
      </c>
      <c r="K206" s="533" t="inlineStr">
        <is>
          <t>GIỮ</t>
        </is>
      </c>
      <c r="L206" s="532" t="n"/>
      <c r="M206" s="532" t="n"/>
      <c r="N206" s="532" t="n"/>
      <c r="O206" s="532" t="n"/>
      <c r="P206" s="532" t="n"/>
      <c r="Q206" s="532" t="n"/>
      <c r="R206" s="532" t="n"/>
      <c r="S206" s="532" t="n"/>
      <c r="T206" s="532" t="n"/>
      <c r="U206" s="532" t="n"/>
      <c r="V206" s="532" t="n"/>
      <c r="W206" s="532" t="n"/>
      <c r="X206" s="532" t="n"/>
      <c r="Y206" s="532" t="n"/>
      <c r="Z206" s="532" t="n"/>
      <c r="AA206" s="532" t="n"/>
      <c r="AB206" s="532" t="n"/>
      <c r="AC206" s="522" t="inlineStr">
        <is>
          <t>HOSE</t>
        </is>
      </c>
      <c r="AD206" s="1024">
        <f>IF(A211='🎯 SÓI v42 — TRA CỨU &amp; DEEP DIV'!$C$4,"⭐ ĐANG XEM","")</f>
        <v/>
      </c>
    </row>
    <row r="207" ht="13.5" customHeight="1" s="981">
      <c r="A207" s="534" t="inlineStr">
        <is>
          <t>BSI</t>
        </is>
      </c>
      <c r="B207" s="535" t="inlineStr">
        <is>
          <t>BIDV Securities</t>
        </is>
      </c>
      <c r="C207" s="535" t="inlineStr">
        <is>
          <t>Chứng khoán</t>
        </is>
      </c>
      <c r="D207" s="536" t="n">
        <v>35150</v>
      </c>
      <c r="E207" s="537" t="n">
        <v>15.4</v>
      </c>
      <c r="F207" s="537" t="n">
        <v>1.5</v>
      </c>
      <c r="G207" s="537" t="n">
        <v>10.5</v>
      </c>
      <c r="H207" s="537" t="n">
        <v>1000</v>
      </c>
      <c r="I207" s="537" t="n">
        <v>2282</v>
      </c>
      <c r="J207" s="537" t="n">
        <v>18.5</v>
      </c>
      <c r="K207" s="533" t="inlineStr">
        <is>
          <t>GIỮ</t>
        </is>
      </c>
      <c r="L207" s="537" t="n"/>
      <c r="M207" s="537" t="n"/>
      <c r="N207" s="537" t="n"/>
      <c r="O207" s="537" t="n"/>
      <c r="P207" s="537" t="n"/>
      <c r="Q207" s="537" t="n"/>
      <c r="R207" s="537" t="n"/>
      <c r="S207" s="537" t="n"/>
      <c r="T207" s="537" t="n"/>
      <c r="U207" s="537" t="n"/>
      <c r="V207" s="537" t="n"/>
      <c r="W207" s="537" t="n"/>
      <c r="X207" s="537" t="n"/>
      <c r="Y207" s="537" t="n"/>
      <c r="Z207" s="537" t="n"/>
      <c r="AA207" s="537" t="n"/>
      <c r="AB207" s="537" t="n"/>
      <c r="AC207" s="522" t="inlineStr">
        <is>
          <t>HOSE</t>
        </is>
      </c>
      <c r="AD207" s="1024">
        <f>IF(A212='🎯 SÓI v42 — TRA CỨU &amp; DEEP DIV'!$C$4,"⭐ ĐANG XEM","")</f>
        <v/>
      </c>
    </row>
    <row r="208" ht="13.5" customHeight="1" s="981">
      <c r="A208" s="529" t="inlineStr">
        <is>
          <t>APG</t>
        </is>
      </c>
      <c r="B208" s="530" t="inlineStr">
        <is>
          <t>Asia Pacific Securities</t>
        </is>
      </c>
      <c r="C208" s="530" t="inlineStr">
        <is>
          <t>Chứng khoán</t>
        </is>
      </c>
      <c r="D208" s="531">
        <f>IFERROR(INDEX('📡 LIVE PRICE FEED'!$D$4:$D$300,MATCH(A213,'📡 LIVE PRICE FEED'!$A$4:$A$300,0)),6500)</f>
        <v/>
      </c>
      <c r="E208" s="532" t="n">
        <v>24.5</v>
      </c>
      <c r="F208" s="532" t="n">
        <v>1.4</v>
      </c>
      <c r="G208" s="532" t="n">
        <v>6.2</v>
      </c>
      <c r="H208" s="532" t="n">
        <v>1000</v>
      </c>
      <c r="I208" s="532" t="n">
        <v>188</v>
      </c>
      <c r="J208" s="532" t="n">
        <v>-2.1</v>
      </c>
      <c r="K208" s="539" t="inlineStr">
        <is>
          <t>XEM</t>
        </is>
      </c>
      <c r="L208" s="532" t="n"/>
      <c r="M208" s="532" t="n"/>
      <c r="N208" s="532" t="n"/>
      <c r="O208" s="532" t="n"/>
      <c r="P208" s="532" t="n"/>
      <c r="Q208" s="532" t="n"/>
      <c r="R208" s="532" t="n"/>
      <c r="S208" s="532" t="n"/>
      <c r="T208" s="532" t="n"/>
      <c r="U208" s="532" t="n"/>
      <c r="V208" s="532" t="n"/>
      <c r="W208" s="532" t="n"/>
      <c r="X208" s="532" t="n"/>
      <c r="Y208" s="532" t="n"/>
      <c r="Z208" s="532" t="n"/>
      <c r="AA208" s="532" t="n"/>
      <c r="AB208" s="532" t="n"/>
      <c r="AC208" s="522" t="inlineStr">
        <is>
          <t>HOSE</t>
        </is>
      </c>
      <c r="AD208" s="1024">
        <f>IF(A213='🎯 SÓI v42 — TRA CỨU &amp; DEEP DIV'!$C$4,"⭐ ĐANG XEM","")</f>
        <v/>
      </c>
    </row>
    <row r="209" ht="13.5" customHeight="1" s="981">
      <c r="A209" s="534" t="inlineStr">
        <is>
          <t>VDS</t>
        </is>
      </c>
      <c r="B209" s="535" t="inlineStr">
        <is>
          <t>Rong Viet Securities</t>
        </is>
      </c>
      <c r="C209" s="535" t="inlineStr">
        <is>
          <t>Chứng khoán</t>
        </is>
      </c>
      <c r="D209" s="536" t="n">
        <v>13550</v>
      </c>
      <c r="E209" s="537" t="n">
        <v>18.5</v>
      </c>
      <c r="F209" s="537" t="n">
        <v>1.6</v>
      </c>
      <c r="G209" s="537" t="n">
        <v>9.5</v>
      </c>
      <c r="H209" s="537" t="n">
        <v>1000</v>
      </c>
      <c r="I209" s="537" t="n">
        <v>732</v>
      </c>
      <c r="J209" s="537" t="n">
        <v>14.5</v>
      </c>
      <c r="K209" s="533" t="inlineStr">
        <is>
          <t>GIỮ</t>
        </is>
      </c>
      <c r="L209" s="537" t="n"/>
      <c r="M209" s="537" t="n"/>
      <c r="N209" s="537" t="n"/>
      <c r="O209" s="537" t="n"/>
      <c r="P209" s="537" t="n"/>
      <c r="Q209" s="537" t="n"/>
      <c r="R209" s="537" t="n"/>
      <c r="S209" s="537" t="n"/>
      <c r="T209" s="537" t="n"/>
      <c r="U209" s="537" t="n"/>
      <c r="V209" s="537" t="n"/>
      <c r="W209" s="537" t="n"/>
      <c r="X209" s="537" t="n"/>
      <c r="Y209" s="537" t="n"/>
      <c r="Z209" s="537" t="n"/>
      <c r="AA209" s="537" t="n"/>
      <c r="AB209" s="537" t="n"/>
      <c r="AC209" s="522" t="inlineStr">
        <is>
          <t>HOSE</t>
        </is>
      </c>
      <c r="AD209" s="1024">
        <f>IF(A214='🎯 SÓI v42 — TRA CỨU &amp; DEEP DIV'!$C$4,"⭐ ĐANG XEM","")</f>
        <v/>
      </c>
    </row>
    <row r="210" ht="13.5" customHeight="1" s="981">
      <c r="A210" s="529" t="inlineStr">
        <is>
          <t>CNG</t>
        </is>
      </c>
      <c r="B210" s="530" t="inlineStr">
        <is>
          <t>CNG Vietnam</t>
        </is>
      </c>
      <c r="C210" s="530" t="inlineStr">
        <is>
          <t>Năng lượng</t>
        </is>
      </c>
      <c r="D210" s="531">
        <f>IFERROR(INDEX('📡 LIVE PRICE FEED'!$D$4:$D$300,MATCH(A215,'📡 LIVE PRICE FEED'!$A$4:$A$300,0)),28500)</f>
        <v/>
      </c>
      <c r="E210" s="532" t="n">
        <v>12.5</v>
      </c>
      <c r="F210" s="532" t="n">
        <v>1.5</v>
      </c>
      <c r="G210" s="532" t="n">
        <v>13.5</v>
      </c>
      <c r="H210" s="532" t="n">
        <v>1000</v>
      </c>
      <c r="I210" s="532" t="n">
        <v>1800</v>
      </c>
      <c r="J210" s="532" t="n">
        <v>5.4</v>
      </c>
      <c r="K210" s="533" t="inlineStr">
        <is>
          <t>GIỮ</t>
        </is>
      </c>
      <c r="L210" s="532" t="n"/>
      <c r="M210" s="532" t="n"/>
      <c r="N210" s="532" t="n"/>
      <c r="O210" s="532" t="n"/>
      <c r="P210" s="532" t="n"/>
      <c r="Q210" s="532" t="n"/>
      <c r="R210" s="532" t="n"/>
      <c r="S210" s="532" t="n"/>
      <c r="T210" s="532" t="n"/>
      <c r="U210" s="532" t="n"/>
      <c r="V210" s="532" t="n"/>
      <c r="W210" s="532" t="n"/>
      <c r="X210" s="532" t="n"/>
      <c r="Y210" s="532" t="n"/>
      <c r="Z210" s="532" t="n"/>
      <c r="AA210" s="532" t="n"/>
      <c r="AB210" s="532" t="n"/>
      <c r="AC210" s="522" t="inlineStr">
        <is>
          <t>HOSE</t>
        </is>
      </c>
      <c r="AD210" s="1024">
        <f>IF(A215='🎯 SÓI v42 — TRA CỨU &amp; DEEP DIV'!$C$4,"⭐ ĐANG XEM","")</f>
        <v/>
      </c>
    </row>
    <row r="211" ht="13.5" customHeight="1" s="981">
      <c r="A211" s="534" t="inlineStr">
        <is>
          <t>PLC</t>
        </is>
      </c>
      <c r="B211" s="535" t="inlineStr">
        <is>
          <t>PetroVietnam Lubricants</t>
        </is>
      </c>
      <c r="C211" s="535" t="inlineStr">
        <is>
          <t>Dầu khí</t>
        </is>
      </c>
      <c r="D211" s="536">
        <f>IFERROR(INDEX('📡 LIVE PRICE FEED'!$D$4:$D$300,MATCH(A216,'📡 LIVE PRICE FEED'!$A$4:$A$300,0)),16500)</f>
        <v/>
      </c>
      <c r="E211" s="537" t="n">
        <v>14.5</v>
      </c>
      <c r="F211" s="537" t="n">
        <v>1.3</v>
      </c>
      <c r="G211" s="537" t="n">
        <v>9.5</v>
      </c>
      <c r="H211" s="537" t="n">
        <v>1000</v>
      </c>
      <c r="I211" s="537" t="n">
        <v>1490</v>
      </c>
      <c r="J211" s="537" t="n">
        <v>4.5</v>
      </c>
      <c r="K211" s="533" t="inlineStr">
        <is>
          <t>GIỮ</t>
        </is>
      </c>
      <c r="L211" s="537" t="n"/>
      <c r="M211" s="537" t="n"/>
      <c r="N211" s="537" t="n"/>
      <c r="O211" s="537" t="n"/>
      <c r="P211" s="537" t="n"/>
      <c r="Q211" s="537" t="n"/>
      <c r="R211" s="537" t="n"/>
      <c r="S211" s="537" t="n"/>
      <c r="T211" s="537" t="n"/>
      <c r="U211" s="537" t="n"/>
      <c r="V211" s="537" t="n"/>
      <c r="W211" s="537" t="n"/>
      <c r="X211" s="537" t="n"/>
      <c r="Y211" s="537" t="n"/>
      <c r="Z211" s="537" t="n"/>
      <c r="AA211" s="537" t="n"/>
      <c r="AB211" s="537" t="n"/>
      <c r="AC211" s="522" t="inlineStr">
        <is>
          <t>HOSE</t>
        </is>
      </c>
      <c r="AD211" s="1024">
        <f>IF(A216='🎯 SÓI v42 — TRA CỨU &amp; DEEP DIV'!$C$4,"⭐ ĐANG XEM","")</f>
        <v/>
      </c>
    </row>
    <row r="212" ht="13.5" customHeight="1" s="981">
      <c r="A212" s="529" t="inlineStr">
        <is>
          <t>VCF</t>
        </is>
      </c>
      <c r="B212" s="530" t="inlineStr">
        <is>
          <t>Vinacafe Bien Hoa</t>
        </is>
      </c>
      <c r="C212" s="530" t="inlineStr">
        <is>
          <t>Thực phẩm</t>
        </is>
      </c>
      <c r="D212" s="531">
        <f>IFERROR(INDEX('📡 LIVE PRICE FEED'!$D$4:$D$300,MATCH(A217,'📡 LIVE PRICE FEED'!$A$4:$A$300,0)),195000)</f>
        <v/>
      </c>
      <c r="E212" s="532" t="n">
        <v>14.5</v>
      </c>
      <c r="F212" s="532" t="n">
        <v>2.1</v>
      </c>
      <c r="G212" s="532" t="n">
        <v>16.5</v>
      </c>
      <c r="H212" s="532" t="n">
        <v>5921</v>
      </c>
      <c r="I212" s="532" t="n">
        <v>20207</v>
      </c>
      <c r="J212" s="532" t="n">
        <v>2.5</v>
      </c>
      <c r="K212" s="533" t="inlineStr">
        <is>
          <t>GIỮ</t>
        </is>
      </c>
      <c r="L212" s="532" t="n"/>
      <c r="M212" s="532" t="n"/>
      <c r="N212" s="532" t="n"/>
      <c r="O212" s="532" t="n"/>
      <c r="P212" s="532" t="n"/>
      <c r="Q212" s="532" t="n"/>
      <c r="R212" s="532" t="n"/>
      <c r="S212" s="532" t="n"/>
      <c r="T212" s="532" t="n"/>
      <c r="U212" s="532" t="n"/>
      <c r="V212" s="532" t="n"/>
      <c r="W212" s="532" t="n"/>
      <c r="X212" s="532" t="n"/>
      <c r="Y212" s="532" t="n"/>
      <c r="Z212" s="532" t="n"/>
      <c r="AA212" s="532" t="n"/>
      <c r="AB212" s="532" t="n"/>
      <c r="AC212" s="522" t="inlineStr">
        <is>
          <t>HOSE</t>
        </is>
      </c>
      <c r="AD212" s="1024">
        <f>IF(A217='🎯 SÓI v42 — TRA CỨU &amp; DEEP DIV'!$C$4,"⭐ ĐANG XEM","")</f>
        <v/>
      </c>
    </row>
    <row r="213" ht="13.5" customHeight="1" s="981">
      <c r="A213" s="534" t="inlineStr">
        <is>
          <t>SAF</t>
        </is>
      </c>
      <c r="B213" s="535" t="inlineStr">
        <is>
          <t>Saigon Beer-Alcohol</t>
        </is>
      </c>
      <c r="C213" s="535" t="inlineStr">
        <is>
          <t>Thực phẩm</t>
        </is>
      </c>
      <c r="D213" s="536">
        <f>IFERROR(INDEX('📡 LIVE PRICE FEED'!$D$4:$D$300,MATCH(A218,'📡 LIVE PRICE FEED'!$A$4:$A$300,0)),82000)</f>
        <v/>
      </c>
      <c r="E213" s="537" t="n">
        <v>16.5</v>
      </c>
      <c r="F213" s="537" t="n">
        <v>1.4</v>
      </c>
      <c r="G213" s="537" t="n">
        <v>10.5</v>
      </c>
      <c r="H213" s="537" t="n">
        <v>1000</v>
      </c>
      <c r="I213" s="537" t="n">
        <v>3455</v>
      </c>
      <c r="J213" s="537" t="n">
        <v>1.2</v>
      </c>
      <c r="K213" s="533" t="inlineStr">
        <is>
          <t>GIỮ</t>
        </is>
      </c>
      <c r="L213" s="537" t="n"/>
      <c r="M213" s="537" t="n"/>
      <c r="N213" s="537" t="n"/>
      <c r="O213" s="537" t="n"/>
      <c r="P213" s="537" t="n"/>
      <c r="Q213" s="537" t="n"/>
      <c r="R213" s="537" t="n"/>
      <c r="S213" s="537" t="n"/>
      <c r="T213" s="537" t="n"/>
      <c r="U213" s="537" t="n"/>
      <c r="V213" s="537" t="n"/>
      <c r="W213" s="537" t="n"/>
      <c r="X213" s="537" t="n"/>
      <c r="Y213" s="537" t="n"/>
      <c r="Z213" s="537" t="n"/>
      <c r="AA213" s="537" t="n"/>
      <c r="AB213" s="537" t="n"/>
      <c r="AC213" s="522" t="inlineStr">
        <is>
          <t>HOSE</t>
        </is>
      </c>
      <c r="AD213" s="1024">
        <f>IF(A218='🎯 SÓI v42 — TRA CỨU &amp; DEEP DIV'!$C$4,"⭐ ĐANG XEM","")</f>
        <v/>
      </c>
    </row>
    <row r="214" ht="13.5" customHeight="1" s="981">
      <c r="A214" s="529" t="inlineStr">
        <is>
          <t>TAC</t>
        </is>
      </c>
      <c r="B214" s="530" t="inlineStr">
        <is>
          <t>Tuong An</t>
        </is>
      </c>
      <c r="C214" s="530" t="inlineStr">
        <is>
          <t>Thực phẩm</t>
        </is>
      </c>
      <c r="D214" s="531">
        <f>IFERROR(INDEX('📡 LIVE PRICE FEED'!$D$4:$D$300,MATCH(A219,'📡 LIVE PRICE FEED'!$A$4:$A$300,0)),58000)</f>
        <v/>
      </c>
      <c r="E214" s="532" t="n">
        <v>14.5</v>
      </c>
      <c r="F214" s="532" t="n">
        <v>1.4</v>
      </c>
      <c r="G214" s="532" t="n">
        <v>10.5</v>
      </c>
      <c r="H214" s="532" t="n">
        <v>3800</v>
      </c>
      <c r="I214" s="532" t="n">
        <v>2480</v>
      </c>
      <c r="J214" s="532" t="n">
        <v>5.8</v>
      </c>
      <c r="K214" s="533" t="inlineStr">
        <is>
          <t>GIỮ</t>
        </is>
      </c>
      <c r="L214" s="532" t="n"/>
      <c r="M214" s="532" t="n"/>
      <c r="N214" s="532" t="n"/>
      <c r="O214" s="532" t="n"/>
      <c r="P214" s="532" t="n"/>
      <c r="Q214" s="532" t="n"/>
      <c r="R214" s="532" t="n"/>
      <c r="S214" s="532" t="n"/>
      <c r="T214" s="532" t="n"/>
      <c r="U214" s="532" t="n"/>
      <c r="V214" s="532" t="n"/>
      <c r="W214" s="532" t="n"/>
      <c r="X214" s="532" t="n"/>
      <c r="Y214" s="532" t="n"/>
      <c r="Z214" s="532" t="n"/>
      <c r="AA214" s="532" t="n"/>
      <c r="AB214" s="532" t="n"/>
      <c r="AC214" s="522" t="inlineStr">
        <is>
          <t>HOSE</t>
        </is>
      </c>
      <c r="AD214" s="1024">
        <f>IF(A219='🎯 SÓI v42 — TRA CỨU &amp; DEEP DIV'!$C$4,"⭐ ĐANG XEM","")</f>
        <v/>
      </c>
    </row>
    <row r="215" ht="13.5" customHeight="1" s="981">
      <c r="A215" s="534" t="inlineStr">
        <is>
          <t>NSC</t>
        </is>
      </c>
      <c r="B215" s="535" t="inlineStr">
        <is>
          <t>Nam Son Seeds</t>
        </is>
      </c>
      <c r="C215" s="535" t="inlineStr">
        <is>
          <t>Thực phẩm</t>
        </is>
      </c>
      <c r="D215" s="536">
        <f>IFERROR(INDEX('📡 LIVE PRICE FEED'!$D$4:$D$300,MATCH(A220,'📡 LIVE PRICE FEED'!$A$4:$A$300,0)),145000)</f>
        <v/>
      </c>
      <c r="E215" s="537" t="n">
        <v>12.5</v>
      </c>
      <c r="F215" s="537" t="n">
        <v>2.1</v>
      </c>
      <c r="G215" s="537" t="n">
        <v>18.5</v>
      </c>
      <c r="H215" s="537" t="n">
        <v>1000</v>
      </c>
      <c r="I215" s="537" t="n">
        <v>6040</v>
      </c>
      <c r="J215" s="537" t="n">
        <v>8.5</v>
      </c>
      <c r="K215" s="533" t="inlineStr">
        <is>
          <t>GIỮ</t>
        </is>
      </c>
      <c r="L215" s="537" t="n"/>
      <c r="M215" s="537" t="n"/>
      <c r="N215" s="537" t="n"/>
      <c r="O215" s="537" t="n"/>
      <c r="P215" s="537" t="n"/>
      <c r="Q215" s="537" t="n"/>
      <c r="R215" s="537" t="n"/>
      <c r="S215" s="537" t="n"/>
      <c r="T215" s="537" t="n"/>
      <c r="U215" s="537" t="n"/>
      <c r="V215" s="537" t="n"/>
      <c r="W215" s="537" t="n"/>
      <c r="X215" s="537" t="n"/>
      <c r="Y215" s="537" t="n"/>
      <c r="Z215" s="537" t="n"/>
      <c r="AA215" s="537" t="n"/>
      <c r="AB215" s="537" t="n"/>
      <c r="AC215" s="522" t="inlineStr">
        <is>
          <t>HOSE</t>
        </is>
      </c>
      <c r="AD215" s="1024">
        <f>IF(A220='🎯 SÓI v42 — TRA CỨU &amp; DEEP DIV'!$C$4,"⭐ ĐANG XEM","")</f>
        <v/>
      </c>
    </row>
    <row r="216" ht="13.5" customHeight="1" s="981">
      <c r="A216" s="529" t="inlineStr">
        <is>
          <t>VTO</t>
        </is>
      </c>
      <c r="B216" s="530" t="inlineStr">
        <is>
          <t>Vitranschart</t>
        </is>
      </c>
      <c r="C216" s="530" t="inlineStr">
        <is>
          <t>Vận tải</t>
        </is>
      </c>
      <c r="D216" s="531">
        <f>IFERROR(INDEX('📡 LIVE PRICE FEED'!$D$4:$D$300,MATCH(A221,'📡 LIVE PRICE FEED'!$A$4:$A$300,0)),11500)</f>
        <v/>
      </c>
      <c r="E216" s="532" t="n">
        <v>14.5</v>
      </c>
      <c r="F216" s="532" t="n">
        <v>1.1</v>
      </c>
      <c r="G216" s="532" t="n">
        <v>8.5</v>
      </c>
      <c r="H216" s="532" t="n">
        <v>1000</v>
      </c>
      <c r="I216" s="532" t="n">
        <v>834</v>
      </c>
      <c r="J216" s="532" t="n">
        <v>2.1</v>
      </c>
      <c r="K216" s="539" t="inlineStr">
        <is>
          <t>XEM</t>
        </is>
      </c>
      <c r="L216" s="532" t="n"/>
      <c r="M216" s="532" t="n"/>
      <c r="N216" s="532" t="n"/>
      <c r="O216" s="532" t="n"/>
      <c r="P216" s="532" t="n"/>
      <c r="Q216" s="532" t="n"/>
      <c r="R216" s="532" t="n"/>
      <c r="S216" s="532" t="n"/>
      <c r="T216" s="532" t="n"/>
      <c r="U216" s="532" t="n"/>
      <c r="V216" s="532" t="n"/>
      <c r="W216" s="532" t="n"/>
      <c r="X216" s="532" t="n"/>
      <c r="Y216" s="532" t="n"/>
      <c r="Z216" s="532" t="n"/>
      <c r="AA216" s="532" t="n"/>
      <c r="AB216" s="532" t="n"/>
      <c r="AC216" s="522" t="inlineStr">
        <is>
          <t>HOSE</t>
        </is>
      </c>
      <c r="AD216" s="1024">
        <f>IF(A221='🎯 SÓI v42 — TRA CỨU &amp; DEEP DIV'!$C$4,"⭐ ĐANG XEM","")</f>
        <v/>
      </c>
    </row>
    <row r="217" ht="13.5" customHeight="1" s="981">
      <c r="A217" s="534" t="inlineStr">
        <is>
          <t>TMS</t>
        </is>
      </c>
      <c r="B217" s="535" t="inlineStr">
        <is>
          <t>Transimex</t>
        </is>
      </c>
      <c r="C217" s="535" t="inlineStr">
        <is>
          <t>Logistics</t>
        </is>
      </c>
      <c r="D217" s="536">
        <f>IFERROR(INDEX('📡 LIVE PRICE FEED'!$D$4:$D$300,MATCH(A222,'📡 LIVE PRICE FEED'!$A$4:$A$300,0)),55000)</f>
        <v/>
      </c>
      <c r="E217" s="537" t="n">
        <v>18.4</v>
      </c>
      <c r="F217" s="537" t="n">
        <v>1.3</v>
      </c>
      <c r="G217" s="537" t="n">
        <v>7.5</v>
      </c>
      <c r="H217" s="537" t="n">
        <v>1000</v>
      </c>
      <c r="I217" s="537" t="n">
        <v>2092</v>
      </c>
      <c r="J217" s="537" t="n">
        <v>8.5</v>
      </c>
      <c r="K217" s="533" t="inlineStr">
        <is>
          <t>GIỮ</t>
        </is>
      </c>
      <c r="L217" s="537" t="n"/>
      <c r="M217" s="537" t="n"/>
      <c r="N217" s="537" t="n"/>
      <c r="O217" s="537" t="n"/>
      <c r="P217" s="537" t="n"/>
      <c r="Q217" s="537" t="n"/>
      <c r="R217" s="537" t="n"/>
      <c r="S217" s="537" t="n"/>
      <c r="T217" s="537" t="n"/>
      <c r="U217" s="537" t="n"/>
      <c r="V217" s="537" t="n"/>
      <c r="W217" s="537" t="n"/>
      <c r="X217" s="537" t="n"/>
      <c r="Y217" s="537" t="n"/>
      <c r="Z217" s="537" t="n"/>
      <c r="AA217" s="537" t="n"/>
      <c r="AB217" s="537" t="n"/>
      <c r="AC217" s="522" t="inlineStr">
        <is>
          <t>HOSE</t>
        </is>
      </c>
      <c r="AD217" s="1024">
        <f>IF(A222='🎯 SÓI v42 — TRA CỨU &amp; DEEP DIV'!$C$4,"⭐ ĐANG XEM","")</f>
        <v/>
      </c>
    </row>
    <row r="218" ht="13.5" customHeight="1" s="981">
      <c r="A218" s="529" t="inlineStr">
        <is>
          <t>VGI</t>
        </is>
      </c>
      <c r="B218" s="530" t="inlineStr">
        <is>
          <t>Viettel Global</t>
        </is>
      </c>
      <c r="C218" s="530" t="inlineStr">
        <is>
          <t>CNTT</t>
        </is>
      </c>
      <c r="D218" s="531" t="n">
        <v>94200</v>
      </c>
      <c r="E218" s="532" t="n">
        <v>28.5</v>
      </c>
      <c r="F218" s="532" t="n">
        <v>5.4</v>
      </c>
      <c r="G218" s="532" t="n">
        <v>19.5</v>
      </c>
      <c r="H218" s="532" t="n">
        <v>1000</v>
      </c>
      <c r="I218" s="532" t="n">
        <v>3305</v>
      </c>
      <c r="J218" s="532" t="n">
        <v>12.5</v>
      </c>
      <c r="K218" s="539" t="inlineStr">
        <is>
          <t>XEM</t>
        </is>
      </c>
      <c r="L218" s="532" t="n"/>
      <c r="M218" s="532" t="n"/>
      <c r="N218" s="532" t="n"/>
      <c r="O218" s="532" t="n"/>
      <c r="P218" s="532" t="n"/>
      <c r="Q218" s="532" t="n"/>
      <c r="R218" s="532" t="n"/>
      <c r="S218" s="532" t="n"/>
      <c r="T218" s="532" t="n"/>
      <c r="U218" s="532" t="n"/>
      <c r="V218" s="532" t="n"/>
      <c r="W218" s="532" t="n"/>
      <c r="X218" s="532" t="n"/>
      <c r="Y218" s="532" t="n"/>
      <c r="Z218" s="532" t="n"/>
      <c r="AA218" s="532" t="n"/>
      <c r="AB218" s="532" t="n"/>
      <c r="AC218" s="522" t="inlineStr">
        <is>
          <t>HOSE</t>
        </is>
      </c>
      <c r="AD218" s="1024">
        <f>IF(A223='🎯 SÓI v42 — TRA CỨU &amp; DEEP DIV'!$C$4,"⭐ ĐANG XEM","")</f>
        <v/>
      </c>
    </row>
    <row r="219" ht="13.5" customHeight="1" s="981">
      <c r="A219" s="534" t="inlineStr">
        <is>
          <t>PMC</t>
        </is>
      </c>
      <c r="B219" s="535" t="inlineStr">
        <is>
          <t>Pharmaceutical Midland</t>
        </is>
      </c>
      <c r="C219" s="535" t="inlineStr">
        <is>
          <t>Y tế</t>
        </is>
      </c>
      <c r="D219" s="536">
        <f>IFERROR(INDEX('📡 LIVE PRICE FEED'!$D$4:$D$300,MATCH(A224,'📡 LIVE PRICE FEED'!$A$4:$A$300,0)),58000)</f>
        <v/>
      </c>
      <c r="E219" s="537" t="n">
        <v>16.5</v>
      </c>
      <c r="F219" s="537" t="n">
        <v>1.8</v>
      </c>
      <c r="G219" s="537" t="n">
        <v>10.5</v>
      </c>
      <c r="H219" s="537" t="n">
        <v>1153</v>
      </c>
      <c r="I219" s="537" t="n">
        <v>8358</v>
      </c>
      <c r="J219" s="537" t="n">
        <v>6.8</v>
      </c>
      <c r="K219" s="533" t="inlineStr">
        <is>
          <t>GIỮ</t>
        </is>
      </c>
      <c r="L219" s="537" t="n"/>
      <c r="M219" s="537" t="n"/>
      <c r="N219" s="537" t="n"/>
      <c r="O219" s="537" t="n"/>
      <c r="P219" s="537" t="n"/>
      <c r="Q219" s="537" t="n"/>
      <c r="R219" s="537" t="n"/>
      <c r="S219" s="537" t="n"/>
      <c r="T219" s="537" t="n"/>
      <c r="U219" s="537" t="n"/>
      <c r="V219" s="537" t="n"/>
      <c r="W219" s="537" t="n"/>
      <c r="X219" s="537" t="n"/>
      <c r="Y219" s="537" t="n"/>
      <c r="Z219" s="537" t="n"/>
      <c r="AA219" s="537" t="n"/>
      <c r="AB219" s="537" t="n"/>
      <c r="AC219" s="522" t="inlineStr">
        <is>
          <t>HOSE</t>
        </is>
      </c>
      <c r="AD219" s="1024">
        <f>IF(A224='🎯 SÓI v42 — TRA CỨU &amp; DEEP DIV'!$C$4,"⭐ ĐANG XEM","")</f>
        <v/>
      </c>
    </row>
    <row r="220" ht="13.5" customHeight="1" s="981">
      <c r="A220" s="529" t="inlineStr">
        <is>
          <t>VMD</t>
        </is>
      </c>
      <c r="B220" s="530" t="inlineStr">
        <is>
          <t>Medical Pharma</t>
        </is>
      </c>
      <c r="C220" s="530" t="inlineStr">
        <is>
          <t>Y tế</t>
        </is>
      </c>
      <c r="D220" s="531">
        <f>IFERROR(INDEX('📡 LIVE PRICE FEED'!$D$4:$D$300,MATCH(A225,'📡 LIVE PRICE FEED'!$A$4:$A$300,0)),38500)</f>
        <v/>
      </c>
      <c r="E220" s="532">
        <f>IFERROR(INDEX('📡 LIVE PRICE FEED'!$H$4:$H$300,MATCH(A225,'📡 LIVE PRICE FEED'!$A$4:$A$300,0)),12.8)</f>
        <v/>
      </c>
      <c r="F220" s="532">
        <f>IFERROR(INDEX('📡 LIVE PRICE FEED'!$I$4:$I$300,MATCH(A225,'📡 LIVE PRICE FEED'!$A$4:$A$300,0)),2.2)</f>
        <v/>
      </c>
      <c r="G220" s="532" t="n"/>
      <c r="H220" s="532" t="n">
        <v>3200</v>
      </c>
      <c r="I220" s="532" t="n"/>
      <c r="J220" s="532" t="n">
        <v>8.199999999999999</v>
      </c>
      <c r="K220" s="533" t="inlineStr">
        <is>
          <t>GIỮ</t>
        </is>
      </c>
      <c r="L220" s="532" t="n"/>
      <c r="M220" s="532" t="n"/>
      <c r="N220" s="532" t="n"/>
      <c r="O220" s="532" t="n"/>
      <c r="P220" s="532" t="n"/>
      <c r="Q220" s="532" t="n"/>
      <c r="R220" s="532" t="n"/>
      <c r="S220" s="532" t="n"/>
      <c r="T220" s="532" t="n"/>
      <c r="U220" s="532" t="n"/>
      <c r="V220" s="532" t="n"/>
      <c r="W220" s="532" t="n"/>
      <c r="X220" s="532" t="n"/>
      <c r="Y220" s="532" t="n"/>
      <c r="Z220" s="532" t="n"/>
      <c r="AA220" s="532" t="n"/>
      <c r="AB220" s="532" t="n"/>
      <c r="AC220" s="522" t="inlineStr">
        <is>
          <t>HOSE</t>
        </is>
      </c>
      <c r="AD220" s="1024">
        <f>IF(A225='🎯 SÓI v42 — TRA CỨU &amp; DEEP DIV'!$C$4,"⭐ ĐANG XEM","")</f>
        <v/>
      </c>
    </row>
    <row r="221" ht="13.5" customHeight="1" s="981">
      <c r="A221" s="534" t="inlineStr">
        <is>
          <t>ACL</t>
        </is>
      </c>
      <c r="B221" s="535" t="inlineStr">
        <is>
          <t>Cuu Long Fish</t>
        </is>
      </c>
      <c r="C221" s="535" t="inlineStr">
        <is>
          <t>Thủy sản</t>
        </is>
      </c>
      <c r="D221" s="536" t="n">
        <v>13250</v>
      </c>
      <c r="E221" s="537" t="n">
        <v>11.4</v>
      </c>
      <c r="F221" s="537" t="n">
        <v>0.95</v>
      </c>
      <c r="G221" s="537" t="n">
        <v>9.5</v>
      </c>
      <c r="H221" s="537" t="n">
        <v>1000</v>
      </c>
      <c r="I221" s="537" t="n">
        <v>1162</v>
      </c>
      <c r="J221" s="537" t="n">
        <v>2.5</v>
      </c>
      <c r="K221" s="538" t="inlineStr">
        <is>
          <t>XEM</t>
        </is>
      </c>
      <c r="L221" s="537" t="n"/>
      <c r="M221" s="537" t="n"/>
      <c r="N221" s="537" t="n"/>
      <c r="O221" s="537" t="n"/>
      <c r="P221" s="537" t="n"/>
      <c r="Q221" s="537" t="n"/>
      <c r="R221" s="537" t="n"/>
      <c r="S221" s="537" t="n"/>
      <c r="T221" s="537" t="n"/>
      <c r="U221" s="537" t="n"/>
      <c r="V221" s="537" t="n"/>
      <c r="W221" s="537" t="n"/>
      <c r="X221" s="537" t="n"/>
      <c r="Y221" s="537" t="n"/>
      <c r="Z221" s="537" t="n"/>
      <c r="AA221" s="537" t="n"/>
      <c r="AB221" s="537" t="n"/>
      <c r="AC221" s="522" t="inlineStr">
        <is>
          <t>HOSE</t>
        </is>
      </c>
      <c r="AD221" s="1024">
        <f>IF(A226='🎯 SÓI v42 — TRA CỨU &amp; DEEP DIV'!$C$4,"⭐ ĐANG XEM","")</f>
        <v/>
      </c>
    </row>
    <row r="222" ht="13.5" customHeight="1" s="981">
      <c r="A222" s="529" t="inlineStr">
        <is>
          <t>PVC</t>
        </is>
      </c>
      <c r="B222" s="530" t="inlineStr">
        <is>
          <t>PetroVietnam Coating</t>
        </is>
      </c>
      <c r="C222" s="530" t="inlineStr">
        <is>
          <t>Dầu khí</t>
        </is>
      </c>
      <c r="D222" s="531">
        <f>IFERROR(INDEX('📡 LIVE PRICE FEED'!$D$4:$D$300,MATCH(A227,'📡 LIVE PRICE FEED'!$A$4:$A$300,0)),8500)</f>
        <v/>
      </c>
      <c r="E222" s="532" t="n">
        <v>16.5</v>
      </c>
      <c r="F222" s="532" t="n">
        <v>1.1</v>
      </c>
      <c r="G222" s="532" t="n">
        <v>7.5</v>
      </c>
      <c r="H222" s="532" t="n">
        <v>1000</v>
      </c>
      <c r="I222" s="532" t="n">
        <v>891</v>
      </c>
      <c r="J222" s="532" t="n">
        <v>-2.5</v>
      </c>
      <c r="K222" s="539" t="inlineStr">
        <is>
          <t>XEM</t>
        </is>
      </c>
      <c r="L222" s="532" t="n"/>
      <c r="M222" s="532" t="n"/>
      <c r="N222" s="532" t="n"/>
      <c r="O222" s="532" t="n"/>
      <c r="P222" s="532" t="n"/>
      <c r="Q222" s="532" t="n"/>
      <c r="R222" s="532" t="n"/>
      <c r="S222" s="532" t="n"/>
      <c r="T222" s="532" t="n"/>
      <c r="U222" s="532" t="n"/>
      <c r="V222" s="532" t="n"/>
      <c r="W222" s="532" t="n"/>
      <c r="X222" s="532" t="n"/>
      <c r="Y222" s="532" t="n"/>
      <c r="Z222" s="532" t="n"/>
      <c r="AA222" s="532" t="n"/>
      <c r="AB222" s="532" t="n"/>
      <c r="AC222" s="528" t="inlineStr">
        <is>
          <t>HNX</t>
        </is>
      </c>
      <c r="AD222" s="1024">
        <f>IF(A227='🎯 SÓI v42 — TRA CỨU &amp; DEEP DIV'!$C$4,"⭐ ĐANG XEM","")</f>
        <v/>
      </c>
    </row>
    <row r="223" ht="13.5" customHeight="1" s="981">
      <c r="A223" s="534" t="inlineStr">
        <is>
          <t>HUT</t>
        </is>
      </c>
      <c r="B223" s="535" t="inlineStr">
        <is>
          <t>Tasco</t>
        </is>
      </c>
      <c r="C223" s="535" t="inlineStr">
        <is>
          <t>Xây dựng</t>
        </is>
      </c>
      <c r="D223" s="536" t="n">
        <v>15600</v>
      </c>
      <c r="E223" s="537" t="n">
        <v>18.7</v>
      </c>
      <c r="F223" s="537" t="n">
        <v>0.95</v>
      </c>
      <c r="G223" s="537" t="n">
        <v>5.2</v>
      </c>
      <c r="H223" s="537" t="n">
        <v>1000</v>
      </c>
      <c r="I223" s="537" t="n">
        <v>834</v>
      </c>
      <c r="J223" s="537" t="n">
        <v>-1.5</v>
      </c>
      <c r="K223" s="538" t="inlineStr">
        <is>
          <t>XEM</t>
        </is>
      </c>
      <c r="L223" s="537" t="n"/>
      <c r="M223" s="537" t="n"/>
      <c r="N223" s="537" t="n"/>
      <c r="O223" s="537" t="n"/>
      <c r="P223" s="537" t="n"/>
      <c r="Q223" s="537" t="n"/>
      <c r="R223" s="537" t="n"/>
      <c r="S223" s="537" t="n"/>
      <c r="T223" s="537" t="n"/>
      <c r="U223" s="537" t="n"/>
      <c r="V223" s="537" t="n"/>
      <c r="W223" s="537" t="n"/>
      <c r="X223" s="537" t="n"/>
      <c r="Y223" s="537" t="n"/>
      <c r="Z223" s="537" t="n"/>
      <c r="AA223" s="537" t="n"/>
      <c r="AB223" s="537" t="n"/>
      <c r="AC223" s="528" t="inlineStr">
        <is>
          <t>HNX</t>
        </is>
      </c>
      <c r="AD223" s="1024">
        <f>IF(A228='🎯 SÓI v42 — TRA CỨU &amp; DEEP DIV'!$C$4,"⭐ ĐANG XEM","")</f>
        <v/>
      </c>
    </row>
    <row r="224" ht="13.5" customHeight="1" s="981">
      <c r="A224" s="529" t="inlineStr">
        <is>
          <t>HBS</t>
        </is>
      </c>
      <c r="B224" s="530" t="inlineStr">
        <is>
          <t>Hai Binh Securities</t>
        </is>
      </c>
      <c r="C224" s="530" t="inlineStr">
        <is>
          <t>Chứng khoán</t>
        </is>
      </c>
      <c r="D224" s="531">
        <f>IFERROR(INDEX('📡 LIVE PRICE FEED'!$D$4:$D$300,MATCH(A229,'📡 LIVE PRICE FEED'!$A$4:$A$300,0)),9500)</f>
        <v/>
      </c>
      <c r="E224" s="532">
        <f>IFERROR(INDEX('📡 LIVE PRICE FEED'!$H$4:$H$300,MATCH(A229,'📡 LIVE PRICE FEED'!$A$4:$A$300,0)),8.8)</f>
        <v/>
      </c>
      <c r="F224" s="532">
        <f>IFERROR(INDEX('📡 LIVE PRICE FEED'!$I$4:$I$300,MATCH(A229,'📡 LIVE PRICE FEED'!$A$4:$A$300,0)),1)</f>
        <v/>
      </c>
      <c r="G224" s="532" t="n"/>
      <c r="H224" s="532" t="n">
        <v>1500</v>
      </c>
      <c r="I224" s="532" t="n"/>
      <c r="J224" s="532" t="n">
        <v>3.5</v>
      </c>
      <c r="K224" s="539" t="inlineStr">
        <is>
          <t>XEM</t>
        </is>
      </c>
      <c r="L224" s="532" t="n"/>
      <c r="M224" s="532" t="n"/>
      <c r="N224" s="532" t="n"/>
      <c r="O224" s="532" t="n"/>
      <c r="P224" s="532" t="n"/>
      <c r="Q224" s="532" t="n"/>
      <c r="R224" s="532" t="n"/>
      <c r="S224" s="532" t="n"/>
      <c r="T224" s="532" t="n"/>
      <c r="U224" s="532" t="n"/>
      <c r="V224" s="532" t="n"/>
      <c r="W224" s="532" t="n"/>
      <c r="X224" s="532" t="n"/>
      <c r="Y224" s="532" t="n"/>
      <c r="Z224" s="532" t="n"/>
      <c r="AA224" s="532" t="n"/>
      <c r="AB224" s="532" t="n"/>
      <c r="AC224" s="528" t="inlineStr">
        <is>
          <t>HNX</t>
        </is>
      </c>
      <c r="AD224" s="1024">
        <f>IF(A229='🎯 SÓI v42 — TRA CỨU &amp; DEEP DIV'!$C$4,"⭐ ĐANG XEM","")</f>
        <v/>
      </c>
    </row>
    <row r="225" ht="13.5" customHeight="1" s="981">
      <c r="A225" s="534" t="inlineStr">
        <is>
          <t>API</t>
        </is>
      </c>
      <c r="B225" s="535" t="inlineStr">
        <is>
          <t>Agrimeco</t>
        </is>
      </c>
      <c r="C225" s="535" t="inlineStr">
        <is>
          <t>Nông nghiệp</t>
        </is>
      </c>
      <c r="D225" s="536">
        <f>IFERROR(INDEX('📡 LIVE PRICE FEED'!$D$4:$D$300,MATCH(A230,'📡 LIVE PRICE FEED'!$A$4:$A$300,0)),12500)</f>
        <v/>
      </c>
      <c r="E225" s="537">
        <f>IFERROR(INDEX('📡 LIVE PRICE FEED'!$H$4:$H$300,MATCH(A230,'📡 LIVE PRICE FEED'!$A$4:$A$300,0)),9.5)</f>
        <v/>
      </c>
      <c r="F225" s="537">
        <f>IFERROR(INDEX('📡 LIVE PRICE FEED'!$I$4:$I$300,MATCH(A230,'📡 LIVE PRICE FEED'!$A$4:$A$300,0)),1.2)</f>
        <v/>
      </c>
      <c r="G225" s="537" t="n"/>
      <c r="H225" s="537" t="n">
        <v>1500</v>
      </c>
      <c r="I225" s="537" t="n"/>
      <c r="J225" s="537" t="n">
        <v>2.5</v>
      </c>
      <c r="K225" s="538" t="inlineStr">
        <is>
          <t>XEM</t>
        </is>
      </c>
      <c r="L225" s="537" t="n"/>
      <c r="M225" s="537" t="n"/>
      <c r="N225" s="537" t="n"/>
      <c r="O225" s="537" t="n"/>
      <c r="P225" s="537" t="n"/>
      <c r="Q225" s="537" t="n"/>
      <c r="R225" s="537" t="n"/>
      <c r="S225" s="537" t="n"/>
      <c r="T225" s="537" t="n"/>
      <c r="U225" s="537" t="n"/>
      <c r="V225" s="537" t="n"/>
      <c r="W225" s="537" t="n"/>
      <c r="X225" s="537" t="n"/>
      <c r="Y225" s="537" t="n"/>
      <c r="Z225" s="537" t="n"/>
      <c r="AA225" s="537" t="n"/>
      <c r="AB225" s="537" t="n"/>
      <c r="AC225" s="528" t="inlineStr">
        <is>
          <t>HNX</t>
        </is>
      </c>
      <c r="AD225" s="1024">
        <f>IF(A230='🎯 SÓI v42 — TRA CỨU &amp; DEEP DIV'!$C$4,"⭐ ĐANG XEM","")</f>
        <v/>
      </c>
    </row>
    <row r="226" ht="13.5" customHeight="1" s="981">
      <c r="A226" s="529" t="inlineStr">
        <is>
          <t>VFG</t>
        </is>
      </c>
      <c r="B226" s="530" t="inlineStr">
        <is>
          <t>Viet Phap Fertilizer</t>
        </is>
      </c>
      <c r="C226" s="530" t="inlineStr">
        <is>
          <t>Nông nghiệp</t>
        </is>
      </c>
      <c r="D226" s="531" t="n">
        <v>47900</v>
      </c>
      <c r="E226" s="532" t="n">
        <v>12.5</v>
      </c>
      <c r="F226" s="532" t="n">
        <v>1.2</v>
      </c>
      <c r="G226" s="532" t="n">
        <v>11.5</v>
      </c>
      <c r="H226" s="532" t="n">
        <v>1000</v>
      </c>
      <c r="I226" s="532" t="n">
        <v>3832</v>
      </c>
      <c r="J226" s="532" t="n">
        <v>8.5</v>
      </c>
      <c r="K226" s="533" t="inlineStr">
        <is>
          <t>GIỮ</t>
        </is>
      </c>
      <c r="L226" s="532" t="n"/>
      <c r="M226" s="532" t="n"/>
      <c r="N226" s="532" t="n"/>
      <c r="O226" s="532" t="n"/>
      <c r="P226" s="532" t="n"/>
      <c r="Q226" s="532" t="n"/>
      <c r="R226" s="532" t="n"/>
      <c r="S226" s="532" t="n"/>
      <c r="T226" s="532" t="n"/>
      <c r="U226" s="532" t="n"/>
      <c r="V226" s="532" t="n"/>
      <c r="W226" s="532" t="n"/>
      <c r="X226" s="532" t="n"/>
      <c r="Y226" s="532" t="n"/>
      <c r="Z226" s="532" t="n"/>
      <c r="AA226" s="532" t="n"/>
      <c r="AB226" s="532" t="n"/>
      <c r="AC226" s="528" t="inlineStr">
        <is>
          <t>HNX</t>
        </is>
      </c>
      <c r="AD226" s="1024">
        <f>IF(A231='🎯 SÓI v42 — TRA CỨU &amp; DEEP DIV'!$C$4,"⭐ ĐANG XEM","")</f>
        <v/>
      </c>
    </row>
    <row r="227" ht="13.5" customHeight="1" s="981">
      <c r="A227" s="534" t="inlineStr">
        <is>
          <t>DHC</t>
        </is>
      </c>
      <c r="B227" s="535" t="inlineStr">
        <is>
          <t>Dong Hai Ben Tre</t>
        </is>
      </c>
      <c r="C227" s="535" t="inlineStr">
        <is>
          <t>VL Xây dựng</t>
        </is>
      </c>
      <c r="D227" s="536">
        <f>IFERROR(INDEX('📡 LIVE PRICE FEED'!$D$4:$D$300,MATCH(A232,'📡 LIVE PRICE FEED'!$A$4:$A$300,0)),42000)</f>
        <v/>
      </c>
      <c r="E227" s="537" t="n">
        <v>12.5</v>
      </c>
      <c r="F227" s="537" t="n">
        <v>1.4</v>
      </c>
      <c r="G227" s="537" t="n">
        <v>11.5</v>
      </c>
      <c r="H227" s="537" t="n">
        <v>1000</v>
      </c>
      <c r="I227" s="537" t="n">
        <v>2912</v>
      </c>
      <c r="J227" s="537" t="n">
        <v>12.5</v>
      </c>
      <c r="K227" s="533" t="inlineStr">
        <is>
          <t>GIỮ</t>
        </is>
      </c>
      <c r="L227" s="537" t="n"/>
      <c r="M227" s="537" t="n"/>
      <c r="N227" s="537" t="n"/>
      <c r="O227" s="537" t="n"/>
      <c r="P227" s="537" t="n"/>
      <c r="Q227" s="537" t="n"/>
      <c r="R227" s="537" t="n"/>
      <c r="S227" s="537" t="n"/>
      <c r="T227" s="537" t="n"/>
      <c r="U227" s="537" t="n"/>
      <c r="V227" s="537" t="n"/>
      <c r="W227" s="537" t="n"/>
      <c r="X227" s="537" t="n"/>
      <c r="Y227" s="537" t="n"/>
      <c r="Z227" s="537" t="n"/>
      <c r="AA227" s="537" t="n"/>
      <c r="AB227" s="537" t="n"/>
      <c r="AC227" s="528" t="inlineStr">
        <is>
          <t>HNX</t>
        </is>
      </c>
      <c r="AD227" s="1024">
        <f>IF(A232='🎯 SÓI v42 — TRA CỨU &amp; DEEP DIV'!$C$4,"⭐ ĐANG XEM","")</f>
        <v/>
      </c>
    </row>
    <row r="228" ht="13.5" customHeight="1" s="981">
      <c r="A228" s="529" t="inlineStr">
        <is>
          <t>CMC</t>
        </is>
      </c>
      <c r="B228" s="530" t="inlineStr">
        <is>
          <t>CMC Corp</t>
        </is>
      </c>
      <c r="C228" s="530" t="inlineStr">
        <is>
          <t>CNTT</t>
        </is>
      </c>
      <c r="D228" s="531">
        <f>IFERROR(INDEX('📡 LIVE PRICE FEED'!$D$4:$D$300,MATCH(A233,'📡 LIVE PRICE FEED'!$A$4:$A$300,0)),38500)</f>
        <v/>
      </c>
      <c r="E228" s="532" t="n">
        <v>16.5</v>
      </c>
      <c r="F228" s="532" t="n">
        <v>1.4</v>
      </c>
      <c r="G228" s="532" t="n">
        <v>8.5</v>
      </c>
      <c r="H228" s="532" t="n">
        <v>1000</v>
      </c>
      <c r="I228" s="532" t="n">
        <v>606</v>
      </c>
      <c r="J228" s="532" t="n">
        <v>12.5</v>
      </c>
      <c r="K228" s="533" t="inlineStr">
        <is>
          <t>GIỮ</t>
        </is>
      </c>
      <c r="L228" s="532" t="n"/>
      <c r="M228" s="532" t="n"/>
      <c r="N228" s="532" t="n"/>
      <c r="O228" s="532" t="n"/>
      <c r="P228" s="532" t="n"/>
      <c r="Q228" s="532" t="n"/>
      <c r="R228" s="532" t="n"/>
      <c r="S228" s="532" t="n"/>
      <c r="T228" s="532" t="n"/>
      <c r="U228" s="532" t="n"/>
      <c r="V228" s="532" t="n"/>
      <c r="W228" s="532" t="n"/>
      <c r="X228" s="532" t="n"/>
      <c r="Y228" s="532" t="n"/>
      <c r="Z228" s="532" t="n"/>
      <c r="AA228" s="532" t="n"/>
      <c r="AB228" s="532" t="n"/>
      <c r="AC228" s="528" t="inlineStr">
        <is>
          <t>HNX</t>
        </is>
      </c>
      <c r="AD228" s="1024">
        <f>IF(A233='🎯 SÓI v42 — TRA CỨU &amp; DEEP DIV'!$C$4,"⭐ ĐANG XEM","")</f>
        <v/>
      </c>
    </row>
    <row r="229" ht="13.5" customHeight="1" s="981">
      <c r="A229" s="534" t="inlineStr">
        <is>
          <t>VCS</t>
        </is>
      </c>
      <c r="B229" s="535" t="inlineStr">
        <is>
          <t>Vicostone</t>
        </is>
      </c>
      <c r="C229" s="535" t="inlineStr">
        <is>
          <t>VL Xây dựng</t>
        </is>
      </c>
      <c r="D229" s="536" t="n">
        <v>38400</v>
      </c>
      <c r="E229" s="537" t="n">
        <v>10.5</v>
      </c>
      <c r="F229" s="537" t="n">
        <v>1.5</v>
      </c>
      <c r="G229" s="537" t="n">
        <v>14.5</v>
      </c>
      <c r="H229" s="537" t="n">
        <v>1000</v>
      </c>
      <c r="I229" s="537" t="n">
        <v>3657</v>
      </c>
      <c r="J229" s="537" t="n">
        <v>8.5</v>
      </c>
      <c r="K229" s="533" t="inlineStr">
        <is>
          <t>GIỮ</t>
        </is>
      </c>
      <c r="L229" s="537" t="n"/>
      <c r="M229" s="537" t="n"/>
      <c r="N229" s="537" t="n"/>
      <c r="O229" s="537" t="n"/>
      <c r="P229" s="537" t="n"/>
      <c r="Q229" s="537" t="n"/>
      <c r="R229" s="537" t="n"/>
      <c r="S229" s="537" t="n"/>
      <c r="T229" s="537" t="n"/>
      <c r="U229" s="537" t="n"/>
      <c r="V229" s="537" t="n"/>
      <c r="W229" s="537" t="n"/>
      <c r="X229" s="537" t="n"/>
      <c r="Y229" s="537" t="n"/>
      <c r="Z229" s="537" t="n"/>
      <c r="AA229" s="537" t="n"/>
      <c r="AB229" s="537" t="n"/>
      <c r="AC229" s="528" t="inlineStr">
        <is>
          <t>HNX</t>
        </is>
      </c>
      <c r="AD229" s="1024">
        <f>IF(A234='🎯 SÓI v42 — TRA CỨU &amp; DEEP DIV'!$C$4,"⭐ ĐANG XEM","")</f>
        <v/>
      </c>
    </row>
    <row r="230" ht="13.5" customHeight="1" s="981">
      <c r="A230" s="529" t="inlineStr">
        <is>
          <t>PGS</t>
        </is>
      </c>
      <c r="B230" s="530" t="inlineStr">
        <is>
          <t>Petro Gas South</t>
        </is>
      </c>
      <c r="C230" s="530" t="inlineStr">
        <is>
          <t>Dầu khí</t>
        </is>
      </c>
      <c r="D230" s="531">
        <f>IFERROR(INDEX('📡 LIVE PRICE FEED'!$D$4:$D$300,MATCH(A235,'📡 LIVE PRICE FEED'!$A$4:$A$300,0)),28500)</f>
        <v/>
      </c>
      <c r="E230" s="532" t="n">
        <v>15.4</v>
      </c>
      <c r="F230" s="532" t="n">
        <v>1.2</v>
      </c>
      <c r="G230" s="532" t="n">
        <v>8.5</v>
      </c>
      <c r="H230" s="532" t="n">
        <v>1000</v>
      </c>
      <c r="I230" s="532" t="n">
        <v>3169</v>
      </c>
      <c r="J230" s="532" t="n">
        <v>5.4</v>
      </c>
      <c r="K230" s="533" t="inlineStr">
        <is>
          <t>GIỮ</t>
        </is>
      </c>
      <c r="L230" s="532" t="n"/>
      <c r="M230" s="532" t="n"/>
      <c r="N230" s="532" t="n"/>
      <c r="O230" s="532" t="n"/>
      <c r="P230" s="532" t="n"/>
      <c r="Q230" s="532" t="n"/>
      <c r="R230" s="532" t="n"/>
      <c r="S230" s="532" t="n"/>
      <c r="T230" s="532" t="n"/>
      <c r="U230" s="532" t="n"/>
      <c r="V230" s="532" t="n"/>
      <c r="W230" s="532" t="n"/>
      <c r="X230" s="532" t="n"/>
      <c r="Y230" s="532" t="n"/>
      <c r="Z230" s="532" t="n"/>
      <c r="AA230" s="532" t="n"/>
      <c r="AB230" s="532" t="n"/>
      <c r="AC230" s="528" t="inlineStr">
        <is>
          <t>HNX</t>
        </is>
      </c>
      <c r="AD230" s="1024">
        <f>IF(A235='🎯 SÓI v42 — TRA CỨU &amp; DEEP DIV'!$C$4,"⭐ ĐANG XEM","")</f>
        <v/>
      </c>
    </row>
    <row r="231" ht="13.5" customHeight="1" s="981">
      <c r="A231" s="534" t="inlineStr">
        <is>
          <t>SFI</t>
        </is>
      </c>
      <c r="B231" s="535" t="inlineStr">
        <is>
          <t>Sea Freight Indochina</t>
        </is>
      </c>
      <c r="C231" s="535" t="inlineStr">
        <is>
          <t>Logistics</t>
        </is>
      </c>
      <c r="D231" s="536">
        <f>IFERROR(INDEX('📡 LIVE PRICE FEED'!$D$4:$D$300,MATCH(A236,'📡 LIVE PRICE FEED'!$A$4:$A$300,0)),22500)</f>
        <v/>
      </c>
      <c r="E231" s="537" t="n">
        <v>14.5</v>
      </c>
      <c r="F231" s="537" t="n">
        <v>1.4</v>
      </c>
      <c r="G231" s="537" t="n">
        <v>10.5</v>
      </c>
      <c r="H231" s="537" t="n">
        <v>1000</v>
      </c>
      <c r="I231" s="537" t="n">
        <v>1869</v>
      </c>
      <c r="J231" s="537" t="n">
        <v>3.5</v>
      </c>
      <c r="K231" s="538" t="inlineStr">
        <is>
          <t>XEM</t>
        </is>
      </c>
      <c r="L231" s="537" t="n"/>
      <c r="M231" s="537" t="n"/>
      <c r="N231" s="537" t="n"/>
      <c r="O231" s="537" t="n"/>
      <c r="P231" s="537" t="n"/>
      <c r="Q231" s="537" t="n"/>
      <c r="R231" s="537" t="n"/>
      <c r="S231" s="537" t="n"/>
      <c r="T231" s="537" t="n"/>
      <c r="U231" s="537" t="n"/>
      <c r="V231" s="537" t="n"/>
      <c r="W231" s="537" t="n"/>
      <c r="X231" s="537" t="n"/>
      <c r="Y231" s="537" t="n"/>
      <c r="Z231" s="537" t="n"/>
      <c r="AA231" s="537" t="n"/>
      <c r="AB231" s="537" t="n"/>
      <c r="AC231" s="528" t="inlineStr">
        <is>
          <t>HNX</t>
        </is>
      </c>
      <c r="AD231" s="1024">
        <f>IF(A236='🎯 SÓI v42 — TRA CỨU &amp; DEEP DIV'!$C$4,"⭐ ĐANG XEM","")</f>
        <v/>
      </c>
    </row>
    <row r="232" ht="13.5" customHeight="1" s="981">
      <c r="A232" s="529" t="inlineStr">
        <is>
          <t>DHT</t>
        </is>
      </c>
      <c r="B232" s="530" t="inlineStr">
        <is>
          <t>Dieu Huong Pharma</t>
        </is>
      </c>
      <c r="C232" s="530" t="inlineStr">
        <is>
          <t>Y tế</t>
        </is>
      </c>
      <c r="D232" s="531">
        <f>IFERROR(INDEX('📡 LIVE PRICE FEED'!$D$4:$D$300,MATCH(A237,'📡 LIVE PRICE FEED'!$A$4:$A$300,0)),54000)</f>
        <v/>
      </c>
      <c r="E232" s="532" t="n">
        <v>15.5</v>
      </c>
      <c r="F232" s="532" t="n">
        <v>2.2</v>
      </c>
      <c r="G232" s="532" t="n">
        <v>13.5</v>
      </c>
      <c r="H232" s="532" t="n">
        <v>1000</v>
      </c>
      <c r="I232" s="532" t="n">
        <v>4323</v>
      </c>
      <c r="J232" s="532" t="n">
        <v>5.4</v>
      </c>
      <c r="K232" s="533" t="inlineStr">
        <is>
          <t>GIỮ</t>
        </is>
      </c>
      <c r="L232" s="532" t="n"/>
      <c r="M232" s="532" t="n"/>
      <c r="N232" s="532" t="n"/>
      <c r="O232" s="532" t="n"/>
      <c r="P232" s="532" t="n"/>
      <c r="Q232" s="532" t="n"/>
      <c r="R232" s="532" t="n"/>
      <c r="S232" s="532" t="n"/>
      <c r="T232" s="532" t="n"/>
      <c r="U232" s="532" t="n"/>
      <c r="V232" s="532" t="n"/>
      <c r="W232" s="532" t="n"/>
      <c r="X232" s="532" t="n"/>
      <c r="Y232" s="532" t="n"/>
      <c r="Z232" s="532" t="n"/>
      <c r="AA232" s="532" t="n"/>
      <c r="AB232" s="532" t="n"/>
      <c r="AC232" s="528" t="inlineStr">
        <is>
          <t>HNX</t>
        </is>
      </c>
      <c r="AD232" s="1024">
        <f>IF(A237='🎯 SÓI v42 — TRA CỨU &amp; DEEP DIV'!$C$4,"⭐ ĐANG XEM","")</f>
        <v/>
      </c>
    </row>
    <row r="233" ht="13.5" customHeight="1" s="981">
      <c r="A233" s="534" t="inlineStr">
        <is>
          <t>HAP</t>
        </is>
      </c>
      <c r="B233" s="535" t="inlineStr">
        <is>
          <t>Hapro</t>
        </is>
      </c>
      <c r="C233" s="535" t="inlineStr">
        <is>
          <t>Thương mại</t>
        </is>
      </c>
      <c r="D233" s="536">
        <f>IFERROR(INDEX('📡 LIVE PRICE FEED'!$D$4:$D$300,MATCH(A238,'📡 LIVE PRICE FEED'!$A$4:$A$300,0)),18500)</f>
        <v/>
      </c>
      <c r="E233" s="537">
        <f>IFERROR(INDEX('📡 LIVE PRICE FEED'!$H$4:$H$300,MATCH(A238,'📡 LIVE PRICE FEED'!$A$4:$A$300,0)),12.8)</f>
        <v/>
      </c>
      <c r="F233" s="537">
        <f>IFERROR(INDEX('📡 LIVE PRICE FEED'!$I$4:$I$300,MATCH(A238,'📡 LIVE PRICE FEED'!$A$4:$A$300,0)),1.5)</f>
        <v/>
      </c>
      <c r="G233" s="537" t="n"/>
      <c r="H233" s="537" t="n">
        <v>2500</v>
      </c>
      <c r="I233" s="537" t="n"/>
      <c r="J233" s="537" t="n">
        <v>-1.5</v>
      </c>
      <c r="K233" s="538" t="inlineStr">
        <is>
          <t>XEM</t>
        </is>
      </c>
      <c r="L233" s="537" t="n"/>
      <c r="M233" s="537" t="n"/>
      <c r="N233" s="537" t="n"/>
      <c r="O233" s="537" t="n"/>
      <c r="P233" s="537" t="n"/>
      <c r="Q233" s="537" t="n"/>
      <c r="R233" s="537" t="n"/>
      <c r="S233" s="537" t="n"/>
      <c r="T233" s="537" t="n"/>
      <c r="U233" s="537" t="n"/>
      <c r="V233" s="537" t="n"/>
      <c r="W233" s="537" t="n"/>
      <c r="X233" s="537" t="n"/>
      <c r="Y233" s="537" t="n"/>
      <c r="Z233" s="537" t="n"/>
      <c r="AA233" s="537" t="n"/>
      <c r="AB233" s="537" t="n"/>
      <c r="AC233" s="528" t="inlineStr">
        <is>
          <t>HNX</t>
        </is>
      </c>
      <c r="AD233" s="1024">
        <f>IF(A238='🎯 SÓI v42 — TRA CỨU &amp; DEEP DIV'!$C$4,"⭐ ĐANG XEM","")</f>
        <v/>
      </c>
    </row>
    <row r="234" ht="13.5" customHeight="1" s="981">
      <c r="A234" s="529" t="inlineStr">
        <is>
          <t>POT</t>
        </is>
      </c>
      <c r="B234" s="530" t="inlineStr">
        <is>
          <t>Post Telecom</t>
        </is>
      </c>
      <c r="C234" s="530" t="inlineStr">
        <is>
          <t>CNTT</t>
        </is>
      </c>
      <c r="D234" s="531">
        <f>IFERROR(INDEX('📡 LIVE PRICE FEED'!$D$4:$D$300,MATCH(A239,'📡 LIVE PRICE FEED'!$A$4:$A$300,0)),22000)</f>
        <v/>
      </c>
      <c r="E234" s="532">
        <f>IFERROR(INDEX('📡 LIVE PRICE FEED'!$H$4:$H$300,MATCH(A239,'📡 LIVE PRICE FEED'!$A$4:$A$300,0)),15.8)</f>
        <v/>
      </c>
      <c r="F234" s="532">
        <f>IFERROR(INDEX('📡 LIVE PRICE FEED'!$I$4:$I$300,MATCH(A239,'📡 LIVE PRICE FEED'!$A$4:$A$300,0)),2.5)</f>
        <v/>
      </c>
      <c r="G234" s="532" t="n"/>
      <c r="H234" s="532" t="n">
        <v>3200</v>
      </c>
      <c r="I234" s="532" t="n"/>
      <c r="J234" s="532" t="n">
        <v>5.4</v>
      </c>
      <c r="K234" s="533" t="inlineStr">
        <is>
          <t>GIỮ</t>
        </is>
      </c>
      <c r="L234" s="532" t="n"/>
      <c r="M234" s="532" t="n"/>
      <c r="N234" s="532" t="n"/>
      <c r="O234" s="532" t="n"/>
      <c r="P234" s="532" t="n"/>
      <c r="Q234" s="532" t="n"/>
      <c r="R234" s="532" t="n"/>
      <c r="S234" s="532" t="n"/>
      <c r="T234" s="532" t="n"/>
      <c r="U234" s="532" t="n"/>
      <c r="V234" s="532" t="n"/>
      <c r="W234" s="532" t="n"/>
      <c r="X234" s="532" t="n"/>
      <c r="Y234" s="532" t="n"/>
      <c r="Z234" s="532" t="n"/>
      <c r="AA234" s="532" t="n"/>
      <c r="AB234" s="532" t="n"/>
      <c r="AC234" s="528" t="inlineStr">
        <is>
          <t>HNX</t>
        </is>
      </c>
      <c r="AD234" s="1024">
        <f>IF(A239='🎯 SÓI v42 — TRA CỨU &amp; DEEP DIV'!$C$4,"⭐ ĐANG XEM","")</f>
        <v/>
      </c>
    </row>
    <row r="235" ht="13.5" customHeight="1" s="981">
      <c r="A235" s="534" t="inlineStr">
        <is>
          <t>QNS</t>
        </is>
      </c>
      <c r="B235" s="535" t="inlineStr">
        <is>
          <t>Quang Ngai Sugar</t>
        </is>
      </c>
      <c r="C235" s="535" t="inlineStr">
        <is>
          <t>Thực phẩm</t>
        </is>
      </c>
      <c r="D235" s="536">
        <f>IFERROR(INDEX('📡 LIVE PRICE FEED'!$D$4:$D$300,MATCH(A240,'📡 LIVE PRICE FEED'!$A$4:$A$300,0)),38000)</f>
        <v/>
      </c>
      <c r="E235" s="537" t="n">
        <v>10.5</v>
      </c>
      <c r="F235" s="537" t="n">
        <v>1.8</v>
      </c>
      <c r="G235" s="537" t="n">
        <v>18.5</v>
      </c>
      <c r="H235" s="537" t="n">
        <v>1000</v>
      </c>
      <c r="I235" s="537" t="n">
        <v>4619</v>
      </c>
      <c r="J235" s="537" t="n">
        <v>8.5</v>
      </c>
      <c r="K235" s="533" t="inlineStr">
        <is>
          <t>GIỮ</t>
        </is>
      </c>
      <c r="L235" s="537" t="n"/>
      <c r="M235" s="537" t="n"/>
      <c r="N235" s="537" t="n"/>
      <c r="O235" s="537" t="n"/>
      <c r="P235" s="537" t="n"/>
      <c r="Q235" s="537" t="n"/>
      <c r="R235" s="537" t="n"/>
      <c r="S235" s="537" t="n"/>
      <c r="T235" s="537" t="n"/>
      <c r="U235" s="537" t="n"/>
      <c r="V235" s="537" t="n"/>
      <c r="W235" s="537" t="n"/>
      <c r="X235" s="537" t="n"/>
      <c r="Y235" s="537" t="n"/>
      <c r="Z235" s="537" t="n"/>
      <c r="AA235" s="537" t="n"/>
      <c r="AB235" s="537" t="n"/>
      <c r="AC235" s="528" t="inlineStr">
        <is>
          <t>UPCoM</t>
        </is>
      </c>
      <c r="AD235" s="1024">
        <f>IF(A240='🎯 SÓI v42 — TRA CỨU &amp; DEEP DIV'!$C$4,"⭐ ĐANG XEM","")</f>
        <v/>
      </c>
    </row>
    <row r="236" ht="13.5" customHeight="1" s="981">
      <c r="A236" s="529" t="inlineStr">
        <is>
          <t>MCH</t>
        </is>
      </c>
      <c r="B236" s="530" t="inlineStr">
        <is>
          <t>Masan Consumer</t>
        </is>
      </c>
      <c r="C236" s="530" t="inlineStr">
        <is>
          <t>Tiêu dùng</t>
        </is>
      </c>
      <c r="D236" s="531" t="n">
        <v>130400</v>
      </c>
      <c r="E236" s="532" t="n">
        <v>18.5</v>
      </c>
      <c r="F236" s="532" t="n">
        <v>4.2</v>
      </c>
      <c r="G236" s="532" t="n">
        <v>24.5</v>
      </c>
      <c r="H236" s="532" t="n">
        <v>1000</v>
      </c>
      <c r="I236" s="532" t="n">
        <v>7049</v>
      </c>
      <c r="J236" s="532" t="n">
        <v>12.5</v>
      </c>
      <c r="K236" s="533" t="inlineStr">
        <is>
          <t>GIỮ</t>
        </is>
      </c>
      <c r="L236" s="532" t="n"/>
      <c r="M236" s="532" t="n"/>
      <c r="N236" s="532" t="n"/>
      <c r="O236" s="532" t="n"/>
      <c r="P236" s="532" t="n"/>
      <c r="Q236" s="532" t="n"/>
      <c r="R236" s="532" t="n"/>
      <c r="S236" s="532" t="n"/>
      <c r="T236" s="532" t="n"/>
      <c r="U236" s="532" t="n"/>
      <c r="V236" s="532" t="n"/>
      <c r="W236" s="532" t="n"/>
      <c r="X236" s="532" t="n"/>
      <c r="Y236" s="532" t="n"/>
      <c r="Z236" s="532" t="n"/>
      <c r="AA236" s="532" t="n"/>
      <c r="AB236" s="532" t="n"/>
      <c r="AC236" s="528" t="inlineStr">
        <is>
          <t>UPCoM</t>
        </is>
      </c>
      <c r="AD236" s="1024">
        <f>IF(A241='🎯 SÓI v42 — TRA CỨU &amp; DEEP DIV'!$C$4,"⭐ ĐANG XEM","")</f>
        <v/>
      </c>
    </row>
    <row r="237" ht="13.5" customHeight="1" s="981">
      <c r="A237" s="534" t="inlineStr">
        <is>
          <t>LTG</t>
        </is>
      </c>
      <c r="B237" s="535" t="inlineStr">
        <is>
          <t>Loc Troi Group</t>
        </is>
      </c>
      <c r="C237" s="535" t="inlineStr">
        <is>
          <t>Nông nghiệp</t>
        </is>
      </c>
      <c r="D237" s="536" t="n">
        <v>5400</v>
      </c>
      <c r="E237" s="537" t="n">
        <v>9.800000000000001</v>
      </c>
      <c r="F237" s="537" t="n">
        <v>0.85</v>
      </c>
      <c r="G237" s="537" t="n">
        <v>9.199999999999999</v>
      </c>
      <c r="H237" s="537" t="n">
        <v>1000</v>
      </c>
      <c r="I237" s="537" t="n">
        <v>551</v>
      </c>
      <c r="J237" s="537" t="n">
        <v>8.5</v>
      </c>
      <c r="K237" s="533" t="inlineStr">
        <is>
          <t>GIỮ</t>
        </is>
      </c>
      <c r="L237" s="537" t="n"/>
      <c r="M237" s="537" t="n"/>
      <c r="N237" s="537" t="n"/>
      <c r="O237" s="537" t="n"/>
      <c r="P237" s="537" t="n"/>
      <c r="Q237" s="537" t="n"/>
      <c r="R237" s="537" t="n"/>
      <c r="S237" s="537" t="n"/>
      <c r="T237" s="537" t="n"/>
      <c r="U237" s="537" t="n"/>
      <c r="V237" s="537" t="n"/>
      <c r="W237" s="537" t="n"/>
      <c r="X237" s="537" t="n"/>
      <c r="Y237" s="537" t="n"/>
      <c r="Z237" s="537" t="n"/>
      <c r="AA237" s="537" t="n"/>
      <c r="AB237" s="537" t="n"/>
      <c r="AC237" s="528" t="inlineStr">
        <is>
          <t>UPCoM</t>
        </is>
      </c>
      <c r="AD237" s="1024">
        <f>IF(A242='🎯 SÓI v42 — TRA CỨU &amp; DEEP DIV'!$C$4,"⭐ ĐANG XEM","")</f>
        <v/>
      </c>
    </row>
    <row r="238" ht="13.5" customHeight="1" s="981">
      <c r="A238" s="529" t="inlineStr">
        <is>
          <t>DBC</t>
        </is>
      </c>
      <c r="B238" s="530" t="inlineStr">
        <is>
          <t>Dabaco Group</t>
        </is>
      </c>
      <c r="C238" s="530" t="inlineStr">
        <is>
          <t>Nông nghiệp</t>
        </is>
      </c>
      <c r="D238" s="531" t="n">
        <v>21700</v>
      </c>
      <c r="E238" s="532" t="n">
        <v>14.7</v>
      </c>
      <c r="F238" s="532" t="n">
        <v>1.8</v>
      </c>
      <c r="G238" s="532" t="n">
        <v>13.5</v>
      </c>
      <c r="H238" s="532" t="n">
        <v>1000</v>
      </c>
      <c r="I238" s="532" t="n">
        <v>1476</v>
      </c>
      <c r="J238" s="532" t="n">
        <v>12.5</v>
      </c>
      <c r="K238" s="533" t="inlineStr">
        <is>
          <t>GIỮ</t>
        </is>
      </c>
      <c r="L238" s="532" t="n"/>
      <c r="M238" s="532" t="n"/>
      <c r="N238" s="532" t="n"/>
      <c r="O238" s="532" t="n"/>
      <c r="P238" s="532" t="n"/>
      <c r="Q238" s="532" t="n"/>
      <c r="R238" s="532" t="n"/>
      <c r="S238" s="532" t="n"/>
      <c r="T238" s="532" t="n"/>
      <c r="U238" s="532" t="n"/>
      <c r="V238" s="532" t="n"/>
      <c r="W238" s="532" t="n"/>
      <c r="X238" s="532" t="n"/>
      <c r="Y238" s="532" t="n"/>
      <c r="Z238" s="532" t="n"/>
      <c r="AA238" s="532" t="n"/>
      <c r="AB238" s="532" t="n"/>
      <c r="AC238" s="528" t="inlineStr">
        <is>
          <t>UPCoM</t>
        </is>
      </c>
      <c r="AD238" s="1024">
        <f>IF(A243='🎯 SÓI v42 — TRA CỨU &amp; DEEP DIV'!$C$4,"⭐ ĐANG XEM","")</f>
        <v/>
      </c>
    </row>
    <row r="239" ht="13.5" customHeight="1" s="981">
      <c r="A239" s="534" t="inlineStr">
        <is>
          <t>VNS</t>
        </is>
      </c>
      <c r="B239" s="535" t="inlineStr">
        <is>
          <t>Vinasun Corp</t>
        </is>
      </c>
      <c r="C239" s="535" t="inlineStr">
        <is>
          <t>Vận tải</t>
        </is>
      </c>
      <c r="D239" s="536">
        <f>IFERROR(INDEX('📡 LIVE PRICE FEED'!$D$4:$D$300,MATCH(A244,'📡 LIVE PRICE FEED'!$A$4:$A$300,0)),15500)</f>
        <v/>
      </c>
      <c r="E239" s="537" t="n">
        <v>12.4</v>
      </c>
      <c r="F239" s="537" t="n">
        <v>0.9</v>
      </c>
      <c r="G239" s="537" t="n">
        <v>7.5</v>
      </c>
      <c r="H239" s="537" t="n">
        <v>1000</v>
      </c>
      <c r="I239" s="537" t="n">
        <v>625</v>
      </c>
      <c r="J239" s="537" t="n">
        <v>3.5</v>
      </c>
      <c r="K239" s="538" t="inlineStr">
        <is>
          <t>XEM</t>
        </is>
      </c>
      <c r="L239" s="537" t="n"/>
      <c r="M239" s="537" t="n"/>
      <c r="N239" s="537" t="n"/>
      <c r="O239" s="537" t="n"/>
      <c r="P239" s="537" t="n"/>
      <c r="Q239" s="537" t="n"/>
      <c r="R239" s="537" t="n"/>
      <c r="S239" s="537" t="n"/>
      <c r="T239" s="537" t="n"/>
      <c r="U239" s="537" t="n"/>
      <c r="V239" s="537" t="n"/>
      <c r="W239" s="537" t="n"/>
      <c r="X239" s="537" t="n"/>
      <c r="Y239" s="537" t="n"/>
      <c r="Z239" s="537" t="n"/>
      <c r="AA239" s="537" t="n"/>
      <c r="AB239" s="537" t="n"/>
      <c r="AC239" s="528" t="inlineStr">
        <is>
          <t>UPCoM</t>
        </is>
      </c>
      <c r="AD239" s="1024">
        <f>IF(A244='🎯 SÓI v42 — TRA CỨU &amp; DEEP DIV'!$C$4,"⭐ ĐANG XEM","")</f>
        <v/>
      </c>
    </row>
    <row r="240" ht="13.5" customHeight="1" s="981"/>
    <row r="241" ht="13.5" customHeight="1" s="981"/>
    <row r="242" ht="13.5" customHeight="1" s="981"/>
    <row r="243" ht="13.5" customHeight="1" s="981"/>
    <row r="244" ht="13.5" customHeight="1" s="981"/>
  </sheetData>
  <mergeCells count="3">
    <mergeCell ref="A3:L3"/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3" customWidth="1" style="981" min="1" max="1"/>
    <col width="22" customWidth="1" style="981" min="2" max="2"/>
    <col width="11" customWidth="1" style="981" min="3" max="3"/>
    <col width="10" customWidth="1" style="981" min="4" max="4"/>
    <col width="8" customWidth="1" style="981" min="5" max="5"/>
    <col width="10" customWidth="1" style="981" min="7" max="7"/>
    <col width="14" customWidth="1" style="981" min="8" max="8"/>
    <col width="9" customWidth="1" style="981" min="9" max="9"/>
    <col width="13" customWidth="1" style="981" min="10" max="10"/>
    <col width="18" customWidth="1" style="981" min="11" max="11"/>
  </cols>
  <sheetData>
    <row r="1" ht="30" customHeight="1" s="981">
      <c r="A1" s="1140" t="inlineStr">
        <is>
          <t>🌐 CƠ SỞ DỮ LIỆU CỔ PHIẾU THẾ GIỚI v18 — MỞ RỘNG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6" t="n"/>
    </row>
    <row r="2" ht="13.5" customHeight="1" s="981">
      <c r="A2" s="1138" t="inlineStr">
        <is>
          <t>Cap nhat: 29/05/2026 | Q2 2026 | Nguon: yfinance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6" t="n"/>
    </row>
    <row r="3" ht="13.5" customHeight="1" s="981">
      <c r="A3" s="1137" t="inlineStr">
        <is>
          <t>⚠️ Đây là SNAPSHOT, không phải realtime. Để có realtime cho TOÀN BỘ 25,000 mã TG, dùng yfinance trong Python (miễn phí)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6" t="n"/>
    </row>
    <row r="4" ht="27.75" customHeight="1" s="981">
      <c r="A4" s="430" t="inlineStr">
        <is>
          <t>Ticker</t>
        </is>
      </c>
      <c r="B4" s="430" t="inlineStr">
        <is>
          <t>Tên</t>
        </is>
      </c>
      <c r="C4" s="430" t="inlineStr">
        <is>
          <t>Sàn</t>
        </is>
      </c>
      <c r="D4" s="430" t="inlineStr">
        <is>
          <t>Giá ($)</t>
        </is>
      </c>
      <c r="E4" s="430" t="inlineStr">
        <is>
          <t>P/E</t>
        </is>
      </c>
      <c r="F4" s="430" t="inlineStr">
        <is>
          <t>P/B</t>
        </is>
      </c>
      <c r="G4" s="430" t="inlineStr">
        <is>
          <t>ROE (%)</t>
        </is>
      </c>
      <c r="H4" s="430" t="inlineStr">
        <is>
          <t>Vốn hóa (tỷ$)</t>
        </is>
      </c>
      <c r="I4" s="430" t="inlineStr">
        <is>
          <t>%YTD</t>
        </is>
      </c>
      <c r="J4" s="430" t="inlineStr">
        <is>
          <t>Tín hiệu</t>
        </is>
      </c>
      <c r="K4" s="430" t="inlineStr">
        <is>
          <t>Ngành</t>
        </is>
      </c>
      <c r="L4" s="506" t="inlineStr">
        <is>
          <t>🔗 Match C4</t>
        </is>
      </c>
    </row>
    <row r="5" ht="13.5" customHeight="1" s="981">
      <c r="A5" s="953" t="inlineStr">
        <is>
          <t>AAPL</t>
        </is>
      </c>
      <c r="B5" s="954" t="inlineStr">
        <is>
          <t>Apple</t>
        </is>
      </c>
      <c r="C5" s="955" t="inlineStr">
        <is>
          <t>NASDAQ</t>
        </is>
      </c>
      <c r="D5" s="955" t="n">
        <v>310.85</v>
      </c>
      <c r="E5" s="955" t="n">
        <v>37.6</v>
      </c>
      <c r="F5" s="955" t="n">
        <v>42.82</v>
      </c>
      <c r="G5" s="955" t="n">
        <v>141.5</v>
      </c>
      <c r="H5" s="955" t="n">
        <v>4565.6</v>
      </c>
      <c r="I5" s="955" t="n">
        <v>2.8</v>
      </c>
      <c r="J5" s="955" t="inlineStr">
        <is>
          <t>GIỮ</t>
        </is>
      </c>
      <c r="K5" s="1104" t="inlineStr">
        <is>
          <t>Tech</t>
        </is>
      </c>
      <c r="L5" s="1024">
        <f>IF(A5='🎯 SÓI v42 — TRA CỨU &amp; DEEP DIV'!$C$4,"⭐ ĐANG XEM","")</f>
        <v/>
      </c>
    </row>
    <row r="6" ht="13.5" customHeight="1" s="981">
      <c r="A6" s="953" t="inlineStr">
        <is>
          <t>MSFT</t>
        </is>
      </c>
      <c r="B6" s="954" t="inlineStr">
        <is>
          <t>Microsoft</t>
        </is>
      </c>
      <c r="C6" s="955" t="inlineStr">
        <is>
          <t>NASDAQ</t>
        </is>
      </c>
      <c r="D6" s="955" t="n">
        <v>412.67</v>
      </c>
      <c r="E6" s="955" t="n">
        <v>24.6</v>
      </c>
      <c r="F6" s="955" t="n">
        <v>7.4</v>
      </c>
      <c r="G6" s="955" t="n">
        <v>34</v>
      </c>
      <c r="H6" s="955" t="n">
        <v>3065.5</v>
      </c>
      <c r="I6" s="955" t="n">
        <v>-1.8</v>
      </c>
      <c r="J6" s="955" t="inlineStr">
        <is>
          <t>GIỮ</t>
        </is>
      </c>
      <c r="K6" s="438" t="inlineStr">
        <is>
          <t>Tech</t>
        </is>
      </c>
      <c r="L6" s="1024">
        <f>IF(A6='🎯 SÓI v42 — TRA CỨU &amp; DEEP DIV'!$C$4,"⭐ ĐANG XEM","")</f>
        <v/>
      </c>
    </row>
    <row r="7" ht="13.5" customHeight="1" s="981">
      <c r="A7" s="953" t="inlineStr">
        <is>
          <t>GOOGL</t>
        </is>
      </c>
      <c r="B7" s="954" t="inlineStr">
        <is>
          <t>Alphabet</t>
        </is>
      </c>
      <c r="C7" s="955" t="inlineStr">
        <is>
          <t>NASDAQ</t>
        </is>
      </c>
      <c r="D7" s="955" t="n">
        <v>388.83</v>
      </c>
      <c r="E7" s="955" t="n">
        <v>29.7</v>
      </c>
      <c r="F7" s="955" t="n">
        <v>9.84</v>
      </c>
      <c r="G7" s="955" t="n">
        <v>38.9</v>
      </c>
      <c r="H7" s="955" t="n">
        <v>4710.8</v>
      </c>
      <c r="I7" s="955" t="n">
        <v>0</v>
      </c>
      <c r="J7" s="956" t="inlineStr">
        <is>
          <t>MUA</t>
        </is>
      </c>
      <c r="K7" s="1104" t="inlineStr">
        <is>
          <t>Tech</t>
        </is>
      </c>
      <c r="L7" s="1024">
        <f>IF(A7='🎯 SÓI v42 — TRA CỨU &amp; DEEP DIV'!$C$4,"⭐ ĐANG XEM","")</f>
        <v/>
      </c>
    </row>
    <row r="8" ht="13.5" customHeight="1" s="981">
      <c r="A8" s="953" t="inlineStr">
        <is>
          <t>AMZN</t>
        </is>
      </c>
      <c r="B8" s="954" t="inlineStr">
        <is>
          <t>Amazon</t>
        </is>
      </c>
      <c r="C8" s="955" t="inlineStr">
        <is>
          <t>NASDAQ</t>
        </is>
      </c>
      <c r="D8" s="955" t="n">
        <v>271.85</v>
      </c>
      <c r="E8" s="955" t="n">
        <v>31.6</v>
      </c>
      <c r="F8" s="955" t="n">
        <v>6.62</v>
      </c>
      <c r="G8" s="955" t="n">
        <v>24.3</v>
      </c>
      <c r="H8" s="955" t="n">
        <v>2924.3</v>
      </c>
      <c r="I8" s="955" t="n">
        <v>2.6</v>
      </c>
      <c r="J8" s="955" t="inlineStr">
        <is>
          <t>GIỮ</t>
        </is>
      </c>
      <c r="K8" s="438" t="inlineStr">
        <is>
          <t>Bán lẻ</t>
        </is>
      </c>
      <c r="L8" s="1024">
        <f>IF(A8='🎯 SÓI v42 — TRA CỨU &amp; DEEP DIV'!$C$4,"⭐ ĐANG XEM","")</f>
        <v/>
      </c>
    </row>
    <row r="9" ht="13.5" customHeight="1" s="981">
      <c r="A9" s="953" t="inlineStr">
        <is>
          <t>META</t>
        </is>
      </c>
      <c r="B9" s="954" t="inlineStr">
        <is>
          <t>Meta</t>
        </is>
      </c>
      <c r="C9" s="955" t="inlineStr">
        <is>
          <t>NASDAQ</t>
        </is>
      </c>
      <c r="D9" s="955" t="n">
        <v>635.25</v>
      </c>
      <c r="E9" s="955" t="n">
        <v>23.1</v>
      </c>
      <c r="F9" s="955" t="n">
        <v>6.62</v>
      </c>
      <c r="G9" s="955" t="n">
        <v>32.9</v>
      </c>
      <c r="H9" s="955" t="n">
        <v>1612.5</v>
      </c>
      <c r="I9" s="955" t="n">
        <v>5</v>
      </c>
      <c r="J9" s="956" t="inlineStr">
        <is>
          <t>MUA</t>
        </is>
      </c>
      <c r="K9" s="1104" t="inlineStr">
        <is>
          <t>Tech</t>
        </is>
      </c>
      <c r="L9" s="1024">
        <f>IF(A9='🎯 SÓI v42 — TRA CỨU &amp; DEEP DIV'!$C$4,"⭐ ĐANG XEM","")</f>
        <v/>
      </c>
    </row>
    <row r="10" ht="13.5" customHeight="1" s="981">
      <c r="A10" s="953" t="inlineStr">
        <is>
          <t>NVDA</t>
        </is>
      </c>
      <c r="B10" s="954" t="inlineStr">
        <is>
          <t>NVIDIA</t>
        </is>
      </c>
      <c r="C10" s="955" t="inlineStr">
        <is>
          <t>NASDAQ</t>
        </is>
      </c>
      <c r="D10" s="955" t="n">
        <v>212.6</v>
      </c>
      <c r="E10" s="955" t="n">
        <v>32.6</v>
      </c>
      <c r="F10" s="955" t="n">
        <v>32.85</v>
      </c>
      <c r="G10" s="955" t="n">
        <v>114.3</v>
      </c>
      <c r="H10" s="955" t="n">
        <v>5149.4</v>
      </c>
      <c r="I10" s="955" t="n">
        <v>-4.9</v>
      </c>
      <c r="J10" s="955" t="inlineStr">
        <is>
          <t>GIỮ</t>
        </is>
      </c>
      <c r="K10" s="438" t="inlineStr">
        <is>
          <t>Bán dẫn</t>
        </is>
      </c>
      <c r="L10" s="1024">
        <f>IF(A10='🎯 SÓI v42 — TRA CỨU &amp; DEEP DIV'!$C$4,"⭐ ĐANG XEM","")</f>
        <v/>
      </c>
    </row>
    <row r="11" ht="13.5" customHeight="1" s="981">
      <c r="A11" s="953" t="inlineStr">
        <is>
          <t>TSLA</t>
        </is>
      </c>
      <c r="B11" s="954" t="inlineStr">
        <is>
          <t>Tesla</t>
        </is>
      </c>
      <c r="C11" s="955" t="inlineStr">
        <is>
          <t>NASDAQ</t>
        </is>
      </c>
      <c r="D11" s="955" t="n">
        <v>440.36</v>
      </c>
      <c r="E11" s="955" t="n">
        <v>400.3</v>
      </c>
      <c r="F11" s="955" t="n">
        <v>20.11</v>
      </c>
      <c r="G11" s="955" t="n">
        <v>4.9</v>
      </c>
      <c r="H11" s="955" t="n">
        <v>1653.9</v>
      </c>
      <c r="I11" s="955" t="n">
        <v>5.5</v>
      </c>
      <c r="J11" s="955" t="inlineStr">
        <is>
          <t>GIỮ</t>
        </is>
      </c>
      <c r="K11" s="1104" t="inlineStr">
        <is>
          <t>Xe điện</t>
        </is>
      </c>
      <c r="L11" s="1024">
        <f>IF(A11='🎯 SÓI v42 — TRA CỨU &amp; DEEP DIV'!$C$4,"⭐ ĐANG XEM","")</f>
        <v/>
      </c>
    </row>
    <row r="12" ht="13.5" customHeight="1" s="981">
      <c r="A12" s="953" t="inlineStr">
        <is>
          <t>JNJ</t>
        </is>
      </c>
      <c r="B12" s="954" t="inlineStr">
        <is>
          <t>Johnson &amp; Johnson</t>
        </is>
      </c>
      <c r="C12" s="955" t="inlineStr">
        <is>
          <t>NYSE</t>
        </is>
      </c>
      <c r="D12" s="955" t="n">
        <v>231.29</v>
      </c>
      <c r="E12" s="955" t="n">
        <v>26.8</v>
      </c>
      <c r="F12" s="955" t="n">
        <v>6.86</v>
      </c>
      <c r="G12" s="955" t="n">
        <v>26.4</v>
      </c>
      <c r="H12" s="955" t="n">
        <v>556.8</v>
      </c>
      <c r="I12" s="955" t="n">
        <v>1.4</v>
      </c>
      <c r="J12" s="955" t="inlineStr">
        <is>
          <t>GIỮ</t>
        </is>
      </c>
      <c r="K12" s="438" t="inlineStr">
        <is>
          <t>Dược</t>
        </is>
      </c>
      <c r="L12" s="1024">
        <f>IF(A12='🎯 SÓI v42 — TRA CỨU &amp; DEEP DIV'!$C$4,"⭐ ĐANG XEM","")</f>
        <v/>
      </c>
    </row>
    <row r="13" ht="13.5" customHeight="1" s="981">
      <c r="A13" s="953" t="inlineStr">
        <is>
          <t>PG</t>
        </is>
      </c>
      <c r="B13" s="954" t="inlineStr">
        <is>
          <t>Procter &amp; Gamble</t>
        </is>
      </c>
      <c r="C13" s="955" t="inlineStr">
        <is>
          <t>NYSE</t>
        </is>
      </c>
      <c r="D13" s="955" t="n">
        <v>147.49</v>
      </c>
      <c r="E13" s="955" t="n">
        <v>21.6</v>
      </c>
      <c r="F13" s="955" t="n">
        <v>6.39</v>
      </c>
      <c r="G13" s="955" t="n">
        <v>31.1</v>
      </c>
      <c r="H13" s="955" t="n">
        <v>343.4</v>
      </c>
      <c r="I13" s="955" t="n">
        <v>3.5</v>
      </c>
      <c r="J13" s="955" t="inlineStr">
        <is>
          <t>GIỮ</t>
        </is>
      </c>
      <c r="K13" s="1104" t="inlineStr">
        <is>
          <t>Tiêu dùng</t>
        </is>
      </c>
      <c r="L13" s="1024">
        <f>IF(A13='🎯 SÓI v42 — TRA CỨU &amp; DEEP DIV'!$C$4,"⭐ ĐANG XEM","")</f>
        <v/>
      </c>
    </row>
    <row r="14" ht="13.5" customHeight="1" s="981">
      <c r="A14" s="953" t="inlineStr">
        <is>
          <t>KO</t>
        </is>
      </c>
      <c r="B14" s="954" t="inlineStr">
        <is>
          <t>Coca-Cola</t>
        </is>
      </c>
      <c r="C14" s="955" t="inlineStr">
        <is>
          <t>NYSE</t>
        </is>
      </c>
      <c r="D14" s="955" t="n">
        <v>81.62</v>
      </c>
      <c r="E14" s="955" t="n">
        <v>25.7</v>
      </c>
      <c r="F14" s="955" t="n">
        <v>10.44</v>
      </c>
      <c r="G14" s="955" t="n">
        <v>43.4</v>
      </c>
      <c r="H14" s="955" t="n">
        <v>351.2</v>
      </c>
      <c r="I14" s="955" t="n">
        <v>0.1</v>
      </c>
      <c r="J14" s="955" t="inlineStr">
        <is>
          <t>GIỮ</t>
        </is>
      </c>
      <c r="K14" s="438" t="inlineStr">
        <is>
          <t>Đồ uống</t>
        </is>
      </c>
      <c r="L14" s="1024">
        <f>IF(A14='🎯 SÓI v42 — TRA CỨU &amp; DEEP DIV'!$C$4,"⭐ ĐANG XEM","")</f>
        <v/>
      </c>
    </row>
    <row r="15" ht="13.5" customHeight="1" s="981">
      <c r="A15" s="953" t="inlineStr">
        <is>
          <t>PEP</t>
        </is>
      </c>
      <c r="B15" s="954" t="inlineStr">
        <is>
          <t>PepsiCo</t>
        </is>
      </c>
      <c r="C15" s="955" t="inlineStr">
        <is>
          <t>NASDAQ</t>
        </is>
      </c>
      <c r="D15" s="955" t="n">
        <v>147.74</v>
      </c>
      <c r="E15" s="955" t="n">
        <v>23.2</v>
      </c>
      <c r="F15" s="955" t="n">
        <v>9.449999999999999</v>
      </c>
      <c r="G15" s="955" t="n">
        <v>43.9</v>
      </c>
      <c r="H15" s="955" t="n">
        <v>202</v>
      </c>
      <c r="I15" s="955" t="n">
        <v>-1</v>
      </c>
      <c r="J15" s="955" t="inlineStr">
        <is>
          <t>GIỮ</t>
        </is>
      </c>
      <c r="K15" s="1104" t="inlineStr">
        <is>
          <t>Đồ uống</t>
        </is>
      </c>
      <c r="L15" s="1024">
        <f>IF(A15='🎯 SÓI v42 — TRA CỨU &amp; DEEP DIV'!$C$4,"⭐ ĐANG XEM","")</f>
        <v/>
      </c>
    </row>
    <row r="16" ht="13.5" customHeight="1" s="981">
      <c r="A16" s="953" t="inlineStr">
        <is>
          <t>WMT</t>
        </is>
      </c>
      <c r="B16" s="954" t="inlineStr">
        <is>
          <t>Walmart</t>
        </is>
      </c>
      <c r="C16" s="955" t="inlineStr">
        <is>
          <t>NYSE</t>
        </is>
      </c>
      <c r="D16" s="955" t="n">
        <v>118.54</v>
      </c>
      <c r="E16" s="955" t="n">
        <v>41.7</v>
      </c>
      <c r="F16" s="955" t="n">
        <v>9.48</v>
      </c>
      <c r="G16" s="955" t="n">
        <v>24.1</v>
      </c>
      <c r="H16" s="955" t="n">
        <v>944.9</v>
      </c>
      <c r="I16" s="955" t="n">
        <v>-9.4</v>
      </c>
      <c r="J16" s="955" t="inlineStr">
        <is>
          <t>GIỮ</t>
        </is>
      </c>
      <c r="K16" s="438" t="inlineStr">
        <is>
          <t>Bán lẻ</t>
        </is>
      </c>
      <c r="L16" s="1024">
        <f>IF(A16='🎯 SÓI v42 — TRA CỨU &amp; DEEP DIV'!$C$4,"⭐ ĐANG XEM","")</f>
        <v/>
      </c>
    </row>
    <row r="17" ht="13.5" customHeight="1" s="981">
      <c r="A17" s="953" t="inlineStr">
        <is>
          <t>MCD</t>
        </is>
      </c>
      <c r="B17" s="954" t="inlineStr">
        <is>
          <t>McDonald</t>
        </is>
      </c>
      <c r="C17" s="955" t="inlineStr">
        <is>
          <t>NYSE</t>
        </is>
      </c>
      <c r="D17" s="955" t="n">
        <v>280.92</v>
      </c>
      <c r="E17" s="955" t="n">
        <v>23.1</v>
      </c>
      <c r="F17" s="955" t="n">
        <v>-155.2</v>
      </c>
      <c r="G17" s="955" t="n"/>
      <c r="H17" s="955" t="n">
        <v>199.6</v>
      </c>
      <c r="I17" s="955" t="n">
        <v>0.2</v>
      </c>
      <c r="J17" s="955" t="inlineStr">
        <is>
          <t>GIỮ</t>
        </is>
      </c>
      <c r="K17" s="1104" t="inlineStr">
        <is>
          <t>Nhà hàng</t>
        </is>
      </c>
      <c r="L17" s="1024">
        <f>IF(A17='🎯 SÓI v42 — TRA CỨU &amp; DEEP DIV'!$C$4,"⭐ ĐANG XEM","")</f>
        <v/>
      </c>
    </row>
    <row r="18" ht="13.5" customHeight="1" s="981">
      <c r="A18" s="953" t="inlineStr">
        <is>
          <t>NKE</t>
        </is>
      </c>
      <c r="B18" s="954" t="inlineStr">
        <is>
          <t>Nike</t>
        </is>
      </c>
      <c r="C18" s="955" t="inlineStr">
        <is>
          <t>NYSE</t>
        </is>
      </c>
      <c r="D18" s="955" t="n">
        <v>45.98</v>
      </c>
      <c r="E18" s="955" t="n">
        <v>30.2</v>
      </c>
      <c r="F18" s="955" t="n">
        <v>4.83</v>
      </c>
      <c r="G18" s="955" t="n">
        <v>16</v>
      </c>
      <c r="H18" s="955" t="n">
        <v>68.09999999999999</v>
      </c>
      <c r="I18" s="955" t="n">
        <v>4.1</v>
      </c>
      <c r="J18" s="955" t="inlineStr">
        <is>
          <t>GIẢM</t>
        </is>
      </c>
      <c r="K18" s="438" t="inlineStr">
        <is>
          <t>Giày dép</t>
        </is>
      </c>
      <c r="L18" s="1024">
        <f>IF(A18='🎯 SÓI v42 — TRA CỨU &amp; DEEP DIV'!$C$4,"⭐ ĐANG XEM","")</f>
        <v/>
      </c>
    </row>
    <row r="19" ht="13.5" customHeight="1" s="981">
      <c r="A19" s="953" t="inlineStr">
        <is>
          <t>DIS</t>
        </is>
      </c>
      <c r="B19" s="954" t="inlineStr">
        <is>
          <t>Disney</t>
        </is>
      </c>
      <c r="C19" s="955" t="inlineStr">
        <is>
          <t>NYSE</t>
        </is>
      </c>
      <c r="D19" s="955" t="n">
        <v>104.18</v>
      </c>
      <c r="E19" s="955" t="n">
        <v>16.7</v>
      </c>
      <c r="F19" s="955" t="n">
        <v>1.71</v>
      </c>
      <c r="G19" s="955" t="n">
        <v>11</v>
      </c>
      <c r="H19" s="955" t="n">
        <v>180.9</v>
      </c>
      <c r="I19" s="955" t="n">
        <v>0.1</v>
      </c>
      <c r="J19" s="955" t="inlineStr">
        <is>
          <t>GIỮ</t>
        </is>
      </c>
      <c r="K19" s="1104" t="inlineStr">
        <is>
          <t>Giải trí</t>
        </is>
      </c>
      <c r="L19" s="1024">
        <f>IF(A19='🎯 SÓI v42 — TRA CỨU &amp; DEEP DIV'!$C$4,"⭐ ĐANG XEM","")</f>
        <v/>
      </c>
    </row>
    <row r="20" ht="13.5" customHeight="1" s="981">
      <c r="A20" s="953" t="inlineStr">
        <is>
          <t>UNH</t>
        </is>
      </c>
      <c r="B20" s="954" t="inlineStr">
        <is>
          <t>UnitedHealth</t>
        </is>
      </c>
      <c r="C20" s="955" t="inlineStr">
        <is>
          <t>NYSE</t>
        </is>
      </c>
      <c r="D20" s="955" t="n">
        <v>384.01</v>
      </c>
      <c r="E20" s="955" t="n">
        <v>28.9</v>
      </c>
      <c r="F20" s="955" t="n">
        <v>3.56</v>
      </c>
      <c r="G20" s="955" t="n">
        <v>12.2</v>
      </c>
      <c r="H20" s="955" t="n">
        <v>348.7</v>
      </c>
      <c r="I20" s="955" t="n">
        <v>0.2</v>
      </c>
      <c r="J20" s="956" t="inlineStr">
        <is>
          <t>MUA</t>
        </is>
      </c>
      <c r="K20" s="438" t="inlineStr">
        <is>
          <t>Y tế</t>
        </is>
      </c>
      <c r="L20" s="1024">
        <f>IF(A20='🎯 SÓI v42 — TRA CỨU &amp; DEEP DIV'!$C$4,"⭐ ĐANG XEM","")</f>
        <v/>
      </c>
    </row>
    <row r="21" ht="13.5" customHeight="1" s="981">
      <c r="A21" s="953" t="inlineStr">
        <is>
          <t>JPM</t>
        </is>
      </c>
      <c r="B21" s="954" t="inlineStr">
        <is>
          <t>JPMorgan</t>
        </is>
      </c>
      <c r="C21" s="955" t="inlineStr">
        <is>
          <t>NYSE</t>
        </is>
      </c>
      <c r="D21" s="955" t="n">
        <v>299.28</v>
      </c>
      <c r="E21" s="955" t="n">
        <v>14.3</v>
      </c>
      <c r="F21" s="955" t="n">
        <v>2.33</v>
      </c>
      <c r="G21" s="955" t="n">
        <v>16.5</v>
      </c>
      <c r="H21" s="955" t="n">
        <v>801.9</v>
      </c>
      <c r="I21" s="955" t="n">
        <v>-0.9</v>
      </c>
      <c r="J21" s="956" t="inlineStr">
        <is>
          <t>MUA</t>
        </is>
      </c>
      <c r="K21" s="1104" t="inlineStr">
        <is>
          <t>Ngân hàng</t>
        </is>
      </c>
      <c r="L21" s="1024">
        <f>IF(A21='🎯 SÓI v42 — TRA CỨU &amp; DEEP DIV'!$C$4,"⭐ ĐANG XEM","")</f>
        <v/>
      </c>
    </row>
    <row r="22" ht="13.5" customHeight="1" s="981">
      <c r="A22" s="953" t="inlineStr">
        <is>
          <t>V</t>
        </is>
      </c>
      <c r="B22" s="954" t="inlineStr">
        <is>
          <t>Visa</t>
        </is>
      </c>
      <c r="C22" s="955" t="inlineStr">
        <is>
          <t>NYSE</t>
        </is>
      </c>
      <c r="D22" s="955" t="n">
        <v>327.61</v>
      </c>
      <c r="E22" s="955" t="n">
        <v>28.6</v>
      </c>
      <c r="F22" s="955" t="n">
        <v>16.35</v>
      </c>
      <c r="G22" s="955" t="n">
        <v>60.3</v>
      </c>
      <c r="H22" s="955" t="n">
        <v>623</v>
      </c>
      <c r="I22" s="955" t="n">
        <v>-0.9</v>
      </c>
      <c r="J22" s="956" t="inlineStr">
        <is>
          <t>MUA</t>
        </is>
      </c>
      <c r="K22" s="438" t="inlineStr">
        <is>
          <t>Thanh toán</t>
        </is>
      </c>
      <c r="L22" s="1024">
        <f>IF(A22='🎯 SÓI v42 — TRA CỨU &amp; DEEP DIV'!$C$4,"⭐ ĐANG XEM","")</f>
        <v/>
      </c>
    </row>
    <row r="23" ht="13.5" customHeight="1" s="981">
      <c r="A23" s="953" t="inlineStr">
        <is>
          <t>MA</t>
        </is>
      </c>
      <c r="B23" s="954" t="inlineStr">
        <is>
          <t>Mastercard</t>
        </is>
      </c>
      <c r="C23" s="955" t="inlineStr">
        <is>
          <t>NYSE</t>
        </is>
      </c>
      <c r="D23" s="955" t="n">
        <v>495.04</v>
      </c>
      <c r="E23" s="955" t="n">
        <v>28.6</v>
      </c>
      <c r="F23" s="955" t="n">
        <v>65.34</v>
      </c>
      <c r="G23" s="955" t="n">
        <v>232.1</v>
      </c>
      <c r="H23" s="955" t="n">
        <v>437.4</v>
      </c>
      <c r="I23" s="955" t="n">
        <v>-0.6</v>
      </c>
      <c r="J23" s="955" t="inlineStr">
        <is>
          <t>GIỮ</t>
        </is>
      </c>
      <c r="K23" s="1104" t="inlineStr">
        <is>
          <t>Thanh toán</t>
        </is>
      </c>
      <c r="L23" s="1024">
        <f>IF(A23='🎯 SÓI v42 — TRA CỨU &amp; DEEP DIV'!$C$4,"⭐ ĐANG XEM","")</f>
        <v/>
      </c>
    </row>
    <row r="24" ht="13.5" customHeight="1" s="981">
      <c r="A24" s="953" t="inlineStr">
        <is>
          <t>HD</t>
        </is>
      </c>
      <c r="B24" s="954" t="inlineStr">
        <is>
          <t>Home Depot</t>
        </is>
      </c>
      <c r="C24" s="955" t="inlineStr">
        <is>
          <t>NYSE</t>
        </is>
      </c>
      <c r="D24" s="955" t="n">
        <v>317.85</v>
      </c>
      <c r="E24" s="955" t="n">
        <v>22.6</v>
      </c>
      <c r="F24" s="955" t="n">
        <v>22.77</v>
      </c>
      <c r="G24" s="955" t="n">
        <v>128.4</v>
      </c>
      <c r="H24" s="955" t="n">
        <v>316.9</v>
      </c>
      <c r="I24" s="955" t="n">
        <v>2.3</v>
      </c>
      <c r="J24" s="955" t="inlineStr">
        <is>
          <t>GIỮ</t>
        </is>
      </c>
      <c r="K24" s="438" t="inlineStr">
        <is>
          <t>Bán lẻ</t>
        </is>
      </c>
      <c r="L24" s="1024">
        <f>IF(A24='🎯 SÓI v42 — TRA CỨU &amp; DEEP DIV'!$C$4,"⭐ ĐANG XEM","")</f>
        <v/>
      </c>
    </row>
    <row r="25" ht="13.5" customHeight="1" s="981">
      <c r="A25" s="953" t="inlineStr">
        <is>
          <t>CRM</t>
        </is>
      </c>
      <c r="B25" s="954" t="inlineStr">
        <is>
          <t>Salesforce</t>
        </is>
      </c>
      <c r="C25" s="955" t="inlineStr">
        <is>
          <t>NYSE</t>
        </is>
      </c>
      <c r="D25" s="955" t="n">
        <v>177.51</v>
      </c>
      <c r="E25" s="955" t="n">
        <v>20.6</v>
      </c>
      <c r="F25" s="955" t="n">
        <v>2.79</v>
      </c>
      <c r="G25" s="955" t="n">
        <v>12.4</v>
      </c>
      <c r="H25" s="955" t="n">
        <v>145.2</v>
      </c>
      <c r="I25" s="955" t="n">
        <v>-1.4</v>
      </c>
      <c r="J25" s="955" t="inlineStr">
        <is>
          <t>GIỮ</t>
        </is>
      </c>
      <c r="K25" s="1104" t="inlineStr">
        <is>
          <t>SaaS</t>
        </is>
      </c>
      <c r="L25" s="1024">
        <f>IF(A25='🎯 SÓI v42 — TRA CỨU &amp; DEEP DIV'!$C$4,"⭐ ĐANG XEM","")</f>
        <v/>
      </c>
    </row>
    <row r="26" ht="13.5" customHeight="1" s="981">
      <c r="A26" s="953" t="inlineStr">
        <is>
          <t>IBM</t>
        </is>
      </c>
      <c r="B26" s="954" t="inlineStr">
        <is>
          <t>IBM</t>
        </is>
      </c>
      <c r="C26" s="955" t="inlineStr">
        <is>
          <t>NYSE</t>
        </is>
      </c>
      <c r="D26" s="955" t="n">
        <v>255.2</v>
      </c>
      <c r="E26" s="955" t="n">
        <v>22.6</v>
      </c>
      <c r="F26" s="955" t="n">
        <v>7.27</v>
      </c>
      <c r="G26" s="955" t="n">
        <v>35.8</v>
      </c>
      <c r="H26" s="955" t="n">
        <v>239.9</v>
      </c>
      <c r="I26" s="955" t="n">
        <v>13.4</v>
      </c>
      <c r="J26" s="955" t="inlineStr">
        <is>
          <t>GIỮ</t>
        </is>
      </c>
      <c r="K26" s="438" t="inlineStr">
        <is>
          <t>Tech</t>
        </is>
      </c>
      <c r="L26" s="1024">
        <f>IF(A26='🎯 SÓI v42 — TRA CỨU &amp; DEEP DIV'!$C$4,"⭐ ĐANG XEM","")</f>
        <v/>
      </c>
    </row>
    <row r="27" ht="13.5" customHeight="1" s="981">
      <c r="A27" s="953" t="inlineStr">
        <is>
          <t>AMGN</t>
        </is>
      </c>
      <c r="B27" s="954" t="inlineStr">
        <is>
          <t>Amgen</t>
        </is>
      </c>
      <c r="C27" s="955" t="inlineStr">
        <is>
          <t>NASDAQ</t>
        </is>
      </c>
      <c r="D27" s="955" t="n">
        <v>336.06</v>
      </c>
      <c r="E27" s="955" t="n">
        <v>23.4</v>
      </c>
      <c r="F27" s="955" t="n">
        <v>19.74</v>
      </c>
      <c r="G27" s="955" t="n">
        <v>101.3</v>
      </c>
      <c r="H27" s="955" t="n">
        <v>181.4</v>
      </c>
      <c r="I27" s="955" t="n">
        <v>1.4</v>
      </c>
      <c r="J27" s="955" t="inlineStr">
        <is>
          <t>GIỮ</t>
        </is>
      </c>
      <c r="K27" s="1104" t="inlineStr">
        <is>
          <t>Dược sinh học</t>
        </is>
      </c>
      <c r="L27" s="1024">
        <f>IF(A27='🎯 SÓI v42 — TRA CỨU &amp; DEEP DIV'!$C$4,"⭐ ĐANG XEM","")</f>
        <v/>
      </c>
    </row>
    <row r="28" ht="13.5" customHeight="1" s="981">
      <c r="A28" s="953" t="inlineStr">
        <is>
          <t>AXP</t>
        </is>
      </c>
      <c r="B28" s="954" t="inlineStr">
        <is>
          <t>American Express</t>
        </is>
      </c>
      <c r="C28" s="955" t="inlineStr">
        <is>
          <t>NYSE</t>
        </is>
      </c>
      <c r="D28" s="955" t="n">
        <v>312.54</v>
      </c>
      <c r="E28" s="955" t="n">
        <v>19.5</v>
      </c>
      <c r="F28" s="955" t="n">
        <v>6.27</v>
      </c>
      <c r="G28" s="955" t="n">
        <v>34.4</v>
      </c>
      <c r="H28" s="955" t="n">
        <v>213.3</v>
      </c>
      <c r="I28" s="955" t="n">
        <v>0.9</v>
      </c>
      <c r="J28" s="955" t="inlineStr">
        <is>
          <t>GIỮ</t>
        </is>
      </c>
      <c r="K28" s="438" t="inlineStr">
        <is>
          <t>Tài chính</t>
        </is>
      </c>
      <c r="L28" s="1024">
        <f>IF(A28='🎯 SÓI v42 — TRA CỨU &amp; DEEP DIV'!$C$4,"⭐ ĐANG XEM","")</f>
        <v/>
      </c>
    </row>
    <row r="29" ht="13.5" customHeight="1" s="981">
      <c r="A29" s="953" t="inlineStr">
        <is>
          <t>CAT</t>
        </is>
      </c>
      <c r="B29" s="954" t="inlineStr">
        <is>
          <t>Caterpillar</t>
        </is>
      </c>
      <c r="C29" s="955" t="inlineStr">
        <is>
          <t>NYSE</t>
        </is>
      </c>
      <c r="D29" s="955" t="n">
        <v>909.9299999999999</v>
      </c>
      <c r="E29" s="955" t="n">
        <v>45.2</v>
      </c>
      <c r="F29" s="955" t="n">
        <v>22.46</v>
      </c>
      <c r="G29" s="955" t="n">
        <v>51.3</v>
      </c>
      <c r="H29" s="955" t="n">
        <v>419.1</v>
      </c>
      <c r="I29" s="955" t="n">
        <v>4.3</v>
      </c>
      <c r="J29" s="955" t="inlineStr">
        <is>
          <t>GIỮ</t>
        </is>
      </c>
      <c r="K29" s="1104" t="inlineStr">
        <is>
          <t>Máy xây dựng</t>
        </is>
      </c>
      <c r="L29" s="1024">
        <f>IF(A29='🎯 SÓI v42 — TRA CỨU &amp; DEEP DIV'!$C$4,"⭐ ĐANG XEM","")</f>
        <v/>
      </c>
    </row>
    <row r="30" ht="13.5" customHeight="1" s="981">
      <c r="A30" s="953" t="inlineStr">
        <is>
          <t>CVX</t>
        </is>
      </c>
      <c r="B30" s="954" t="inlineStr">
        <is>
          <t>Chevron</t>
        </is>
      </c>
      <c r="C30" s="955" t="inlineStr">
        <is>
          <t>NYSE</t>
        </is>
      </c>
      <c r="D30" s="955" t="n">
        <v>182.4</v>
      </c>
      <c r="E30" s="955" t="n">
        <v>31.7</v>
      </c>
      <c r="F30" s="955" t="n">
        <v>1.96</v>
      </c>
      <c r="G30" s="955" t="n">
        <v>6.6</v>
      </c>
      <c r="H30" s="955" t="n">
        <v>363.3</v>
      </c>
      <c r="I30" s="955" t="n">
        <v>-4.7</v>
      </c>
      <c r="J30" s="955" t="inlineStr">
        <is>
          <t>GIỮ</t>
        </is>
      </c>
      <c r="K30" s="438" t="inlineStr">
        <is>
          <t>Dầu khí</t>
        </is>
      </c>
      <c r="L30" s="1024">
        <f>IF(A30='🎯 SÓI v42 — TRA CỨU &amp; DEEP DIV'!$C$4,"⭐ ĐANG XEM","")</f>
        <v/>
      </c>
    </row>
    <row r="31" ht="13.5" customHeight="1" s="981">
      <c r="A31" s="953" t="inlineStr">
        <is>
          <t>CSCO</t>
        </is>
      </c>
      <c r="B31" s="954" t="inlineStr">
        <is>
          <t>Cisco</t>
        </is>
      </c>
      <c r="C31" s="955" t="inlineStr">
        <is>
          <t>NASDAQ</t>
        </is>
      </c>
      <c r="D31" s="955" t="n">
        <v>119.67</v>
      </c>
      <c r="E31" s="955" t="n">
        <v>39.9</v>
      </c>
      <c r="F31" s="955" t="n">
        <v>9.68</v>
      </c>
      <c r="G31" s="955" t="n">
        <v>25.2</v>
      </c>
      <c r="H31" s="955" t="n">
        <v>471.7</v>
      </c>
      <c r="I31" s="955" t="n">
        <v>4.7</v>
      </c>
      <c r="J31" s="955" t="inlineStr">
        <is>
          <t>GIỮ</t>
        </is>
      </c>
      <c r="K31" s="1104" t="inlineStr">
        <is>
          <t>Mạng</t>
        </is>
      </c>
      <c r="L31" s="1024">
        <f>IF(A31='🎯 SÓI v42 — TRA CỨU &amp; DEEP DIV'!$C$4,"⭐ ĐANG XEM","")</f>
        <v/>
      </c>
    </row>
    <row r="32" ht="13.5" customHeight="1" s="981">
      <c r="A32" s="953" t="inlineStr">
        <is>
          <t>GS</t>
        </is>
      </c>
      <c r="B32" s="954" t="inlineStr">
        <is>
          <t>Goldman Sachs</t>
        </is>
      </c>
      <c r="C32" s="955" t="inlineStr">
        <is>
          <t>NYSE</t>
        </is>
      </c>
      <c r="D32" s="955" t="n">
        <v>996.47</v>
      </c>
      <c r="E32" s="955" t="n">
        <v>18.2</v>
      </c>
      <c r="F32" s="955" t="n">
        <v>2.8</v>
      </c>
      <c r="G32" s="955" t="n">
        <v>14.5</v>
      </c>
      <c r="H32" s="955" t="n">
        <v>294</v>
      </c>
      <c r="I32" s="955" t="n">
        <v>1.5</v>
      </c>
      <c r="J32" s="956" t="inlineStr">
        <is>
          <t>MUA</t>
        </is>
      </c>
      <c r="K32" s="438" t="inlineStr">
        <is>
          <t>NH đầu tư</t>
        </is>
      </c>
      <c r="L32" s="1024">
        <f>IF(A32='🎯 SÓI v42 — TRA CỨU &amp; DEEP DIV'!$C$4,"⭐ ĐANG XEM","")</f>
        <v/>
      </c>
    </row>
    <row r="33" ht="13.5" customHeight="1" s="981">
      <c r="A33" s="953" t="inlineStr">
        <is>
          <t>HON</t>
        </is>
      </c>
      <c r="B33" s="954" t="inlineStr">
        <is>
          <t>Honeywell</t>
        </is>
      </c>
      <c r="C33" s="955" t="inlineStr">
        <is>
          <t>NASDAQ</t>
        </is>
      </c>
      <c r="D33" s="955" t="n">
        <v>231.55</v>
      </c>
      <c r="E33" s="955" t="n">
        <v>37</v>
      </c>
      <c r="F33" s="955" t="n">
        <v>10.8</v>
      </c>
      <c r="G33" s="955" t="n">
        <v>24.3</v>
      </c>
      <c r="H33" s="955" t="n">
        <v>146.7</v>
      </c>
      <c r="I33" s="955" t="n">
        <v>6.5</v>
      </c>
      <c r="J33" s="955" t="inlineStr">
        <is>
          <t>GIỮ</t>
        </is>
      </c>
      <c r="K33" s="1104" t="inlineStr">
        <is>
          <t>Công nghiệp</t>
        </is>
      </c>
      <c r="L33" s="1024">
        <f>IF(A33='🎯 SÓI v42 — TRA CỨU &amp; DEEP DIV'!$C$4,"⭐ ĐANG XEM","")</f>
        <v/>
      </c>
    </row>
    <row r="34" ht="13.5" customHeight="1" s="981">
      <c r="A34" s="953" t="inlineStr">
        <is>
          <t>TRV</t>
        </is>
      </c>
      <c r="B34" s="954" t="inlineStr">
        <is>
          <t>Travelers</t>
        </is>
      </c>
      <c r="C34" s="955" t="inlineStr">
        <is>
          <t>NYSE</t>
        </is>
      </c>
      <c r="D34" s="955" t="n">
        <v>299.94</v>
      </c>
      <c r="E34" s="955" t="n">
        <v>9</v>
      </c>
      <c r="F34" s="955" t="n">
        <v>1.99</v>
      </c>
      <c r="G34" s="955" t="n">
        <v>25.3</v>
      </c>
      <c r="H34" s="955" t="n">
        <v>63.8</v>
      </c>
      <c r="I34" s="955" t="n">
        <v>-2.3</v>
      </c>
      <c r="J34" s="956" t="inlineStr">
        <is>
          <t>MUA</t>
        </is>
      </c>
      <c r="K34" s="438" t="inlineStr">
        <is>
          <t>Bảo hiểm</t>
        </is>
      </c>
      <c r="L34" s="1024">
        <f>IF(A34='🎯 SÓI v42 — TRA CỨU &amp; DEEP DIV'!$C$4,"⭐ ĐANG XEM","")</f>
        <v/>
      </c>
    </row>
    <row r="35" ht="13.5" customHeight="1" s="981">
      <c r="A35" s="953" t="inlineStr">
        <is>
          <t>VZ</t>
        </is>
      </c>
      <c r="B35" s="954" t="inlineStr">
        <is>
          <t>Verizon</t>
        </is>
      </c>
      <c r="C35" s="955" t="inlineStr">
        <is>
          <t>NYSE</t>
        </is>
      </c>
      <c r="D35" s="955" t="n">
        <v>48.24</v>
      </c>
      <c r="E35" s="955" t="n">
        <v>11.8</v>
      </c>
      <c r="F35" s="955" t="n">
        <v>1.95</v>
      </c>
      <c r="G35" s="955" t="n">
        <v>17.2</v>
      </c>
      <c r="H35" s="955" t="n">
        <v>201.4</v>
      </c>
      <c r="I35" s="955" t="n">
        <v>0.9</v>
      </c>
      <c r="J35" s="955" t="inlineStr">
        <is>
          <t>GIỮ</t>
        </is>
      </c>
      <c r="K35" s="1104" t="inlineStr">
        <is>
          <t>Viễn thông</t>
        </is>
      </c>
      <c r="L35" s="1024">
        <f>IF(A35='🎯 SÓI v42 — TRA CỨU &amp; DEEP DIV'!$C$4,"⭐ ĐANG XEM","")</f>
        <v/>
      </c>
    </row>
    <row r="36" ht="13.5" customHeight="1" s="981">
      <c r="A36" s="953" t="inlineStr">
        <is>
          <t>BA</t>
        </is>
      </c>
      <c r="B36" s="954" t="inlineStr">
        <is>
          <t>Boeing</t>
        </is>
      </c>
      <c r="C36" s="955" t="inlineStr">
        <is>
          <t>NYSE</t>
        </is>
      </c>
      <c r="D36" s="955" t="n">
        <v>224.3</v>
      </c>
      <c r="E36" s="955" t="n">
        <v>88.7</v>
      </c>
      <c r="F36" s="955" t="n">
        <v>29.55</v>
      </c>
      <c r="G36" s="955" t="n">
        <v>169.9</v>
      </c>
      <c r="H36" s="955" t="n">
        <v>176.8</v>
      </c>
      <c r="I36" s="955" t="n">
        <v>0.9</v>
      </c>
      <c r="J36" s="955" t="inlineStr">
        <is>
          <t>GIẢM</t>
        </is>
      </c>
      <c r="K36" s="438" t="inlineStr">
        <is>
          <t>Máy bay</t>
        </is>
      </c>
      <c r="L36" s="1024">
        <f>IF(A36='🎯 SÓI v42 — TRA CỨU &amp; DEEP DIV'!$C$4,"⭐ ĐANG XEM","")</f>
        <v/>
      </c>
    </row>
    <row r="37" ht="13.5" customHeight="1" s="981">
      <c r="A37" s="953" t="inlineStr">
        <is>
          <t>MMM</t>
        </is>
      </c>
      <c r="B37" s="954" t="inlineStr">
        <is>
          <t>3M</t>
        </is>
      </c>
      <c r="C37" s="955" t="inlineStr">
        <is>
          <t>NYSE</t>
        </is>
      </c>
      <c r="D37" s="955" t="n">
        <v>155.17</v>
      </c>
      <c r="E37" s="955" t="n">
        <v>30</v>
      </c>
      <c r="F37" s="955" t="n">
        <v>24.8</v>
      </c>
      <c r="G37" s="955" t="n">
        <v>71.5</v>
      </c>
      <c r="H37" s="955" t="n">
        <v>80.90000000000001</v>
      </c>
      <c r="I37" s="955" t="n">
        <v>4.1</v>
      </c>
      <c r="J37" s="955" t="inlineStr">
        <is>
          <t>GIỮ</t>
        </is>
      </c>
      <c r="K37" s="1104" t="inlineStr">
        <is>
          <t>Công nghiệp</t>
        </is>
      </c>
      <c r="L37" s="1024">
        <f>IF(A37='🎯 SÓI v42 — TRA CỨU &amp; DEEP DIV'!$C$4,"⭐ ĐANG XEM","")</f>
        <v/>
      </c>
    </row>
    <row r="38" ht="13.5" customHeight="1" s="981">
      <c r="A38" s="953" t="inlineStr">
        <is>
          <t>BRK-B</t>
        </is>
      </c>
      <c r="B38" s="954" t="inlineStr">
        <is>
          <t>Berkshire</t>
        </is>
      </c>
      <c r="C38" s="955" t="inlineStr">
        <is>
          <t>NYSE</t>
        </is>
      </c>
      <c r="D38" s="955" t="n">
        <v>479.92</v>
      </c>
      <c r="E38" s="955" t="n">
        <v>14.3</v>
      </c>
      <c r="F38" s="955" t="n">
        <v>0</v>
      </c>
      <c r="G38" s="955" t="n">
        <v>10.5</v>
      </c>
      <c r="H38" s="955" t="n">
        <v>1035.1</v>
      </c>
      <c r="I38" s="955" t="n">
        <v>-0.2</v>
      </c>
      <c r="J38" s="956" t="inlineStr">
        <is>
          <t>MUA</t>
        </is>
      </c>
      <c r="K38" s="438" t="inlineStr">
        <is>
          <t>Holding Buffett</t>
        </is>
      </c>
      <c r="L38" s="1024">
        <f>IF(A38='🎯 SÓI v42 — TRA CỨU &amp; DEEP DIV'!$C$4,"⭐ ĐANG XEM","")</f>
        <v/>
      </c>
    </row>
    <row r="39" ht="13.5" customHeight="1" s="981">
      <c r="A39" s="953" t="inlineStr">
        <is>
          <t>BAC</t>
        </is>
      </c>
      <c r="B39" s="954" t="inlineStr">
        <is>
          <t>BoA</t>
        </is>
      </c>
      <c r="C39" s="955" t="inlineStr">
        <is>
          <t>NYSE</t>
        </is>
      </c>
      <c r="D39" s="955" t="n">
        <v>51.1</v>
      </c>
      <c r="E39" s="955" t="n">
        <v>12.7</v>
      </c>
      <c r="F39" s="955" t="n">
        <v>1.32</v>
      </c>
      <c r="G39" s="955" t="n">
        <v>10.6</v>
      </c>
      <c r="H39" s="955" t="n">
        <v>362.6</v>
      </c>
      <c r="I39" s="955" t="n">
        <v>-0.3</v>
      </c>
      <c r="J39" s="956" t="inlineStr">
        <is>
          <t>MUA</t>
        </is>
      </c>
      <c r="K39" s="1104" t="inlineStr">
        <is>
          <t>NH</t>
        </is>
      </c>
      <c r="L39" s="1024">
        <f>IF(A39='🎯 SÓI v42 — TRA CỨU &amp; DEEP DIV'!$C$4,"⭐ ĐANG XEM","")</f>
        <v/>
      </c>
    </row>
    <row r="40" ht="13.5" customHeight="1" s="981">
      <c r="A40" s="953" t="inlineStr">
        <is>
          <t>WFC</t>
        </is>
      </c>
      <c r="B40" s="954" t="inlineStr">
        <is>
          <t>Wells Fargo</t>
        </is>
      </c>
      <c r="C40" s="955" t="inlineStr">
        <is>
          <t>NYSE</t>
        </is>
      </c>
      <c r="D40" s="955" t="n">
        <v>76.11</v>
      </c>
      <c r="E40" s="955" t="n">
        <v>11.8</v>
      </c>
      <c r="F40" s="955" t="n">
        <v>1.43</v>
      </c>
      <c r="G40" s="955" t="n">
        <v>12</v>
      </c>
      <c r="H40" s="955" t="n">
        <v>232.9</v>
      </c>
      <c r="I40" s="955" t="n">
        <v>0.4</v>
      </c>
      <c r="J40" s="956" t="inlineStr">
        <is>
          <t>MUA</t>
        </is>
      </c>
      <c r="K40" s="438" t="inlineStr">
        <is>
          <t>NH</t>
        </is>
      </c>
      <c r="L40" s="1024">
        <f>IF(A40='🎯 SÓI v42 — TRA CỨU &amp; DEEP DIV'!$C$4,"⭐ ĐANG XEM","")</f>
        <v/>
      </c>
    </row>
    <row r="41" ht="13.5" customHeight="1" s="981">
      <c r="A41" s="953" t="inlineStr">
        <is>
          <t>C</t>
        </is>
      </c>
      <c r="B41" s="954" t="inlineStr">
        <is>
          <t>Citigroup</t>
        </is>
      </c>
      <c r="C41" s="955" t="inlineStr">
        <is>
          <t>NYSE</t>
        </is>
      </c>
      <c r="D41" s="955" t="n">
        <v>125.39</v>
      </c>
      <c r="E41" s="955" t="n">
        <v>15.5</v>
      </c>
      <c r="F41" s="955" t="n">
        <v>1.12</v>
      </c>
      <c r="G41" s="955" t="n">
        <v>7.6</v>
      </c>
      <c r="H41" s="955" t="n">
        <v>213.9</v>
      </c>
      <c r="I41" s="955" t="n">
        <v>0.5</v>
      </c>
      <c r="J41" s="956" t="inlineStr">
        <is>
          <t>MUA</t>
        </is>
      </c>
      <c r="K41" s="1104" t="inlineStr">
        <is>
          <t>NH</t>
        </is>
      </c>
      <c r="L41" s="1024">
        <f>IF(A41='🎯 SÓI v42 — TRA CỨU &amp; DEEP DIV'!$C$4,"⭐ ĐANG XEM","")</f>
        <v/>
      </c>
    </row>
    <row r="42" ht="13.5" customHeight="1" s="981">
      <c r="A42" s="953" t="inlineStr">
        <is>
          <t>SCHW</t>
        </is>
      </c>
      <c r="B42" s="954" t="inlineStr">
        <is>
          <t>Schwab</t>
        </is>
      </c>
      <c r="C42" s="955" t="inlineStr">
        <is>
          <t>NYSE</t>
        </is>
      </c>
      <c r="D42" s="955" t="n">
        <v>85.61</v>
      </c>
      <c r="E42" s="955" t="n">
        <v>17</v>
      </c>
      <c r="F42" s="955" t="n">
        <v>3.5</v>
      </c>
      <c r="G42" s="955" t="n">
        <v>19.1</v>
      </c>
      <c r="H42" s="955" t="n">
        <v>148.9</v>
      </c>
      <c r="I42" s="955" t="n">
        <v>-5</v>
      </c>
      <c r="J42" s="955" t="inlineStr">
        <is>
          <t>GIỮ</t>
        </is>
      </c>
      <c r="K42" s="438" t="inlineStr">
        <is>
          <t>Môi giới</t>
        </is>
      </c>
      <c r="L42" s="1024">
        <f>IF(A42='🎯 SÓI v42 — TRA CỨU &amp; DEEP DIV'!$C$4,"⭐ ĐANG XEM","")</f>
        <v/>
      </c>
    </row>
    <row r="43" ht="13.5" customHeight="1" s="981">
      <c r="A43" s="953" t="inlineStr">
        <is>
          <t>BLK</t>
        </is>
      </c>
      <c r="B43" s="954" t="inlineStr">
        <is>
          <t>BlackRock</t>
        </is>
      </c>
      <c r="C43" s="955" t="inlineStr">
        <is>
          <t>NYSE</t>
        </is>
      </c>
      <c r="D43" s="955" t="n">
        <v>1070.34</v>
      </c>
      <c r="E43" s="955" t="n">
        <v>27</v>
      </c>
      <c r="F43" s="955" t="n">
        <v>2.93</v>
      </c>
      <c r="G43" s="955" t="n">
        <v>11.9</v>
      </c>
      <c r="H43" s="955" t="n">
        <v>166.2</v>
      </c>
      <c r="I43" s="955" t="n">
        <v>1.8</v>
      </c>
      <c r="J43" s="956" t="inlineStr">
        <is>
          <t>MUA</t>
        </is>
      </c>
      <c r="K43" s="1104" t="inlineStr">
        <is>
          <t>Quản lý TS</t>
        </is>
      </c>
      <c r="L43" s="1024">
        <f>IF(A43='🎯 SÓI v42 — TRA CỨU &amp; DEEP DIV'!$C$4,"⭐ ĐANG XEM","")</f>
        <v/>
      </c>
    </row>
    <row r="44" ht="13.5" customHeight="1" s="981">
      <c r="A44" s="953" t="inlineStr">
        <is>
          <t>SPGI</t>
        </is>
      </c>
      <c r="B44" s="954" t="inlineStr">
        <is>
          <t>S&amp;P Global</t>
        </is>
      </c>
      <c r="C44" s="955" t="inlineStr">
        <is>
          <t>NYSE</t>
        </is>
      </c>
      <c r="D44" s="955" t="n">
        <v>415.8</v>
      </c>
      <c r="E44" s="955" t="n">
        <v>26.3</v>
      </c>
      <c r="F44" s="955" t="n">
        <v>3.95</v>
      </c>
      <c r="G44" s="955" t="n">
        <v>13.9</v>
      </c>
      <c r="H44" s="955" t="n">
        <v>123.1</v>
      </c>
      <c r="I44" s="955" t="n">
        <v>-0.3</v>
      </c>
      <c r="J44" s="955" t="inlineStr">
        <is>
          <t>GIỮ</t>
        </is>
      </c>
      <c r="K44" s="438" t="inlineStr">
        <is>
          <t>Rating</t>
        </is>
      </c>
      <c r="L44" s="1024">
        <f>IF(A44='🎯 SÓI v42 — TRA CỨU &amp; DEEP DIV'!$C$4,"⭐ ĐANG XEM","")</f>
        <v/>
      </c>
    </row>
    <row r="45" ht="13.5" customHeight="1" s="981">
      <c r="A45" s="953" t="inlineStr">
        <is>
          <t>MS</t>
        </is>
      </c>
      <c r="B45" s="954" t="inlineStr">
        <is>
          <t>Morgan Stanley</t>
        </is>
      </c>
      <c r="C45" s="955" t="inlineStr">
        <is>
          <t>NYSE</t>
        </is>
      </c>
      <c r="D45" s="955" t="n">
        <v>201.61</v>
      </c>
      <c r="E45" s="955" t="n">
        <v>18.2</v>
      </c>
      <c r="F45" s="955" t="n">
        <v>3.05</v>
      </c>
      <c r="G45" s="955" t="n">
        <v>16.4</v>
      </c>
      <c r="H45" s="955" t="n">
        <v>318</v>
      </c>
      <c r="I45" s="955" t="n">
        <v>1.9</v>
      </c>
      <c r="J45" s="956" t="inlineStr">
        <is>
          <t>MUA</t>
        </is>
      </c>
      <c r="K45" s="1104" t="inlineStr">
        <is>
          <t>NH đầu tư</t>
        </is>
      </c>
      <c r="L45" s="1024">
        <f>IF(A45='🎯 SÓI v42 — TRA CỨU &amp; DEEP DIV'!$C$4,"⭐ ĐANG XEM","")</f>
        <v/>
      </c>
    </row>
    <row r="46" ht="13.5" customHeight="1" s="981">
      <c r="A46" s="953" t="inlineStr">
        <is>
          <t>LLY</t>
        </is>
      </c>
      <c r="B46" s="954" t="inlineStr">
        <is>
          <t>Eli Lilly</t>
        </is>
      </c>
      <c r="C46" s="955" t="inlineStr">
        <is>
          <t>NYSE</t>
        </is>
      </c>
      <c r="D46" s="955" t="n">
        <v>1082.92</v>
      </c>
      <c r="E46" s="955" t="n">
        <v>38.5</v>
      </c>
      <c r="F46" s="955" t="n">
        <v>31.01</v>
      </c>
      <c r="G46" s="955" t="n">
        <v>107.5</v>
      </c>
      <c r="H46" s="955" t="n">
        <v>965.7</v>
      </c>
      <c r="I46" s="955" t="n">
        <v>6.3</v>
      </c>
      <c r="J46" s="955" t="inlineStr">
        <is>
          <t>GIỮ</t>
        </is>
      </c>
      <c r="K46" s="438" t="inlineStr">
        <is>
          <t>Dược</t>
        </is>
      </c>
      <c r="L46" s="1024">
        <f>IF(A46='🎯 SÓI v42 — TRA CỨU &amp; DEEP DIV'!$C$4,"⭐ ĐANG XEM","")</f>
        <v/>
      </c>
    </row>
    <row r="47" ht="13.5" customHeight="1" s="981">
      <c r="A47" s="953" t="inlineStr">
        <is>
          <t>PFE</t>
        </is>
      </c>
      <c r="B47" s="954" t="inlineStr">
        <is>
          <t>Pfizer</t>
        </is>
      </c>
      <c r="C47" s="955" t="inlineStr">
        <is>
          <t>NYSE</t>
        </is>
      </c>
      <c r="D47" s="955" t="n">
        <v>26.21</v>
      </c>
      <c r="E47" s="955" t="n">
        <v>20</v>
      </c>
      <c r="F47" s="955" t="n">
        <v>1.66</v>
      </c>
      <c r="G47" s="955" t="n">
        <v>8.300000000000001</v>
      </c>
      <c r="H47" s="955" t="n">
        <v>149.4</v>
      </c>
      <c r="I47" s="955" t="n">
        <v>1.6</v>
      </c>
      <c r="J47" s="955" t="inlineStr">
        <is>
          <t>GIỮ</t>
        </is>
      </c>
      <c r="K47" s="1104" t="inlineStr">
        <is>
          <t>Dược</t>
        </is>
      </c>
      <c r="L47" s="1024">
        <f>IF(A47='🎯 SÓI v42 — TRA CỨU &amp; DEEP DIV'!$C$4,"⭐ ĐANG XEM","")</f>
        <v/>
      </c>
    </row>
    <row r="48" ht="13.5" customHeight="1" s="981">
      <c r="A48" s="953" t="inlineStr">
        <is>
          <t>ABBV</t>
        </is>
      </c>
      <c r="B48" s="954" t="inlineStr">
        <is>
          <t>AbbVie</t>
        </is>
      </c>
      <c r="C48" s="955" t="inlineStr">
        <is>
          <t>NYSE</t>
        </is>
      </c>
      <c r="D48" s="955" t="n">
        <v>215.4</v>
      </c>
      <c r="E48" s="955" t="n">
        <v>105.1</v>
      </c>
      <c r="F48" s="955" t="n">
        <v>-57.18</v>
      </c>
      <c r="G48" s="955" t="n"/>
      <c r="H48" s="955" t="n">
        <v>380.6</v>
      </c>
      <c r="I48" s="955" t="n">
        <v>1.5</v>
      </c>
      <c r="J48" s="955" t="inlineStr">
        <is>
          <t>GIỮ</t>
        </is>
      </c>
      <c r="K48" s="438" t="inlineStr">
        <is>
          <t>Dược</t>
        </is>
      </c>
      <c r="L48" s="1024">
        <f>IF(A48='🎯 SÓI v42 — TRA CỨU &amp; DEEP DIV'!$C$4,"⭐ ĐANG XEM","")</f>
        <v/>
      </c>
    </row>
    <row r="49" ht="13.5" customHeight="1" s="981">
      <c r="A49" s="953" t="inlineStr">
        <is>
          <t>TMO</t>
        </is>
      </c>
      <c r="B49" s="954" t="inlineStr">
        <is>
          <t>Thermo Fisher</t>
        </is>
      </c>
      <c r="C49" s="955" t="inlineStr">
        <is>
          <t>NYSE</t>
        </is>
      </c>
      <c r="D49" s="955" t="n">
        <v>456.21</v>
      </c>
      <c r="E49" s="955" t="n">
        <v>25.1</v>
      </c>
      <c r="F49" s="955" t="n">
        <v>3.21</v>
      </c>
      <c r="G49" s="955" t="n">
        <v>13.5</v>
      </c>
      <c r="H49" s="955" t="n">
        <v>169.5</v>
      </c>
      <c r="I49" s="955" t="n">
        <v>1</v>
      </c>
      <c r="J49" s="955" t="inlineStr">
        <is>
          <t>GIỮ</t>
        </is>
      </c>
      <c r="K49" s="1104" t="inlineStr">
        <is>
          <t>TBYT</t>
        </is>
      </c>
      <c r="L49" s="1024">
        <f>IF(A49='🎯 SÓI v42 — TRA CỨU &amp; DEEP DIV'!$C$4,"⭐ ĐANG XEM","")</f>
        <v/>
      </c>
    </row>
    <row r="50" ht="13.5" customHeight="1" s="981">
      <c r="A50" s="953" t="inlineStr">
        <is>
          <t>MRK</t>
        </is>
      </c>
      <c r="B50" s="954" t="inlineStr">
        <is>
          <t>Merck</t>
        </is>
      </c>
      <c r="C50" s="955" t="inlineStr">
        <is>
          <t>NYSE</t>
        </is>
      </c>
      <c r="D50" s="955" t="n">
        <v>120.24</v>
      </c>
      <c r="E50" s="955" t="n">
        <v>33.9</v>
      </c>
      <c r="F50" s="955" t="n">
        <v>6.47</v>
      </c>
      <c r="G50" s="955" t="n">
        <v>18.9</v>
      </c>
      <c r="H50" s="955" t="n">
        <v>297</v>
      </c>
      <c r="I50" s="955" t="n">
        <v>6.4</v>
      </c>
      <c r="J50" s="955" t="inlineStr">
        <is>
          <t>GIỮ</t>
        </is>
      </c>
      <c r="K50" s="438" t="inlineStr">
        <is>
          <t>Dược</t>
        </is>
      </c>
      <c r="L50" s="1024">
        <f>IF(A50='🎯 SÓI v42 — TRA CỨU &amp; DEEP DIV'!$C$4,"⭐ ĐANG XEM","")</f>
        <v/>
      </c>
    </row>
    <row r="51" ht="13.5" customHeight="1" s="981">
      <c r="A51" s="953" t="inlineStr">
        <is>
          <t>ABT</t>
        </is>
      </c>
      <c r="B51" s="954" t="inlineStr">
        <is>
          <t>Abbott</t>
        </is>
      </c>
      <c r="C51" s="955" t="inlineStr">
        <is>
          <t>NYSE</t>
        </is>
      </c>
      <c r="D51" s="955" t="n">
        <v>85.68000000000001</v>
      </c>
      <c r="E51" s="955" t="n">
        <v>24</v>
      </c>
      <c r="F51" s="955" t="n">
        <v>2.87</v>
      </c>
      <c r="G51" s="955" t="n">
        <v>12.3</v>
      </c>
      <c r="H51" s="955" t="n">
        <v>149.2</v>
      </c>
      <c r="I51" s="955" t="n">
        <v>-3.1</v>
      </c>
      <c r="J51" s="955" t="inlineStr">
        <is>
          <t>GIỮ</t>
        </is>
      </c>
      <c r="K51" s="1104" t="inlineStr">
        <is>
          <t>TBYT</t>
        </is>
      </c>
      <c r="L51" s="1024">
        <f>IF(A51='🎯 SÓI v42 — TRA CỨU &amp; DEEP DIV'!$C$4,"⭐ ĐANG XEM","")</f>
        <v/>
      </c>
    </row>
    <row r="52" ht="13.5" customHeight="1" s="981">
      <c r="A52" s="953" t="inlineStr">
        <is>
          <t>DHR</t>
        </is>
      </c>
      <c r="B52" s="954" t="inlineStr">
        <is>
          <t>Danaher</t>
        </is>
      </c>
      <c r="C52" s="955" t="inlineStr">
        <is>
          <t>NYSE</t>
        </is>
      </c>
      <c r="D52" s="955" t="n">
        <v>173.13</v>
      </c>
      <c r="E52" s="955" t="n">
        <v>33.6</v>
      </c>
      <c r="F52" s="955" t="n">
        <v>2.31</v>
      </c>
      <c r="G52" s="955" t="n">
        <v>7.1</v>
      </c>
      <c r="H52" s="955" t="n">
        <v>122.5</v>
      </c>
      <c r="I52" s="955" t="n">
        <v>1.2</v>
      </c>
      <c r="J52" s="955" t="inlineStr">
        <is>
          <t>GIỮ</t>
        </is>
      </c>
      <c r="K52" s="438" t="inlineStr">
        <is>
          <t>Khoa học</t>
        </is>
      </c>
      <c r="L52" s="1024">
        <f>IF(A52='🎯 SÓI v42 — TRA CỨU &amp; DEEP DIV'!$C$4,"⭐ ĐANG XEM","")</f>
        <v/>
      </c>
    </row>
    <row r="53" ht="13.5" customHeight="1" s="981">
      <c r="A53" s="953" t="inlineStr">
        <is>
          <t>BMY</t>
        </is>
      </c>
      <c r="B53" s="954" t="inlineStr">
        <is>
          <t>Bristol-Myers</t>
        </is>
      </c>
      <c r="C53" s="955" t="inlineStr">
        <is>
          <t>NYSE</t>
        </is>
      </c>
      <c r="D53" s="955" t="n">
        <v>57.52</v>
      </c>
      <c r="E53" s="955" t="n">
        <v>16.1</v>
      </c>
      <c r="F53" s="955" t="n">
        <v>5.85</v>
      </c>
      <c r="G53" s="955" t="n">
        <v>38.7</v>
      </c>
      <c r="H53" s="955" t="n">
        <v>117.5</v>
      </c>
      <c r="I53" s="955" t="n">
        <v>-1.7</v>
      </c>
      <c r="J53" s="956" t="inlineStr">
        <is>
          <t>MUA</t>
        </is>
      </c>
      <c r="K53" s="1104" t="inlineStr">
        <is>
          <t>Dược</t>
        </is>
      </c>
      <c r="L53" s="1024">
        <f>IF(A53='🎯 SÓI v42 — TRA CỨU &amp; DEEP DIV'!$C$4,"⭐ ĐANG XEM","")</f>
        <v/>
      </c>
    </row>
    <row r="54" ht="13.5" customHeight="1" s="981">
      <c r="A54" s="953" t="inlineStr">
        <is>
          <t>GILD</t>
        </is>
      </c>
      <c r="B54" s="954" t="inlineStr">
        <is>
          <t>Gilead</t>
        </is>
      </c>
      <c r="C54" s="955" t="inlineStr">
        <is>
          <t>NASDAQ</t>
        </is>
      </c>
      <c r="D54" s="955" t="n">
        <v>133.69</v>
      </c>
      <c r="E54" s="955" t="n">
        <v>18.2</v>
      </c>
      <c r="F54" s="955" t="n">
        <v>7.06</v>
      </c>
      <c r="G54" s="955" t="n">
        <v>43.4</v>
      </c>
      <c r="H54" s="955" t="n">
        <v>166</v>
      </c>
      <c r="I54" s="955" t="n">
        <v>2.3</v>
      </c>
      <c r="J54" s="956" t="inlineStr">
        <is>
          <t>MUA</t>
        </is>
      </c>
      <c r="K54" s="438" t="inlineStr">
        <is>
          <t>Dược</t>
        </is>
      </c>
      <c r="L54" s="1024">
        <f>IF(A54='🎯 SÓI v42 — TRA CỨU &amp; DEEP DIV'!$C$4,"⭐ ĐANG XEM","")</f>
        <v/>
      </c>
    </row>
    <row r="55" ht="13.5" customHeight="1" s="981">
      <c r="A55" s="953" t="inlineStr">
        <is>
          <t>COST</t>
        </is>
      </c>
      <c r="B55" s="954" t="inlineStr">
        <is>
          <t>Costco</t>
        </is>
      </c>
      <c r="C55" s="955" t="inlineStr">
        <is>
          <t>NASDAQ</t>
        </is>
      </c>
      <c r="D55" s="955" t="n">
        <v>1003.69</v>
      </c>
      <c r="E55" s="955" t="n">
        <v>52.1</v>
      </c>
      <c r="F55" s="955" t="n">
        <v>26.92</v>
      </c>
      <c r="G55" s="955" t="n">
        <v>29.7</v>
      </c>
      <c r="H55" s="955" t="n">
        <v>445.3</v>
      </c>
      <c r="I55" s="955" t="n">
        <v>-6.5</v>
      </c>
      <c r="J55" s="955" t="inlineStr">
        <is>
          <t>GIỮ</t>
        </is>
      </c>
      <c r="K55" s="1104" t="inlineStr">
        <is>
          <t>Wholesale</t>
        </is>
      </c>
      <c r="L55" s="1024">
        <f>IF(A55='🎯 SÓI v42 — TRA CỨU &amp; DEEP DIV'!$C$4,"⭐ ĐANG XEM","")</f>
        <v/>
      </c>
    </row>
    <row r="56" ht="13.5" customHeight="1" s="981">
      <c r="A56" s="953" t="inlineStr">
        <is>
          <t>SBUX</t>
        </is>
      </c>
      <c r="B56" s="954" t="inlineStr">
        <is>
          <t>Starbucks</t>
        </is>
      </c>
      <c r="C56" s="955" t="inlineStr">
        <is>
          <t>NASDAQ</t>
        </is>
      </c>
      <c r="D56" s="955" t="n">
        <v>102.1</v>
      </c>
      <c r="E56" s="955" t="n">
        <v>77.90000000000001</v>
      </c>
      <c r="F56" s="955" t="n">
        <v>-13.74</v>
      </c>
      <c r="G56" s="955" t="n"/>
      <c r="H56" s="955" t="n">
        <v>116.4</v>
      </c>
      <c r="I56" s="955" t="n">
        <v>-4.1</v>
      </c>
      <c r="J56" s="955" t="inlineStr">
        <is>
          <t>GIỮ</t>
        </is>
      </c>
      <c r="K56" s="438" t="inlineStr">
        <is>
          <t>Cà phê</t>
        </is>
      </c>
      <c r="L56" s="1024">
        <f>IF(A56='🎯 SÓI v42 — TRA CỨU &amp; DEEP DIV'!$C$4,"⭐ ĐANG XEM","")</f>
        <v/>
      </c>
    </row>
    <row r="57" ht="13.5" customHeight="1" s="981">
      <c r="A57" s="953" t="inlineStr">
        <is>
          <t>TGT</t>
        </is>
      </c>
      <c r="B57" s="954" t="inlineStr">
        <is>
          <t>Target</t>
        </is>
      </c>
      <c r="C57" s="955" t="inlineStr">
        <is>
          <t>NYSE</t>
        </is>
      </c>
      <c r="D57" s="955" t="n">
        <v>128.33</v>
      </c>
      <c r="E57" s="955" t="n">
        <v>17</v>
      </c>
      <c r="F57" s="955" t="n">
        <v>3.59</v>
      </c>
      <c r="G57" s="955" t="n">
        <v>22</v>
      </c>
      <c r="H57" s="955" t="n">
        <v>58.3</v>
      </c>
      <c r="I57" s="955" t="n">
        <v>4.9</v>
      </c>
      <c r="J57" s="955" t="inlineStr">
        <is>
          <t>GIỮ</t>
        </is>
      </c>
      <c r="K57" s="1104" t="inlineStr">
        <is>
          <t>Bán lẻ</t>
        </is>
      </c>
      <c r="L57" s="1024">
        <f>IF(A57='🎯 SÓI v42 — TRA CỨU &amp; DEEP DIV'!$C$4,"⭐ ĐANG XEM","")</f>
        <v/>
      </c>
    </row>
    <row r="58" ht="13.5" customHeight="1" s="981">
      <c r="A58" s="953" t="inlineStr">
        <is>
          <t>LOW</t>
        </is>
      </c>
      <c r="B58" s="954" t="inlineStr">
        <is>
          <t>Lowe</t>
        </is>
      </c>
      <c r="C58" s="955" t="inlineStr">
        <is>
          <t>NYSE</t>
        </is>
      </c>
      <c r="D58" s="955" t="n">
        <v>216.84</v>
      </c>
      <c r="E58" s="955" t="n">
        <v>18.3</v>
      </c>
      <c r="F58" s="955" t="n">
        <v>-13.12</v>
      </c>
      <c r="G58" s="955" t="n"/>
      <c r="H58" s="955" t="n">
        <v>121.6</v>
      </c>
      <c r="I58" s="955" t="n">
        <v>-1.9</v>
      </c>
      <c r="J58" s="955" t="inlineStr">
        <is>
          <t>GIỮ</t>
        </is>
      </c>
      <c r="K58" s="438" t="inlineStr">
        <is>
          <t>Bán lẻ</t>
        </is>
      </c>
      <c r="L58" s="1024">
        <f>IF(A58='🎯 SÓI v42 — TRA CỨU &amp; DEEP DIV'!$C$4,"⭐ ĐANG XEM","")</f>
        <v/>
      </c>
    </row>
    <row r="59" ht="13.5" customHeight="1" s="981">
      <c r="A59" s="953" t="inlineStr">
        <is>
          <t>TJX</t>
        </is>
      </c>
      <c r="B59" s="954" t="inlineStr">
        <is>
          <t>TJX</t>
        </is>
      </c>
      <c r="C59" s="955" t="inlineStr">
        <is>
          <t>NYSE</t>
        </is>
      </c>
      <c r="D59" s="955" t="n">
        <v>157.01</v>
      </c>
      <c r="E59" s="955" t="n">
        <v>30.6</v>
      </c>
      <c r="F59" s="955" t="n">
        <v>17.06</v>
      </c>
      <c r="G59" s="955" t="n">
        <v>61.3</v>
      </c>
      <c r="H59" s="955" t="n">
        <v>173.6</v>
      </c>
      <c r="I59" s="955" t="n">
        <v>-1.4</v>
      </c>
      <c r="J59" s="955" t="inlineStr">
        <is>
          <t>GIỮ</t>
        </is>
      </c>
      <c r="K59" s="1104" t="inlineStr">
        <is>
          <t>Bán lẻ</t>
        </is>
      </c>
      <c r="L59" s="1024">
        <f>IF(A59='🎯 SÓI v42 — TRA CỨU &amp; DEEP DIV'!$C$4,"⭐ ĐANG XEM","")</f>
        <v/>
      </c>
    </row>
    <row r="60" ht="13.5" customHeight="1" s="981">
      <c r="A60" s="953" t="inlineStr">
        <is>
          <t>BKNG</t>
        </is>
      </c>
      <c r="B60" s="954" t="inlineStr">
        <is>
          <t>Booking</t>
        </is>
      </c>
      <c r="C60" s="955" t="inlineStr">
        <is>
          <t>NASDAQ</t>
        </is>
      </c>
      <c r="D60" s="955" t="n">
        <v>168.37</v>
      </c>
      <c r="E60" s="955" t="n">
        <v>22.2</v>
      </c>
      <c r="F60" s="955" t="n">
        <v>-15.05</v>
      </c>
      <c r="G60" s="955" t="n"/>
      <c r="H60" s="955" t="n">
        <v>130.5</v>
      </c>
      <c r="I60" s="955" t="n">
        <v>7.3</v>
      </c>
      <c r="J60" s="955" t="inlineStr">
        <is>
          <t>GIỮ</t>
        </is>
      </c>
      <c r="K60" s="438" t="inlineStr">
        <is>
          <t>Du lịch</t>
        </is>
      </c>
      <c r="L60" s="1024">
        <f>IF(A60='🎯 SÓI v42 — TRA CỨU &amp; DEEP DIV'!$C$4,"⭐ ĐANG XEM","")</f>
        <v/>
      </c>
    </row>
    <row r="61" ht="13.5" customHeight="1" s="981">
      <c r="A61" s="953" t="inlineStr">
        <is>
          <t>GE</t>
        </is>
      </c>
      <c r="B61" s="954" t="inlineStr">
        <is>
          <t>GE</t>
        </is>
      </c>
      <c r="C61" s="955" t="inlineStr">
        <is>
          <t>NYSE</t>
        </is>
      </c>
      <c r="D61" s="955" t="n">
        <v>317.21</v>
      </c>
      <c r="E61" s="955" t="n">
        <v>39.4</v>
      </c>
      <c r="F61" s="955" t="n">
        <v>17.81</v>
      </c>
      <c r="G61" s="955" t="n">
        <v>45.4</v>
      </c>
      <c r="H61" s="955" t="n">
        <v>331.4</v>
      </c>
      <c r="I61" s="955" t="n">
        <v>5.7</v>
      </c>
      <c r="J61" s="955" t="inlineStr">
        <is>
          <t>GIỮ</t>
        </is>
      </c>
      <c r="K61" s="1104" t="inlineStr">
        <is>
          <t>Hàng không</t>
        </is>
      </c>
      <c r="L61" s="1024">
        <f>IF(A61='🎯 SÓI v42 — TRA CỨU &amp; DEEP DIV'!$C$4,"⭐ ĐANG XEM","")</f>
        <v/>
      </c>
    </row>
    <row r="62" ht="13.5" customHeight="1" s="981">
      <c r="A62" s="953" t="inlineStr">
        <is>
          <t>UPS</t>
        </is>
      </c>
      <c r="B62" s="954" t="inlineStr">
        <is>
          <t>UPS</t>
        </is>
      </c>
      <c r="C62" s="955" t="inlineStr">
        <is>
          <t>NYSE</t>
        </is>
      </c>
      <c r="D62" s="955" t="n">
        <v>104.47</v>
      </c>
      <c r="E62" s="955" t="n">
        <v>16.9</v>
      </c>
      <c r="F62" s="955" t="n">
        <v>5.47</v>
      </c>
      <c r="G62" s="955" t="n">
        <v>33.4</v>
      </c>
      <c r="H62" s="955" t="n">
        <v>88.8</v>
      </c>
      <c r="I62" s="955" t="n">
        <v>5.7</v>
      </c>
      <c r="J62" s="955" t="inlineStr">
        <is>
          <t>GIỮ</t>
        </is>
      </c>
      <c r="K62" s="438" t="inlineStr">
        <is>
          <t>Vận chuyển</t>
        </is>
      </c>
      <c r="L62" s="1024">
        <f>IF(A62='🎯 SÓI v42 — TRA CỨU &amp; DEEP DIV'!$C$4,"⭐ ĐANG XEM","")</f>
        <v/>
      </c>
    </row>
    <row r="63" ht="13.5" customHeight="1" s="981">
      <c r="A63" s="953" t="inlineStr">
        <is>
          <t>DE</t>
        </is>
      </c>
      <c r="B63" s="954" t="inlineStr">
        <is>
          <t>Deere</t>
        </is>
      </c>
      <c r="C63" s="955" t="inlineStr">
        <is>
          <t>NYSE</t>
        </is>
      </c>
      <c r="D63" s="955" t="n">
        <v>529.39</v>
      </c>
      <c r="E63" s="955" t="n">
        <v>30</v>
      </c>
      <c r="F63" s="955" t="n">
        <v>5.22</v>
      </c>
      <c r="G63" s="955" t="n">
        <v>18.3</v>
      </c>
      <c r="H63" s="955" t="n">
        <v>143</v>
      </c>
      <c r="I63" s="955" t="n">
        <v>-5.5</v>
      </c>
      <c r="J63" s="956" t="inlineStr">
        <is>
          <t>MUA</t>
        </is>
      </c>
      <c r="K63" s="1104" t="inlineStr">
        <is>
          <t>Nông nghiệp</t>
        </is>
      </c>
      <c r="L63" s="1024">
        <f>IF(A63='🎯 SÓI v42 — TRA CỨU &amp; DEEP DIV'!$C$4,"⭐ ĐANG XEM","")</f>
        <v/>
      </c>
    </row>
    <row r="64" ht="13.5" customHeight="1" s="981">
      <c r="A64" s="953" t="inlineStr">
        <is>
          <t>LMT</t>
        </is>
      </c>
      <c r="B64" s="954" t="inlineStr">
        <is>
          <t>Lockheed</t>
        </is>
      </c>
      <c r="C64" s="955" t="inlineStr">
        <is>
          <t>NYSE</t>
        </is>
      </c>
      <c r="D64" s="955" t="n">
        <v>531.14</v>
      </c>
      <c r="E64" s="955" t="n">
        <v>25.7</v>
      </c>
      <c r="F64" s="955" t="n">
        <v>16.31</v>
      </c>
      <c r="G64" s="955" t="n">
        <v>67.59999999999999</v>
      </c>
      <c r="H64" s="955" t="n">
        <v>122.5</v>
      </c>
      <c r="I64" s="955" t="n">
        <v>1.6</v>
      </c>
      <c r="J64" s="955" t="inlineStr">
        <is>
          <t>GIỮ</t>
        </is>
      </c>
      <c r="K64" s="438" t="inlineStr">
        <is>
          <t>Quốc phòng</t>
        </is>
      </c>
      <c r="L64" s="1024">
        <f>IF(A64='🎯 SÓI v42 — TRA CỨU &amp; DEEP DIV'!$C$4,"⭐ ĐANG XEM","")</f>
        <v/>
      </c>
    </row>
    <row r="65" ht="13.5" customHeight="1" s="981">
      <c r="A65" s="953" t="inlineStr">
        <is>
          <t>RTX</t>
        </is>
      </c>
      <c r="B65" s="954" t="inlineStr">
        <is>
          <t>RTX</t>
        </is>
      </c>
      <c r="C65" s="955" t="inlineStr">
        <is>
          <t>NYSE</t>
        </is>
      </c>
      <c r="D65" s="955" t="n">
        <v>176.59</v>
      </c>
      <c r="E65" s="955" t="n">
        <v>33.1</v>
      </c>
      <c r="F65" s="955" t="n">
        <v>3.63</v>
      </c>
      <c r="G65" s="955" t="n">
        <v>11.6</v>
      </c>
      <c r="H65" s="955" t="n">
        <v>237.8</v>
      </c>
      <c r="I65" s="955" t="n">
        <v>1.4</v>
      </c>
      <c r="J65" s="955" t="inlineStr">
        <is>
          <t>GIỮ</t>
        </is>
      </c>
      <c r="K65" s="1104" t="inlineStr">
        <is>
          <t>Hàng không</t>
        </is>
      </c>
      <c r="L65" s="1024">
        <f>IF(A65='🎯 SÓI v42 — TRA CỨU &amp; DEEP DIV'!$C$4,"⭐ ĐANG XEM","")</f>
        <v/>
      </c>
    </row>
    <row r="66" ht="13.5" customHeight="1" s="981">
      <c r="A66" s="953" t="inlineStr">
        <is>
          <t>UNP</t>
        </is>
      </c>
      <c r="B66" s="954" t="inlineStr">
        <is>
          <t>Union Pacific</t>
        </is>
      </c>
      <c r="C66" s="955" t="inlineStr">
        <is>
          <t>NYSE</t>
        </is>
      </c>
      <c r="D66" s="955" t="n">
        <v>279.39</v>
      </c>
      <c r="E66" s="955" t="n">
        <v>23</v>
      </c>
      <c r="F66" s="955" t="n">
        <v>8.98</v>
      </c>
      <c r="G66" s="955" t="n">
        <v>40.7</v>
      </c>
      <c r="H66" s="955" t="n">
        <v>165.9</v>
      </c>
      <c r="I66" s="955" t="n">
        <v>5.1</v>
      </c>
      <c r="J66" s="955" t="inlineStr">
        <is>
          <t>GIỮ</t>
        </is>
      </c>
      <c r="K66" s="438" t="inlineStr">
        <is>
          <t>Đường sắt</t>
        </is>
      </c>
      <c r="L66" s="1024">
        <f>IF(A66='🎯 SÓI v42 — TRA CỨU &amp; DEEP DIV'!$C$4,"⭐ ĐANG XEM","")</f>
        <v/>
      </c>
    </row>
    <row r="67" ht="13.5" customHeight="1" s="981">
      <c r="A67" s="953" t="inlineStr">
        <is>
          <t>NOC</t>
        </is>
      </c>
      <c r="B67" s="954" t="inlineStr">
        <is>
          <t>Northrop</t>
        </is>
      </c>
      <c r="C67" s="955" t="inlineStr">
        <is>
          <t>NYSE</t>
        </is>
      </c>
      <c r="D67" s="955" t="n">
        <v>551.34</v>
      </c>
      <c r="E67" s="955" t="n">
        <v>17.3</v>
      </c>
      <c r="F67" s="955" t="n">
        <v>4.58</v>
      </c>
      <c r="G67" s="955" t="n">
        <v>28.5</v>
      </c>
      <c r="H67" s="955" t="n">
        <v>78.3</v>
      </c>
      <c r="I67" s="955" t="n">
        <v>-0.2</v>
      </c>
      <c r="J67" s="955" t="inlineStr">
        <is>
          <t>GIỮ</t>
        </is>
      </c>
      <c r="K67" s="1104" t="inlineStr">
        <is>
          <t>Quốc phòng</t>
        </is>
      </c>
      <c r="L67" s="1024">
        <f>IF(A67='🎯 SÓI v42 — TRA CỨU &amp; DEEP DIV'!$C$4,"⭐ ĐANG XEM","")</f>
        <v/>
      </c>
    </row>
    <row r="68" ht="13.5" customHeight="1" s="981">
      <c r="A68" s="953" t="inlineStr">
        <is>
          <t>ETN</t>
        </is>
      </c>
      <c r="B68" s="954" t="inlineStr">
        <is>
          <t>Eaton</t>
        </is>
      </c>
      <c r="C68" s="955" t="inlineStr">
        <is>
          <t>NYSE</t>
        </is>
      </c>
      <c r="D68" s="955" t="n">
        <v>406.37</v>
      </c>
      <c r="E68" s="955" t="n">
        <v>39.8</v>
      </c>
      <c r="F68" s="955" t="n">
        <v>8</v>
      </c>
      <c r="G68" s="955" t="n">
        <v>20.8</v>
      </c>
      <c r="H68" s="955" t="n">
        <v>157.8</v>
      </c>
      <c r="I68" s="955" t="n">
        <v>7</v>
      </c>
      <c r="J68" s="956" t="inlineStr">
        <is>
          <t>MUA</t>
        </is>
      </c>
      <c r="K68" s="438" t="inlineStr">
        <is>
          <t>Điện</t>
        </is>
      </c>
      <c r="L68" s="1024">
        <f>IF(A68='🎯 SÓI v42 — TRA CỨU &amp; DEEP DIV'!$C$4,"⭐ ĐANG XEM","")</f>
        <v/>
      </c>
    </row>
    <row r="69" ht="13.5" customHeight="1" s="981">
      <c r="A69" s="953" t="inlineStr">
        <is>
          <t>XOM</t>
        </is>
      </c>
      <c r="B69" s="954" t="inlineStr">
        <is>
          <t>ExxonMobil</t>
        </is>
      </c>
      <c r="C69" s="955" t="inlineStr">
        <is>
          <t>NYSE</t>
        </is>
      </c>
      <c r="D69" s="955" t="n">
        <v>147.9</v>
      </c>
      <c r="E69" s="955" t="n">
        <v>24.9</v>
      </c>
      <c r="F69" s="955" t="n">
        <v>2.38</v>
      </c>
      <c r="G69" s="955" t="n">
        <v>9.9</v>
      </c>
      <c r="H69" s="955" t="n">
        <v>613</v>
      </c>
      <c r="I69" s="955" t="n">
        <v>-5.4</v>
      </c>
      <c r="J69" s="956" t="inlineStr">
        <is>
          <t>MUA</t>
        </is>
      </c>
      <c r="K69" s="1104" t="inlineStr">
        <is>
          <t>Dầu khí</t>
        </is>
      </c>
      <c r="L69" s="1024">
        <f>IF(A69='🎯 SÓI v42 — TRA CỨU &amp; DEEP DIV'!$C$4,"⭐ ĐANG XEM","")</f>
        <v/>
      </c>
    </row>
    <row r="70" ht="13.5" customHeight="1" s="981">
      <c r="A70" s="953" t="inlineStr">
        <is>
          <t>COP</t>
        </is>
      </c>
      <c r="B70" s="954" t="inlineStr">
        <is>
          <t>ConocoPhillips</t>
        </is>
      </c>
      <c r="C70" s="955" t="inlineStr">
        <is>
          <t>NYSE</t>
        </is>
      </c>
      <c r="D70" s="955" t="n">
        <v>115.13</v>
      </c>
      <c r="E70" s="955" t="n">
        <v>19.5</v>
      </c>
      <c r="F70" s="955" t="n">
        <v>2.17</v>
      </c>
      <c r="G70" s="955" t="n">
        <v>11.3</v>
      </c>
      <c r="H70" s="955" t="n">
        <v>140.3</v>
      </c>
      <c r="I70" s="955" t="n">
        <v>-5.9</v>
      </c>
      <c r="J70" s="955" t="inlineStr">
        <is>
          <t>GIỮ</t>
        </is>
      </c>
      <c r="K70" s="438" t="inlineStr">
        <is>
          <t>Dầu khí</t>
        </is>
      </c>
      <c r="L70" s="1024">
        <f>IF(A70='🎯 SÓI v42 — TRA CỨU &amp; DEEP DIV'!$C$4,"⭐ ĐANG XEM","")</f>
        <v/>
      </c>
    </row>
    <row r="71" ht="13.5" customHeight="1" s="981">
      <c r="A71" s="953" t="inlineStr">
        <is>
          <t>SLB</t>
        </is>
      </c>
      <c r="B71" s="954" t="inlineStr">
        <is>
          <t>Schlumberger</t>
        </is>
      </c>
      <c r="C71" s="955" t="inlineStr">
        <is>
          <t>NYSE</t>
        </is>
      </c>
      <c r="D71" s="955" t="n">
        <v>56.5</v>
      </c>
      <c r="E71" s="955" t="n">
        <v>24.9</v>
      </c>
      <c r="F71" s="955" t="n">
        <v>3.09</v>
      </c>
      <c r="G71" s="955" t="n">
        <v>14.1</v>
      </c>
      <c r="H71" s="955" t="n">
        <v>84.5</v>
      </c>
      <c r="I71" s="955" t="n">
        <v>-1.4</v>
      </c>
      <c r="J71" s="955" t="inlineStr">
        <is>
          <t>GIỮ</t>
        </is>
      </c>
      <c r="K71" s="1104" t="inlineStr">
        <is>
          <t>Dầu khí</t>
        </is>
      </c>
      <c r="L71" s="1024">
        <f>IF(A71='🎯 SÓI v42 — TRA CỨU &amp; DEEP DIV'!$C$4,"⭐ ĐANG XEM","")</f>
        <v/>
      </c>
    </row>
    <row r="72" ht="13.5" customHeight="1" s="981">
      <c r="A72" s="953" t="inlineStr">
        <is>
          <t>OXY</t>
        </is>
      </c>
      <c r="B72" s="954" t="inlineStr">
        <is>
          <t>Occidental</t>
        </is>
      </c>
      <c r="C72" s="955" t="inlineStr">
        <is>
          <t>NYSE</t>
        </is>
      </c>
      <c r="D72" s="955" t="n">
        <v>56.89</v>
      </c>
      <c r="E72" s="955" t="n">
        <v>76.90000000000001</v>
      </c>
      <c r="F72" s="955" t="n">
        <v>1.84</v>
      </c>
      <c r="G72" s="955" t="n">
        <v>4.1</v>
      </c>
      <c r="H72" s="955" t="n">
        <v>56.6</v>
      </c>
      <c r="I72" s="955" t="n">
        <v>-3.4</v>
      </c>
      <c r="J72" s="955" t="inlineStr">
        <is>
          <t>GIỮ</t>
        </is>
      </c>
      <c r="K72" s="438" t="inlineStr">
        <is>
          <t>Dầu khí</t>
        </is>
      </c>
      <c r="L72" s="1024">
        <f>IF(A72='🎯 SÓI v42 — TRA CỨU &amp; DEEP DIV'!$C$4,"⭐ ĐANG XEM","")</f>
        <v/>
      </c>
    </row>
    <row r="73" ht="13.5" customHeight="1" s="981">
      <c r="A73" s="953" t="inlineStr">
        <is>
          <t>NFLX</t>
        </is>
      </c>
      <c r="B73" s="954" t="inlineStr">
        <is>
          <t>Netflix</t>
        </is>
      </c>
      <c r="C73" s="955" t="inlineStr">
        <is>
          <t>NASDAQ</t>
        </is>
      </c>
      <c r="D73" s="955" t="n">
        <v>87.34999999999999</v>
      </c>
      <c r="E73" s="955" t="n">
        <v>28.2</v>
      </c>
      <c r="F73" s="955" t="n">
        <v>11.82</v>
      </c>
      <c r="G73" s="955" t="n">
        <v>48.5</v>
      </c>
      <c r="H73" s="955" t="n">
        <v>367.8</v>
      </c>
      <c r="I73" s="955" t="n">
        <v>-0.8</v>
      </c>
      <c r="J73" s="955" t="inlineStr">
        <is>
          <t>GIỮ</t>
        </is>
      </c>
      <c r="K73" s="1104" t="inlineStr">
        <is>
          <t>Streaming</t>
        </is>
      </c>
      <c r="L73" s="1024">
        <f>IF(A73='🎯 SÓI v42 — TRA CỨU &amp; DEEP DIV'!$C$4,"⭐ ĐANG XEM","")</f>
        <v/>
      </c>
    </row>
    <row r="74" ht="13.5" customHeight="1" s="981">
      <c r="A74" s="953" t="inlineStr">
        <is>
          <t>CMCSA</t>
        </is>
      </c>
      <c r="B74" s="954" t="inlineStr">
        <is>
          <t>Comcast</t>
        </is>
      </c>
      <c r="C74" s="955" t="inlineStr">
        <is>
          <t>NASDAQ</t>
        </is>
      </c>
      <c r="D74" s="955" t="n">
        <v>25.22</v>
      </c>
      <c r="E74" s="955" t="n">
        <v>4.9</v>
      </c>
      <c r="F74" s="955" t="n">
        <v>1.02</v>
      </c>
      <c r="G74" s="955" t="n">
        <v>20.9</v>
      </c>
      <c r="H74" s="955" t="n">
        <v>90.09999999999999</v>
      </c>
      <c r="I74" s="955" t="n">
        <v>1.4</v>
      </c>
      <c r="J74" s="955" t="inlineStr">
        <is>
          <t>GIỮ</t>
        </is>
      </c>
      <c r="K74" s="438" t="inlineStr">
        <is>
          <t>Truyền thông</t>
        </is>
      </c>
      <c r="L74" s="1024">
        <f>IF(A74='🎯 SÓI v42 — TRA CỨU &amp; DEEP DIV'!$C$4,"⭐ ĐANG XEM","")</f>
        <v/>
      </c>
    </row>
    <row r="75" ht="13.5" customHeight="1" s="981">
      <c r="A75" s="953" t="inlineStr">
        <is>
          <t>T</t>
        </is>
      </c>
      <c r="B75" s="954" t="inlineStr">
        <is>
          <t>AT&amp;T</t>
        </is>
      </c>
      <c r="C75" s="955" t="inlineStr">
        <is>
          <t>NYSE</t>
        </is>
      </c>
      <c r="D75" s="955" t="n">
        <v>24.89</v>
      </c>
      <c r="E75" s="955" t="n">
        <v>8.199999999999999</v>
      </c>
      <c r="F75" s="955" t="n">
        <v>1.58</v>
      </c>
      <c r="G75" s="955" t="n">
        <v>18.4</v>
      </c>
      <c r="H75" s="955" t="n">
        <v>172.9</v>
      </c>
      <c r="I75" s="955" t="n">
        <v>-0.2</v>
      </c>
      <c r="J75" s="956" t="inlineStr">
        <is>
          <t>MUA</t>
        </is>
      </c>
      <c r="K75" s="1104" t="inlineStr">
        <is>
          <t>Viễn thông</t>
        </is>
      </c>
      <c r="L75" s="1024">
        <f>IF(A75='🎯 SÓI v42 — TRA CỨU &amp; DEEP DIV'!$C$4,"⭐ ĐANG XEM","")</f>
        <v/>
      </c>
    </row>
    <row r="76" ht="13.5" customHeight="1" s="981">
      <c r="A76" s="953" t="inlineStr">
        <is>
          <t>AMD</t>
        </is>
      </c>
      <c r="B76" s="954" t="inlineStr">
        <is>
          <t>AMD</t>
        </is>
      </c>
      <c r="C76" s="955" t="inlineStr">
        <is>
          <t>NASDAQ</t>
        </is>
      </c>
      <c r="D76" s="955" t="n">
        <v>495.54</v>
      </c>
      <c r="E76" s="955" t="n">
        <v>164.1</v>
      </c>
      <c r="F76" s="955" t="n">
        <v>12.53</v>
      </c>
      <c r="G76" s="955" t="n">
        <v>8.1</v>
      </c>
      <c r="H76" s="955" t="n">
        <v>808</v>
      </c>
      <c r="I76" s="955" t="n">
        <v>10.7</v>
      </c>
      <c r="J76" s="955" t="inlineStr">
        <is>
          <t>GIỮ</t>
        </is>
      </c>
      <c r="K76" s="438" t="inlineStr">
        <is>
          <t>Bán dẫn</t>
        </is>
      </c>
      <c r="L76" s="1024">
        <f>IF(A76='🎯 SÓI v42 — TRA CỨU &amp; DEEP DIV'!$C$4,"⭐ ĐANG XEM","")</f>
        <v/>
      </c>
    </row>
    <row r="77" ht="13.5" customHeight="1" s="981">
      <c r="A77" s="953" t="inlineStr">
        <is>
          <t>INTC</t>
        </is>
      </c>
      <c r="B77" s="954" t="inlineStr">
        <is>
          <t>Intel</t>
        </is>
      </c>
      <c r="C77" s="955" t="inlineStr">
        <is>
          <t>NASDAQ</t>
        </is>
      </c>
      <c r="D77" s="955" t="n">
        <v>121.77</v>
      </c>
      <c r="E77" s="955" t="n">
        <v>79.09999999999999</v>
      </c>
      <c r="F77" s="955" t="n">
        <v>5.49</v>
      </c>
      <c r="G77" s="955" t="n">
        <v>-2.9</v>
      </c>
      <c r="H77" s="955" t="n">
        <v>612</v>
      </c>
      <c r="I77" s="955" t="n">
        <v>2.4</v>
      </c>
      <c r="J77" s="957" t="inlineStr">
        <is>
          <t>TRÁNH</t>
        </is>
      </c>
      <c r="K77" s="1104" t="inlineStr">
        <is>
          <t>Bán dẫn</t>
        </is>
      </c>
      <c r="L77" s="1024">
        <f>IF(A77='🎯 SÓI v42 — TRA CỨU &amp; DEEP DIV'!$C$4,"⭐ ĐANG XEM","")</f>
        <v/>
      </c>
    </row>
    <row r="78" ht="13.5" customHeight="1" s="981">
      <c r="A78" s="953" t="inlineStr">
        <is>
          <t>AVGO</t>
        </is>
      </c>
      <c r="B78" s="954" t="inlineStr">
        <is>
          <t>Broadcom</t>
        </is>
      </c>
      <c r="C78" s="955" t="inlineStr">
        <is>
          <t>NASDAQ</t>
        </is>
      </c>
      <c r="D78" s="955" t="n">
        <v>421.86</v>
      </c>
      <c r="E78" s="955" t="n">
        <v>81.90000000000001</v>
      </c>
      <c r="F78" s="955" t="n">
        <v>25.01</v>
      </c>
      <c r="G78" s="955" t="n">
        <v>33.4</v>
      </c>
      <c r="H78" s="955" t="n">
        <v>1997.4</v>
      </c>
      <c r="I78" s="955" t="n">
        <v>1</v>
      </c>
      <c r="J78" s="956" t="inlineStr">
        <is>
          <t>MUA</t>
        </is>
      </c>
      <c r="K78" s="438" t="inlineStr">
        <is>
          <t>Bán dẫn</t>
        </is>
      </c>
      <c r="L78" s="1024">
        <f>IF(A78='🎯 SÓI v42 — TRA CỨU &amp; DEEP DIV'!$C$4,"⭐ ĐANG XEM","")</f>
        <v/>
      </c>
    </row>
    <row r="79" ht="13.5" customHeight="1" s="981">
      <c r="A79" s="953" t="inlineStr">
        <is>
          <t>QCOM</t>
        </is>
      </c>
      <c r="B79" s="954" t="inlineStr">
        <is>
          <t>Qualcomm</t>
        </is>
      </c>
      <c r="C79" s="955" t="inlineStr">
        <is>
          <t>NASDAQ</t>
        </is>
      </c>
      <c r="D79" s="955" t="n">
        <v>233.4</v>
      </c>
      <c r="E79" s="955" t="n">
        <v>25.1</v>
      </c>
      <c r="F79" s="955" t="n">
        <v>9.06</v>
      </c>
      <c r="G79" s="955" t="n">
        <v>36.1</v>
      </c>
      <c r="H79" s="955" t="n">
        <v>246</v>
      </c>
      <c r="I79" s="955" t="n">
        <v>15.3</v>
      </c>
      <c r="J79" s="956" t="inlineStr">
        <is>
          <t>MUA</t>
        </is>
      </c>
      <c r="K79" s="1104" t="inlineStr">
        <is>
          <t>Chip di động</t>
        </is>
      </c>
      <c r="L79" s="1024">
        <f>IF(A79='🎯 SÓI v42 — TRA CỨU &amp; DEEP DIV'!$C$4,"⭐ ĐANG XEM","")</f>
        <v/>
      </c>
    </row>
    <row r="80" ht="13.5" customHeight="1" s="981">
      <c r="A80" s="953" t="inlineStr">
        <is>
          <t>TXN</t>
        </is>
      </c>
      <c r="B80" s="954" t="inlineStr">
        <is>
          <t>TI</t>
        </is>
      </c>
      <c r="C80" s="955" t="inlineStr">
        <is>
          <t>NASDAQ</t>
        </is>
      </c>
      <c r="D80" s="955" t="n">
        <v>317.45</v>
      </c>
      <c r="E80" s="955" t="n">
        <v>54.4</v>
      </c>
      <c r="F80" s="955" t="n">
        <v>17.22</v>
      </c>
      <c r="G80" s="955" t="n">
        <v>32.3</v>
      </c>
      <c r="H80" s="955" t="n">
        <v>288.9</v>
      </c>
      <c r="I80" s="955" t="n">
        <v>4.1</v>
      </c>
      <c r="J80" s="955" t="inlineStr">
        <is>
          <t>GIỮ</t>
        </is>
      </c>
      <c r="K80" s="438" t="inlineStr">
        <is>
          <t>Analog</t>
        </is>
      </c>
      <c r="L80" s="1024">
        <f>IF(A80='🎯 SÓI v42 — TRA CỨU &amp; DEEP DIV'!$C$4,"⭐ ĐANG XEM","")</f>
        <v/>
      </c>
    </row>
    <row r="81" ht="13.5" customHeight="1" s="981">
      <c r="A81" s="953" t="inlineStr">
        <is>
          <t>MU</t>
        </is>
      </c>
      <c r="B81" s="954" t="inlineStr">
        <is>
          <t>Micron</t>
        </is>
      </c>
      <c r="C81" s="955" t="inlineStr">
        <is>
          <t>NASDAQ</t>
        </is>
      </c>
      <c r="D81" s="955" t="n">
        <v>928.41</v>
      </c>
      <c r="E81" s="955" t="n">
        <v>43.9</v>
      </c>
      <c r="F81" s="955" t="n">
        <v>14.45</v>
      </c>
      <c r="G81" s="955" t="n">
        <v>39.8</v>
      </c>
      <c r="H81" s="955" t="n">
        <v>1047</v>
      </c>
      <c r="I81" s="955" t="n">
        <v>26.8</v>
      </c>
      <c r="J81" s="956" t="inlineStr">
        <is>
          <t>MUA</t>
        </is>
      </c>
      <c r="K81" s="1104" t="inlineStr">
        <is>
          <t>Bộ nhớ</t>
        </is>
      </c>
      <c r="L81" s="1024">
        <f>IF(A81='🎯 SÓI v42 — TRA CỨU &amp; DEEP DIV'!$C$4,"⭐ ĐANG XEM","")</f>
        <v/>
      </c>
    </row>
    <row r="82" ht="13.5" customHeight="1" s="981">
      <c r="A82" s="953" t="inlineStr">
        <is>
          <t>ASML</t>
        </is>
      </c>
      <c r="B82" s="954" t="inlineStr">
        <is>
          <t>ASML</t>
        </is>
      </c>
      <c r="C82" s="955" t="inlineStr">
        <is>
          <t>NASDAQ</t>
        </is>
      </c>
      <c r="D82" s="955" t="n">
        <v>1597.87</v>
      </c>
      <c r="E82" s="955" t="n">
        <v>53.2</v>
      </c>
      <c r="F82" s="955" t="n">
        <v>1411.56</v>
      </c>
      <c r="G82" s="955" t="n">
        <v>52.2</v>
      </c>
      <c r="H82" s="955" t="n">
        <v>615.8</v>
      </c>
      <c r="I82" s="955" t="n">
        <v>3.1</v>
      </c>
      <c r="J82" s="956" t="inlineStr">
        <is>
          <t>MUA</t>
        </is>
      </c>
      <c r="K82" s="438" t="inlineStr">
        <is>
          <t>Lithography</t>
        </is>
      </c>
      <c r="L82" s="1024">
        <f>IF(A82='🎯 SÓI v42 — TRA CỨU &amp; DEEP DIV'!$C$4,"⭐ ĐANG XEM","")</f>
        <v/>
      </c>
    </row>
    <row r="83" ht="13.5" customHeight="1" s="981">
      <c r="A83" s="953" t="inlineStr">
        <is>
          <t>TSM</t>
        </is>
      </c>
      <c r="B83" s="954" t="inlineStr">
        <is>
          <t>TSMC</t>
        </is>
      </c>
      <c r="C83" s="955" t="inlineStr">
        <is>
          <t>NYSE</t>
        </is>
      </c>
      <c r="D83" s="955" t="n">
        <v>422.73</v>
      </c>
      <c r="E83" s="955" t="n">
        <v>36.1</v>
      </c>
      <c r="F83" s="955" t="n">
        <v>64.66</v>
      </c>
      <c r="G83" s="955" t="n">
        <v>36.2</v>
      </c>
      <c r="H83" s="955" t="n">
        <v>2192.5</v>
      </c>
      <c r="I83" s="955" t="n">
        <v>5.3</v>
      </c>
      <c r="J83" s="956" t="inlineStr">
        <is>
          <t>MUA</t>
        </is>
      </c>
      <c r="K83" s="1104" t="inlineStr">
        <is>
          <t>Đúc chip</t>
        </is>
      </c>
      <c r="L83" s="1024">
        <f>IF(A83='🎯 SÓI v42 — TRA CỨU &amp; DEEP DIV'!$C$4,"⭐ ĐANG XEM","")</f>
        <v/>
      </c>
    </row>
    <row r="84" ht="13.5" customHeight="1" s="981">
      <c r="A84" s="953" t="inlineStr">
        <is>
          <t>SPY</t>
        </is>
      </c>
      <c r="B84" s="954" t="inlineStr">
        <is>
          <t>SPDR S&amp;P 500</t>
        </is>
      </c>
      <c r="C84" s="955" t="inlineStr">
        <is>
          <t>NYSE</t>
        </is>
      </c>
      <c r="D84" s="955" t="n">
        <v>750.46</v>
      </c>
      <c r="E84" s="955" t="n">
        <v>28.2</v>
      </c>
      <c r="F84" s="955" t="n">
        <v>1.75</v>
      </c>
      <c r="G84" s="955" t="n"/>
      <c r="H84" s="955" t="n"/>
      <c r="I84" s="955" t="n">
        <v>5.68005</v>
      </c>
      <c r="J84" s="956" t="inlineStr">
        <is>
          <t>MUA</t>
        </is>
      </c>
      <c r="K84" s="438" t="inlineStr">
        <is>
          <t>S&amp;P 500</t>
        </is>
      </c>
      <c r="L84" s="1024">
        <f>IF(A84='🎯 SÓI v42 — TRA CỨU &amp; DEEP DIV'!$C$4,"⭐ ĐANG XEM","")</f>
        <v/>
      </c>
    </row>
    <row r="85" ht="13.5" customHeight="1" s="981">
      <c r="A85" s="953" t="inlineStr">
        <is>
          <t>VOO</t>
        </is>
      </c>
      <c r="B85" s="954" t="inlineStr">
        <is>
          <t>Vanguard S&amp;P</t>
        </is>
      </c>
      <c r="C85" s="955" t="inlineStr">
        <is>
          <t>NYSE</t>
        </is>
      </c>
      <c r="D85" s="955" t="n">
        <v>689.96</v>
      </c>
      <c r="E85" s="955" t="n">
        <v>28.2</v>
      </c>
      <c r="F85" s="955" t="n">
        <v>1.77</v>
      </c>
      <c r="G85" s="955" t="n"/>
      <c r="H85" s="955" t="n"/>
      <c r="I85" s="955" t="n">
        <v>5.69215</v>
      </c>
      <c r="J85" s="956" t="inlineStr">
        <is>
          <t>MUA</t>
        </is>
      </c>
      <c r="K85" s="1104" t="inlineStr">
        <is>
          <t>S&amp;P low cost</t>
        </is>
      </c>
      <c r="L85" s="1024">
        <f>IF(A85='🎯 SÓI v42 — TRA CỨU &amp; DEEP DIV'!$C$4,"⭐ ĐANG XEM","")</f>
        <v/>
      </c>
    </row>
    <row r="86" ht="13.5" customHeight="1" s="981">
      <c r="A86" s="953" t="inlineStr">
        <is>
          <t>QQQ</t>
        </is>
      </c>
      <c r="B86" s="954" t="inlineStr">
        <is>
          <t>Invesco QQQ</t>
        </is>
      </c>
      <c r="C86" s="955" t="inlineStr">
        <is>
          <t>NASDAQ</t>
        </is>
      </c>
      <c r="D86" s="955" t="n">
        <v>729.45</v>
      </c>
      <c r="E86" s="955" t="n">
        <v>35.6</v>
      </c>
      <c r="F86" s="955" t="n">
        <v>2.04</v>
      </c>
      <c r="G86" s="955" t="n"/>
      <c r="H86" s="955" t="n"/>
      <c r="I86" s="955" t="n">
        <v>8.859249999999999</v>
      </c>
      <c r="J86" s="956" t="inlineStr">
        <is>
          <t>MUA</t>
        </is>
      </c>
      <c r="K86" s="438" t="inlineStr">
        <is>
          <t>NASDAQ 100</t>
        </is>
      </c>
      <c r="L86" s="1024">
        <f>IF(A86='🎯 SÓI v42 — TRA CỨU &amp; DEEP DIV'!$C$4,"⭐ ĐANG XEM","")</f>
        <v/>
      </c>
    </row>
    <row r="87" ht="13.5" customHeight="1" s="981">
      <c r="A87" s="953" t="inlineStr">
        <is>
          <t>IWM</t>
        </is>
      </c>
      <c r="B87" s="954" t="inlineStr">
        <is>
          <t>Russell 2000</t>
        </is>
      </c>
      <c r="C87" s="955" t="inlineStr">
        <is>
          <t>NYSE</t>
        </is>
      </c>
      <c r="D87" s="955" t="n">
        <v>290.37</v>
      </c>
      <c r="E87" s="955" t="n">
        <v>20</v>
      </c>
      <c r="F87" s="955" t="n">
        <v>1.33</v>
      </c>
      <c r="G87" s="955" t="n"/>
      <c r="H87" s="955" t="n"/>
      <c r="I87" s="955" t="n">
        <v>13.16127</v>
      </c>
      <c r="J87" s="955" t="inlineStr">
        <is>
          <t>GIỮ</t>
        </is>
      </c>
      <c r="K87" s="1104" t="inlineStr">
        <is>
          <t>Small cap</t>
        </is>
      </c>
      <c r="L87" s="1024">
        <f>IF(A87='🎯 SÓI v42 — TRA CỨU &amp; DEEP DIV'!$C$4,"⭐ ĐANG XEM","")</f>
        <v/>
      </c>
    </row>
    <row r="88" ht="13.5" customHeight="1" s="981">
      <c r="A88" s="953" t="inlineStr">
        <is>
          <t>DIA</t>
        </is>
      </c>
      <c r="B88" s="954" t="inlineStr">
        <is>
          <t>SPDR Dow</t>
        </is>
      </c>
      <c r="C88" s="955" t="inlineStr">
        <is>
          <t>NYSE</t>
        </is>
      </c>
      <c r="D88" s="955" t="n">
        <v>506.88</v>
      </c>
      <c r="E88" s="955" t="n">
        <v>24.2</v>
      </c>
      <c r="F88" s="955" t="n">
        <v>1.42</v>
      </c>
      <c r="G88" s="955" t="n"/>
      <c r="H88" s="955" t="n"/>
      <c r="I88" s="955" t="n">
        <v>3.76658</v>
      </c>
      <c r="J88" s="955" t="inlineStr">
        <is>
          <t>GIỮ</t>
        </is>
      </c>
      <c r="K88" s="438" t="inlineStr">
        <is>
          <t>Dow Jones</t>
        </is>
      </c>
      <c r="L88" s="1024">
        <f>IF(A88='🎯 SÓI v42 — TRA CỨU &amp; DEEP DIV'!$C$4,"⭐ ĐANG XEM","")</f>
        <v/>
      </c>
    </row>
    <row r="89" ht="13.5" customHeight="1" s="981">
      <c r="A89" s="953" t="inlineStr">
        <is>
          <t>VTI</t>
        </is>
      </c>
      <c r="B89" s="954" t="inlineStr">
        <is>
          <t>Vanguard Total</t>
        </is>
      </c>
      <c r="C89" s="955" t="inlineStr">
        <is>
          <t>NYSE</t>
        </is>
      </c>
      <c r="D89" s="955" t="n">
        <v>369.36</v>
      </c>
      <c r="E89" s="955" t="n">
        <v>27.4</v>
      </c>
      <c r="F89" s="955" t="n">
        <v>2.65</v>
      </c>
      <c r="G89" s="955" t="n"/>
      <c r="H89" s="955" t="n"/>
      <c r="I89" s="955" t="n">
        <v>5.97418</v>
      </c>
      <c r="J89" s="956" t="inlineStr">
        <is>
          <t>MUA</t>
        </is>
      </c>
      <c r="K89" s="1104" t="inlineStr">
        <is>
          <t>Total US</t>
        </is>
      </c>
      <c r="L89" s="1024">
        <f>IF(A89='🎯 SÓI v42 — TRA CỨU &amp; DEEP DIV'!$C$4,"⭐ ĐANG XEM","")</f>
        <v/>
      </c>
    </row>
    <row r="90" ht="13.5" customHeight="1" s="981">
      <c r="A90" s="953" t="inlineStr">
        <is>
          <t>VEA</t>
        </is>
      </c>
      <c r="B90" s="954" t="inlineStr">
        <is>
          <t>Vanguard Developed</t>
        </is>
      </c>
      <c r="C90" s="955" t="inlineStr">
        <is>
          <t>NYSE</t>
        </is>
      </c>
      <c r="D90" s="955" t="n">
        <v>71.41</v>
      </c>
      <c r="E90" s="955" t="n">
        <v>19</v>
      </c>
      <c r="F90" s="955" t="n"/>
      <c r="G90" s="955" t="n"/>
      <c r="H90" s="955" t="n"/>
      <c r="I90" s="955" t="n">
        <v>10.41445</v>
      </c>
      <c r="J90" s="955" t="inlineStr">
        <is>
          <t>GIỮ</t>
        </is>
      </c>
      <c r="K90" s="438" t="inlineStr">
        <is>
          <t>Developed</t>
        </is>
      </c>
      <c r="L90" s="1024">
        <f>IF(A90='🎯 SÓI v42 — TRA CỨU &amp; DEEP DIV'!$C$4,"⭐ ĐANG XEM","")</f>
        <v/>
      </c>
    </row>
    <row r="91" ht="13.5" customHeight="1" s="981">
      <c r="A91" s="953" t="inlineStr">
        <is>
          <t>VWO</t>
        </is>
      </c>
      <c r="B91" s="954" t="inlineStr">
        <is>
          <t>Vanguard Emerging</t>
        </is>
      </c>
      <c r="C91" s="955" t="inlineStr">
        <is>
          <t>NYSE</t>
        </is>
      </c>
      <c r="D91" s="955" t="n">
        <v>60.29</v>
      </c>
      <c r="E91" s="955" t="n">
        <v>17.1</v>
      </c>
      <c r="F91" s="955" t="n">
        <v>1.25</v>
      </c>
      <c r="G91" s="955" t="n"/>
      <c r="H91" s="955" t="n"/>
      <c r="I91" s="955" t="n">
        <v>9.09769</v>
      </c>
      <c r="J91" s="955" t="inlineStr">
        <is>
          <t>GIỮ</t>
        </is>
      </c>
      <c r="K91" s="1104" t="inlineStr">
        <is>
          <t>Emerging</t>
        </is>
      </c>
      <c r="L91" s="1024">
        <f>IF(A91='🎯 SÓI v42 — TRA CỨU &amp; DEEP DIV'!$C$4,"⭐ ĐANG XEM","")</f>
        <v/>
      </c>
    </row>
    <row r="92" ht="13.5" customHeight="1" s="981">
      <c r="A92" s="953" t="inlineStr">
        <is>
          <t>GLD</t>
        </is>
      </c>
      <c r="B92" s="954" t="inlineStr">
        <is>
          <t>SPDR Gold</t>
        </is>
      </c>
      <c r="C92" s="955" t="inlineStr">
        <is>
          <t>NYSE</t>
        </is>
      </c>
      <c r="D92" s="955" t="n">
        <v>408.49</v>
      </c>
      <c r="E92" s="955" t="n">
        <v>22.5</v>
      </c>
      <c r="F92" s="955" t="n">
        <v>4.5</v>
      </c>
      <c r="G92" s="955" t="n">
        <v>18.5</v>
      </c>
      <c r="H92" s="955" t="n"/>
      <c r="I92" s="955" t="n">
        <v>6.90579</v>
      </c>
      <c r="J92" s="956" t="inlineStr">
        <is>
          <t>GIU</t>
        </is>
      </c>
      <c r="K92" s="438" t="inlineStr">
        <is>
          <t>Gold ETF</t>
        </is>
      </c>
      <c r="L92" s="1024">
        <f>IF(A92='🎯 SÓI v42 — TRA CỨU &amp; DEEP DIV'!$C$4,"⭐ ĐANG XEM","")</f>
        <v/>
      </c>
    </row>
    <row r="93" ht="13.5" customHeight="1" s="981">
      <c r="A93" s="953" t="inlineStr">
        <is>
          <t>SLV</t>
        </is>
      </c>
      <c r="B93" s="954" t="inlineStr">
        <is>
          <t>iShares Silver</t>
        </is>
      </c>
      <c r="C93" s="955" t="inlineStr">
        <is>
          <t>NYSE</t>
        </is>
      </c>
      <c r="D93" s="955" t="n">
        <v>67.5</v>
      </c>
      <c r="E93" s="955" t="n">
        <v>22.5</v>
      </c>
      <c r="F93" s="955" t="n">
        <v>4.5</v>
      </c>
      <c r="G93" s="955" t="n">
        <v>18.5</v>
      </c>
      <c r="H93" s="955" t="n"/>
      <c r="I93" s="955" t="n">
        <v>1.99829</v>
      </c>
      <c r="J93" s="956" t="inlineStr">
        <is>
          <t>GIU</t>
        </is>
      </c>
      <c r="K93" s="1104" t="inlineStr">
        <is>
          <t>Silver ETF</t>
        </is>
      </c>
      <c r="L93" s="1024">
        <f>IF(A93='🎯 SÓI v42 — TRA CỨU &amp; DEEP DIV'!$C$4,"⭐ ĐANG XEM","")</f>
        <v/>
      </c>
    </row>
    <row r="94" ht="13.5" customHeight="1" s="981">
      <c r="A94" s="953" t="inlineStr">
        <is>
          <t>TLT</t>
        </is>
      </c>
      <c r="B94" s="954" t="inlineStr">
        <is>
          <t>20Y Treasury</t>
        </is>
      </c>
      <c r="C94" s="955" t="inlineStr">
        <is>
          <t>NASDAQ</t>
        </is>
      </c>
      <c r="D94" s="955" t="n">
        <v>85.3</v>
      </c>
      <c r="E94" s="955" t="n">
        <v>-4265</v>
      </c>
      <c r="F94" s="955" t="n">
        <v>0.57</v>
      </c>
      <c r="G94" s="955" t="n"/>
      <c r="H94" s="955" t="n"/>
      <c r="I94" s="955" t="n">
        <v>-0.75373</v>
      </c>
      <c r="J94" s="955" t="inlineStr">
        <is>
          <t>GIỮ</t>
        </is>
      </c>
      <c r="K94" s="438" t="inlineStr">
        <is>
          <t>TP 20Y</t>
        </is>
      </c>
      <c r="L94" s="1024">
        <f>IF(A94='🎯 SÓI v42 — TRA CỨU &amp; DEEP DIV'!$C$4,"⭐ ĐANG XEM","")</f>
        <v/>
      </c>
    </row>
    <row r="95" ht="13.5" customHeight="1" s="981">
      <c r="A95" s="953" t="inlineStr">
        <is>
          <t>HYG</t>
        </is>
      </c>
      <c r="B95" s="954" t="inlineStr">
        <is>
          <t>High Yield</t>
        </is>
      </c>
      <c r="C95" s="955" t="inlineStr">
        <is>
          <t>NYSE</t>
        </is>
      </c>
      <c r="D95" s="955" t="n">
        <v>80.13</v>
      </c>
      <c r="E95" s="955" t="n">
        <v>11</v>
      </c>
      <c r="F95" s="955" t="n">
        <v>0.91</v>
      </c>
      <c r="G95" s="955" t="n"/>
      <c r="H95" s="955" t="n"/>
      <c r="I95" s="955" t="n">
        <v>1.06613</v>
      </c>
      <c r="J95" s="955" t="inlineStr">
        <is>
          <t>GIỮ</t>
        </is>
      </c>
      <c r="K95" s="1104" t="inlineStr">
        <is>
          <t>TP junk</t>
        </is>
      </c>
      <c r="L95" s="1024">
        <f>IF(A95='🎯 SÓI v42 — TRA CỨU &amp; DEEP DIV'!$C$4,"⭐ ĐANG XEM","")</f>
        <v/>
      </c>
    </row>
    <row r="96" ht="13.5" customHeight="1" s="981">
      <c r="A96" s="953" t="inlineStr">
        <is>
          <t>ARKK</t>
        </is>
      </c>
      <c r="B96" s="954" t="inlineStr">
        <is>
          <t>ARK Innovation</t>
        </is>
      </c>
      <c r="C96" s="955" t="inlineStr">
        <is>
          <t>NYSE</t>
        </is>
      </c>
      <c r="D96" s="955" t="n">
        <v>77.95</v>
      </c>
      <c r="E96" s="955" t="n">
        <v>46.7</v>
      </c>
      <c r="F96" s="955" t="n"/>
      <c r="G96" s="955" t="n"/>
      <c r="H96" s="955" t="n"/>
      <c r="I96" s="955" t="n">
        <v>-1.63019</v>
      </c>
      <c r="J96" s="955" t="inlineStr">
        <is>
          <t>GIỮ</t>
        </is>
      </c>
      <c r="K96" s="438" t="inlineStr">
        <is>
          <t>Disruptive</t>
        </is>
      </c>
      <c r="L96" s="1024">
        <f>IF(A96='🎯 SÓI v42 — TRA CỨU &amp; DEEP DIV'!$C$4,"⭐ ĐANG XEM","")</f>
        <v/>
      </c>
    </row>
    <row r="97" ht="13.5" customHeight="1" s="981">
      <c r="A97" s="953" t="inlineStr">
        <is>
          <t>HSBA</t>
        </is>
      </c>
      <c r="B97" s="954" t="inlineStr">
        <is>
          <t>HSBC</t>
        </is>
      </c>
      <c r="C97" s="955" t="inlineStr">
        <is>
          <t>LSE</t>
        </is>
      </c>
      <c r="D97" s="955" t="n"/>
      <c r="E97" s="955" t="n"/>
      <c r="F97" s="955" t="n"/>
      <c r="G97" s="955" t="n"/>
      <c r="H97" s="955" t="n"/>
      <c r="I97" s="955" t="n"/>
      <c r="J97" s="956" t="inlineStr">
        <is>
          <t>MUA</t>
        </is>
      </c>
      <c r="K97" s="1104" t="inlineStr">
        <is>
          <t>NH</t>
        </is>
      </c>
      <c r="L97" s="1024">
        <f>IF(A97='🎯 SÓI v42 — TRA CỨU &amp; DEEP DIV'!$C$4,"⭐ ĐANG XEM","")</f>
        <v/>
      </c>
    </row>
    <row r="98" ht="13.5" customHeight="1" s="981">
      <c r="A98" s="953" t="inlineStr">
        <is>
          <t>BP</t>
        </is>
      </c>
      <c r="B98" s="954" t="inlineStr">
        <is>
          <t>BP</t>
        </is>
      </c>
      <c r="C98" s="955" t="inlineStr">
        <is>
          <t>LSE</t>
        </is>
      </c>
      <c r="D98" s="955" t="n">
        <v>41.65</v>
      </c>
      <c r="E98" s="955" t="n">
        <v>33.6</v>
      </c>
      <c r="F98" s="955" t="n">
        <v>7.68</v>
      </c>
      <c r="G98" s="955" t="n">
        <v>5.8</v>
      </c>
      <c r="H98" s="955" t="n">
        <v>107.2</v>
      </c>
      <c r="I98" s="955" t="n">
        <v>-7.7</v>
      </c>
      <c r="J98" s="955" t="inlineStr">
        <is>
          <t>GIỮ</t>
        </is>
      </c>
      <c r="K98" s="438" t="inlineStr">
        <is>
          <t>Dầu khí</t>
        </is>
      </c>
      <c r="L98" s="1024">
        <f>IF(A98='🎯 SÓI v42 — TRA CỨU &amp; DEEP DIV'!$C$4,"⭐ ĐANG XEM","")</f>
        <v/>
      </c>
    </row>
    <row r="99" ht="13.5" customHeight="1" s="981">
      <c r="A99" s="953" t="inlineStr">
        <is>
          <t>SHEL</t>
        </is>
      </c>
      <c r="B99" s="954" t="inlineStr">
        <is>
          <t>Shell</t>
        </is>
      </c>
      <c r="C99" s="955" t="inlineStr">
        <is>
          <t>LSE</t>
        </is>
      </c>
      <c r="D99" s="955" t="n">
        <v>83.81</v>
      </c>
      <c r="E99" s="955" t="n">
        <v>13.1</v>
      </c>
      <c r="F99" s="955" t="n">
        <v>1.37</v>
      </c>
      <c r="G99" s="955" t="n">
        <v>10.7</v>
      </c>
      <c r="H99" s="955" t="n">
        <v>233.1</v>
      </c>
      <c r="I99" s="955" t="n">
        <v>-2.5</v>
      </c>
      <c r="J99" s="955" t="inlineStr">
        <is>
          <t>GIỮ</t>
        </is>
      </c>
      <c r="K99" s="1104" t="inlineStr">
        <is>
          <t>Dầu khí</t>
        </is>
      </c>
      <c r="L99" s="1024">
        <f>IF(A99='🎯 SÓI v42 — TRA CỨU &amp; DEEP DIV'!$C$4,"⭐ ĐANG XEM","")</f>
        <v/>
      </c>
    </row>
    <row r="100" ht="13.5" customHeight="1" s="981">
      <c r="A100" s="953" t="inlineStr">
        <is>
          <t>AZN</t>
        </is>
      </c>
      <c r="B100" s="954" t="inlineStr">
        <is>
          <t>AstraZeneca</t>
        </is>
      </c>
      <c r="C100" s="955" t="inlineStr">
        <is>
          <t>LSE</t>
        </is>
      </c>
      <c r="D100" s="955" t="n">
        <v>185.65</v>
      </c>
      <c r="E100" s="955" t="n">
        <v>27.9</v>
      </c>
      <c r="F100" s="955" t="n">
        <v>6.08</v>
      </c>
      <c r="G100" s="955" t="n">
        <v>23.5</v>
      </c>
      <c r="H100" s="955" t="n">
        <v>287.9</v>
      </c>
      <c r="I100" s="955" t="n">
        <v>-1</v>
      </c>
      <c r="J100" s="956" t="inlineStr">
        <is>
          <t>MUA</t>
        </is>
      </c>
      <c r="K100" s="438" t="inlineStr">
        <is>
          <t>Dược</t>
        </is>
      </c>
      <c r="L100" s="1024">
        <f>IF(A100='🎯 SÓI v42 — TRA CỨU &amp; DEEP DIV'!$C$4,"⭐ ĐANG XEM","")</f>
        <v/>
      </c>
    </row>
    <row r="101" ht="13.5" customHeight="1" s="981">
      <c r="A101" s="953" t="inlineStr">
        <is>
          <t>ULVR</t>
        </is>
      </c>
      <c r="B101" s="954" t="inlineStr">
        <is>
          <t>Unilever</t>
        </is>
      </c>
      <c r="C101" s="955" t="inlineStr">
        <is>
          <t>LSE</t>
        </is>
      </c>
      <c r="D101" s="955" t="n"/>
      <c r="E101" s="955" t="n"/>
      <c r="F101" s="955" t="n"/>
      <c r="G101" s="955" t="n"/>
      <c r="H101" s="955" t="n"/>
      <c r="I101" s="955" t="n"/>
      <c r="J101" s="955" t="inlineStr">
        <is>
          <t>GIỮ</t>
        </is>
      </c>
      <c r="K101" s="1104" t="inlineStr">
        <is>
          <t>Tiêu dùng</t>
        </is>
      </c>
      <c r="L101" s="1024">
        <f>IF(A101='🎯 SÓI v42 — TRA CỨU &amp; DEEP DIV'!$C$4,"⭐ ĐANG XEM","")</f>
        <v/>
      </c>
    </row>
    <row r="102" ht="13.5" customHeight="1" s="981">
      <c r="A102" s="953" t="inlineStr">
        <is>
          <t>GSK</t>
        </is>
      </c>
      <c r="B102" s="954" t="inlineStr">
        <is>
          <t>GSK</t>
        </is>
      </c>
      <c r="C102" s="955" t="inlineStr">
        <is>
          <t>LSE</t>
        </is>
      </c>
      <c r="D102" s="955" t="n">
        <v>51.58</v>
      </c>
      <c r="E102" s="955" t="n">
        <v>13.5</v>
      </c>
      <c r="F102" s="955" t="n">
        <v>4.32</v>
      </c>
      <c r="G102" s="955" t="n">
        <v>40.9</v>
      </c>
      <c r="H102" s="955" t="n">
        <v>103.5</v>
      </c>
      <c r="I102" s="955" t="n">
        <v>1.6</v>
      </c>
      <c r="J102" s="955" t="inlineStr">
        <is>
          <t>GIỮ</t>
        </is>
      </c>
      <c r="K102" s="438" t="inlineStr">
        <is>
          <t>Dược</t>
        </is>
      </c>
      <c r="L102" s="1024">
        <f>IF(A102='🎯 SÓI v42 — TRA CỨU &amp; DEEP DIV'!$C$4,"⭐ ĐANG XEM","")</f>
        <v/>
      </c>
    </row>
    <row r="103" ht="13.5" customHeight="1" s="981">
      <c r="A103" s="953" t="inlineStr">
        <is>
          <t>BARC</t>
        </is>
      </c>
      <c r="B103" s="954" t="inlineStr">
        <is>
          <t>Barclays</t>
        </is>
      </c>
      <c r="C103" s="955" t="inlineStr">
        <is>
          <t>LSE</t>
        </is>
      </c>
      <c r="D103" s="955" t="n"/>
      <c r="E103" s="955" t="n"/>
      <c r="F103" s="955" t="n"/>
      <c r="G103" s="955" t="n"/>
      <c r="H103" s="955" t="n"/>
      <c r="I103" s="955" t="n"/>
      <c r="J103" s="956" t="inlineStr">
        <is>
          <t>MUA</t>
        </is>
      </c>
      <c r="K103" s="1104" t="inlineStr">
        <is>
          <t>NH</t>
        </is>
      </c>
      <c r="L103" s="1024">
        <f>IF(A103='🎯 SÓI v42 — TRA CỨU &amp; DEEP DIV'!$C$4,"⭐ ĐANG XEM","")</f>
        <v/>
      </c>
    </row>
    <row r="104" ht="13.5" customHeight="1" s="981">
      <c r="A104" s="953" t="inlineStr">
        <is>
          <t>LLOY</t>
        </is>
      </c>
      <c r="B104" s="954" t="inlineStr">
        <is>
          <t>Lloyds</t>
        </is>
      </c>
      <c r="C104" s="955" t="inlineStr">
        <is>
          <t>LSE</t>
        </is>
      </c>
      <c r="D104" s="955" t="n"/>
      <c r="E104" s="955" t="n"/>
      <c r="F104" s="955" t="n"/>
      <c r="G104" s="955" t="n"/>
      <c r="H104" s="955" t="n"/>
      <c r="I104" s="955" t="n"/>
      <c r="J104" s="955" t="inlineStr">
        <is>
          <t>GIỮ</t>
        </is>
      </c>
      <c r="K104" s="438" t="inlineStr">
        <is>
          <t>NH</t>
        </is>
      </c>
      <c r="L104" s="1024">
        <f>IF(A104='🎯 SÓI v42 — TRA CỨU &amp; DEEP DIV'!$C$4,"⭐ ĐANG XEM","")</f>
        <v/>
      </c>
    </row>
    <row r="105" ht="13.5" customHeight="1" s="981">
      <c r="A105" s="953" t="inlineStr">
        <is>
          <t>TSCO</t>
        </is>
      </c>
      <c r="B105" s="954" t="inlineStr">
        <is>
          <t>Tesco</t>
        </is>
      </c>
      <c r="C105" s="955" t="inlineStr">
        <is>
          <t>LSE</t>
        </is>
      </c>
      <c r="D105" s="955" t="n">
        <v>30.67</v>
      </c>
      <c r="E105" s="955" t="n">
        <v>15.1</v>
      </c>
      <c r="F105" s="955" t="n">
        <v>6.26</v>
      </c>
      <c r="G105" s="955" t="n">
        <v>45.5</v>
      </c>
      <c r="H105" s="955" t="n">
        <v>16.1</v>
      </c>
      <c r="I105" s="955" t="n">
        <v>-2.4</v>
      </c>
      <c r="J105" s="955" t="inlineStr">
        <is>
          <t>GIỮ</t>
        </is>
      </c>
      <c r="K105" s="1104" t="inlineStr">
        <is>
          <t>Bán lẻ</t>
        </is>
      </c>
      <c r="L105" s="1024">
        <f>IF(A105='🎯 SÓI v42 — TRA CỨU &amp; DEEP DIV'!$C$4,"⭐ ĐANG XEM","")</f>
        <v/>
      </c>
    </row>
    <row r="106" ht="13.5" customHeight="1" s="981">
      <c r="A106" s="953" t="inlineStr">
        <is>
          <t>SAP</t>
        </is>
      </c>
      <c r="B106" s="954" t="inlineStr">
        <is>
          <t>SAP</t>
        </is>
      </c>
      <c r="C106" s="955" t="inlineStr">
        <is>
          <t>XETRA</t>
        </is>
      </c>
      <c r="D106" s="955" t="n">
        <v>174.14</v>
      </c>
      <c r="E106" s="955" t="n">
        <v>24</v>
      </c>
      <c r="F106" s="955" t="n">
        <v>3.88</v>
      </c>
      <c r="G106" s="955" t="n">
        <v>16.4</v>
      </c>
      <c r="H106" s="955" t="n">
        <v>205.3</v>
      </c>
      <c r="I106" s="955" t="n">
        <v>-3.2</v>
      </c>
      <c r="J106" s="956" t="inlineStr">
        <is>
          <t>MUA</t>
        </is>
      </c>
      <c r="K106" s="438" t="inlineStr">
        <is>
          <t>SaaS</t>
        </is>
      </c>
      <c r="L106" s="1024">
        <f>IF(A106='🎯 SÓI v42 — TRA CỨU &amp; DEEP DIV'!$C$4,"⭐ ĐANG XEM","")</f>
        <v/>
      </c>
    </row>
    <row r="107" ht="13.5" customHeight="1" s="981">
      <c r="A107" s="953" t="inlineStr">
        <is>
          <t>SIE</t>
        </is>
      </c>
      <c r="B107" s="954" t="inlineStr">
        <is>
          <t>Siemens</t>
        </is>
      </c>
      <c r="C107" s="955" t="inlineStr">
        <is>
          <t>XETRA</t>
        </is>
      </c>
      <c r="D107" s="955" t="n"/>
      <c r="E107" s="955" t="n"/>
      <c r="F107" s="955" t="n"/>
      <c r="G107" s="955" t="n"/>
      <c r="H107" s="955" t="n"/>
      <c r="I107" s="955" t="n"/>
      <c r="J107" s="956" t="inlineStr">
        <is>
          <t>MUA</t>
        </is>
      </c>
      <c r="K107" s="1104" t="inlineStr">
        <is>
          <t>Công nghiệp</t>
        </is>
      </c>
      <c r="L107" s="1024">
        <f>IF(A107='🎯 SÓI v42 — TRA CỨU &amp; DEEP DIV'!$C$4,"⭐ ĐANG XEM","")</f>
        <v/>
      </c>
    </row>
    <row r="108" ht="13.5" customHeight="1" s="981">
      <c r="A108" s="953" t="inlineStr">
        <is>
          <t>ALV</t>
        </is>
      </c>
      <c r="B108" s="954" t="inlineStr">
        <is>
          <t>Allianz</t>
        </is>
      </c>
      <c r="C108" s="955" t="inlineStr">
        <is>
          <t>XETRA</t>
        </is>
      </c>
      <c r="D108" s="955" t="n">
        <v>129.47</v>
      </c>
      <c r="E108" s="955" t="n">
        <v>13.9</v>
      </c>
      <c r="F108" s="955" t="n">
        <v>3.68</v>
      </c>
      <c r="G108" s="955" t="n">
        <v>28.4</v>
      </c>
      <c r="H108" s="955" t="n">
        <v>9.699999999999999</v>
      </c>
      <c r="I108" s="955" t="n">
        <v>9.9</v>
      </c>
      <c r="J108" s="956" t="inlineStr">
        <is>
          <t>MUA</t>
        </is>
      </c>
      <c r="K108" s="438" t="inlineStr">
        <is>
          <t>Bảo hiểm</t>
        </is>
      </c>
      <c r="L108" s="1024">
        <f>IF(A108='🎯 SÓI v42 — TRA CỨU &amp; DEEP DIV'!$C$4,"⭐ ĐANG XEM","")</f>
        <v/>
      </c>
    </row>
    <row r="109" ht="13.5" customHeight="1" s="981">
      <c r="A109" s="953" t="inlineStr">
        <is>
          <t>DTE</t>
        </is>
      </c>
      <c r="B109" s="954" t="inlineStr">
        <is>
          <t>Deutsche Telekom</t>
        </is>
      </c>
      <c r="C109" s="955" t="inlineStr">
        <is>
          <t>XETRA</t>
        </is>
      </c>
      <c r="D109" s="955" t="n">
        <v>145.27</v>
      </c>
      <c r="E109" s="955" t="n">
        <v>23.9</v>
      </c>
      <c r="F109" s="955" t="n">
        <v>2.45</v>
      </c>
      <c r="G109" s="955" t="n">
        <v>10.4</v>
      </c>
      <c r="H109" s="955" t="n">
        <v>30.2</v>
      </c>
      <c r="I109" s="955" t="n">
        <v>1.8</v>
      </c>
      <c r="J109" s="956" t="inlineStr">
        <is>
          <t>MUA</t>
        </is>
      </c>
      <c r="K109" s="1104" t="inlineStr">
        <is>
          <t>Viễn thông</t>
        </is>
      </c>
      <c r="L109" s="1024">
        <f>IF(A109='🎯 SÓI v42 — TRA CỨU &amp; DEEP DIV'!$C$4,"⭐ ĐANG XEM","")</f>
        <v/>
      </c>
    </row>
    <row r="110" ht="13.5" customHeight="1" s="981">
      <c r="A110" s="953" t="inlineStr">
        <is>
          <t>BMW</t>
        </is>
      </c>
      <c r="B110" s="954" t="inlineStr">
        <is>
          <t>BMW</t>
        </is>
      </c>
      <c r="C110" s="955" t="inlineStr">
        <is>
          <t>XETRA</t>
        </is>
      </c>
      <c r="D110" s="955" t="n"/>
      <c r="E110" s="955" t="n"/>
      <c r="F110" s="955" t="n"/>
      <c r="G110" s="955" t="n"/>
      <c r="H110" s="955" t="n"/>
      <c r="I110" s="955" t="n"/>
      <c r="J110" s="955" t="inlineStr">
        <is>
          <t>GIỮ</t>
        </is>
      </c>
      <c r="K110" s="438" t="inlineStr">
        <is>
          <t>Xe hơi</t>
        </is>
      </c>
      <c r="L110" s="1024">
        <f>IF(A110='🎯 SÓI v42 — TRA CỨU &amp; DEEP DIV'!$C$4,"⭐ ĐANG XEM","")</f>
        <v/>
      </c>
    </row>
    <row r="111" ht="13.5" customHeight="1" s="981">
      <c r="A111" s="953" t="inlineStr">
        <is>
          <t>VOW3</t>
        </is>
      </c>
      <c r="B111" s="954" t="inlineStr">
        <is>
          <t>Volkswagen</t>
        </is>
      </c>
      <c r="C111" s="955" t="inlineStr">
        <is>
          <t>XETRA</t>
        </is>
      </c>
      <c r="D111" s="955" t="n"/>
      <c r="E111" s="955" t="n"/>
      <c r="F111" s="955" t="n"/>
      <c r="G111" s="955" t="n"/>
      <c r="H111" s="955" t="n"/>
      <c r="I111" s="955" t="n"/>
      <c r="J111" s="955" t="inlineStr">
        <is>
          <t>GIỮ</t>
        </is>
      </c>
      <c r="K111" s="1104" t="inlineStr">
        <is>
          <t>Xe hơi</t>
        </is>
      </c>
      <c r="L111" s="1024">
        <f>IF(A111='🎯 SÓI v42 — TRA CỨU &amp; DEEP DIV'!$C$4,"⭐ ĐANG XEM","")</f>
        <v/>
      </c>
    </row>
    <row r="112" ht="13.5" customHeight="1" s="981">
      <c r="A112" s="953" t="inlineStr">
        <is>
          <t>MBG</t>
        </is>
      </c>
      <c r="B112" s="954" t="inlineStr">
        <is>
          <t>Mercedes</t>
        </is>
      </c>
      <c r="C112" s="955" t="inlineStr">
        <is>
          <t>XETRA</t>
        </is>
      </c>
      <c r="D112" s="955" t="n">
        <v>26.23</v>
      </c>
      <c r="E112" s="955" t="n">
        <v>22.5</v>
      </c>
      <c r="F112" s="955" t="n">
        <v>4.5</v>
      </c>
      <c r="G112" s="955" t="n">
        <v>18.5</v>
      </c>
      <c r="H112" s="955" t="n"/>
      <c r="I112" s="955" t="n">
        <v>0.5</v>
      </c>
      <c r="J112" s="955" t="inlineStr">
        <is>
          <t>GIU</t>
        </is>
      </c>
      <c r="K112" s="438" t="inlineStr">
        <is>
          <t>Xe hơi</t>
        </is>
      </c>
      <c r="L112" s="1024">
        <f>IF(A112='🎯 SÓI v42 — TRA CỨU &amp; DEEP DIV'!$C$4,"⭐ ĐANG XEM","")</f>
        <v/>
      </c>
    </row>
    <row r="113" ht="13.5" customHeight="1" s="981">
      <c r="A113" s="953" t="inlineStr">
        <is>
          <t>BAS</t>
        </is>
      </c>
      <c r="B113" s="954" t="inlineStr">
        <is>
          <t>BASF</t>
        </is>
      </c>
      <c r="C113" s="955" t="inlineStr">
        <is>
          <t>XETRA</t>
        </is>
      </c>
      <c r="D113" s="955" t="n"/>
      <c r="E113" s="955" t="n"/>
      <c r="F113" s="955" t="n"/>
      <c r="G113" s="955" t="n"/>
      <c r="H113" s="955" t="n"/>
      <c r="I113" s="955" t="n"/>
      <c r="J113" s="955" t="inlineStr">
        <is>
          <t>GIỮ</t>
        </is>
      </c>
      <c r="K113" s="1104" t="inlineStr">
        <is>
          <t>Hóa chất</t>
        </is>
      </c>
      <c r="L113" s="1024">
        <f>IF(A113='🎯 SÓI v42 — TRA CỨU &amp; DEEP DIV'!$C$4,"⭐ ĐANG XEM","")</f>
        <v/>
      </c>
    </row>
    <row r="114" ht="13.5" customHeight="1" s="981">
      <c r="A114" s="953" t="inlineStr">
        <is>
          <t>ADS</t>
        </is>
      </c>
      <c r="B114" s="954" t="inlineStr">
        <is>
          <t>Adidas</t>
        </is>
      </c>
      <c r="C114" s="955" t="inlineStr">
        <is>
          <t>XETRA</t>
        </is>
      </c>
      <c r="D114" s="955" t="n"/>
      <c r="E114" s="955" t="n"/>
      <c r="F114" s="955" t="n"/>
      <c r="G114" s="955" t="n"/>
      <c r="H114" s="955" t="n"/>
      <c r="I114" s="955" t="n"/>
      <c r="J114" s="955" t="inlineStr">
        <is>
          <t>GIỮ</t>
        </is>
      </c>
      <c r="K114" s="438" t="inlineStr">
        <is>
          <t>Giày</t>
        </is>
      </c>
      <c r="L114" s="1024">
        <f>IF(A114='🎯 SÓI v42 — TRA CỨU &amp; DEEP DIV'!$C$4,"⭐ ĐANG XEM","")</f>
        <v/>
      </c>
    </row>
    <row r="115" ht="13.5" customHeight="1" s="981">
      <c r="A115" s="953" t="inlineStr">
        <is>
          <t>MC</t>
        </is>
      </c>
      <c r="B115" s="954" t="inlineStr">
        <is>
          <t>LVMH</t>
        </is>
      </c>
      <c r="C115" s="955" t="inlineStr">
        <is>
          <t>EURONEXT</t>
        </is>
      </c>
      <c r="D115" s="955" t="n">
        <v>65.87</v>
      </c>
      <c r="E115" s="955" t="n">
        <v>23.7</v>
      </c>
      <c r="F115" s="955" t="n">
        <v>10.06</v>
      </c>
      <c r="G115" s="955" t="n">
        <v>41.8</v>
      </c>
      <c r="H115" s="955" t="n">
        <v>4.9</v>
      </c>
      <c r="I115" s="955" t="n">
        <v>2.6</v>
      </c>
      <c r="J115" s="955" t="inlineStr">
        <is>
          <t>GIỮ</t>
        </is>
      </c>
      <c r="K115" s="1104" t="inlineStr">
        <is>
          <t>Xa xỉ</t>
        </is>
      </c>
      <c r="L115" s="1024">
        <f>IF(A115='🎯 SÓI v42 — TRA CỨU &amp; DEEP DIV'!$C$4,"⭐ ĐANG XEM","")</f>
        <v/>
      </c>
    </row>
    <row r="116" ht="13.5" customHeight="1" s="981">
      <c r="A116" s="953" t="inlineStr">
        <is>
          <t>OR</t>
        </is>
      </c>
      <c r="B116" s="954" t="inlineStr">
        <is>
          <t>LOreal</t>
        </is>
      </c>
      <c r="C116" s="955" t="inlineStr">
        <is>
          <t>EURONEXT</t>
        </is>
      </c>
      <c r="D116" s="955" t="n">
        <v>35.69</v>
      </c>
      <c r="E116" s="955" t="n">
        <v>26.6</v>
      </c>
      <c r="F116" s="955" t="n">
        <v>4.66</v>
      </c>
      <c r="G116" s="955" t="n">
        <v>18.9</v>
      </c>
      <c r="H116" s="955" t="n">
        <v>6.7</v>
      </c>
      <c r="I116" s="955" t="n">
        <v>-1</v>
      </c>
      <c r="J116" s="955" t="inlineStr">
        <is>
          <t>GIỮ</t>
        </is>
      </c>
      <c r="K116" s="438" t="inlineStr">
        <is>
          <t>Mỹ phẩm</t>
        </is>
      </c>
      <c r="L116" s="1024">
        <f>IF(A116='🎯 SÓI v42 — TRA CỨU &amp; DEEP DIV'!$C$4,"⭐ ĐANG XEM","")</f>
        <v/>
      </c>
    </row>
    <row r="117" ht="13.5" customHeight="1" s="981">
      <c r="A117" s="953" t="inlineStr">
        <is>
          <t>SAN</t>
        </is>
      </c>
      <c r="B117" s="954" t="inlineStr">
        <is>
          <t>Sanofi</t>
        </is>
      </c>
      <c r="C117" s="955" t="inlineStr">
        <is>
          <t>EURONEXT</t>
        </is>
      </c>
      <c r="D117" s="955" t="n">
        <v>12.59</v>
      </c>
      <c r="E117" s="955" t="n">
        <v>12.2</v>
      </c>
      <c r="F117" s="955" t="n">
        <v>1.55</v>
      </c>
      <c r="G117" s="955" t="n">
        <v>12.9</v>
      </c>
      <c r="H117" s="955" t="n">
        <v>181.3</v>
      </c>
      <c r="I117" s="955" t="n">
        <v>1.7</v>
      </c>
      <c r="J117" s="955" t="inlineStr">
        <is>
          <t>GIỮ</t>
        </is>
      </c>
      <c r="K117" s="1104" t="inlineStr">
        <is>
          <t>Dược</t>
        </is>
      </c>
      <c r="L117" s="1024">
        <f>IF(A117='🎯 SÓI v42 — TRA CỨU &amp; DEEP DIV'!$C$4,"⭐ ĐANG XEM","")</f>
        <v/>
      </c>
    </row>
    <row r="118" ht="13.5" customHeight="1" s="981">
      <c r="A118" s="953" t="inlineStr">
        <is>
          <t>AIR</t>
        </is>
      </c>
      <c r="B118" s="954" t="inlineStr">
        <is>
          <t>Airbus</t>
        </is>
      </c>
      <c r="C118" s="955" t="inlineStr">
        <is>
          <t>EURONEXT</t>
        </is>
      </c>
      <c r="D118" s="955" t="n">
        <v>112.82</v>
      </c>
      <c r="E118" s="955" t="n">
        <v>24.8</v>
      </c>
      <c r="F118" s="955" t="n">
        <v>2.69</v>
      </c>
      <c r="G118" s="955" t="n">
        <v>12.1</v>
      </c>
      <c r="H118" s="955" t="n">
        <v>4.5</v>
      </c>
      <c r="I118" s="955" t="n">
        <v>4.9</v>
      </c>
      <c r="J118" s="955" t="inlineStr">
        <is>
          <t>GIỮ</t>
        </is>
      </c>
      <c r="K118" s="438" t="inlineStr">
        <is>
          <t>Hàng không</t>
        </is>
      </c>
      <c r="L118" s="1024">
        <f>IF(A118='🎯 SÓI v42 — TRA CỨU &amp; DEEP DIV'!$C$4,"⭐ ĐANG XEM","")</f>
        <v/>
      </c>
    </row>
    <row r="119" ht="13.5" customHeight="1" s="981">
      <c r="A119" s="953" t="inlineStr">
        <is>
          <t>BNP</t>
        </is>
      </c>
      <c r="B119" s="954" t="inlineStr">
        <is>
          <t>BNP Paribas</t>
        </is>
      </c>
      <c r="C119" s="955" t="inlineStr">
        <is>
          <t>EURONEXT</t>
        </is>
      </c>
      <c r="D119" s="955" t="n"/>
      <c r="E119" s="955" t="n"/>
      <c r="F119" s="955" t="n"/>
      <c r="G119" s="955" t="n"/>
      <c r="H119" s="955" t="n"/>
      <c r="I119" s="955" t="n"/>
      <c r="J119" s="956" t="inlineStr">
        <is>
          <t>MUA</t>
        </is>
      </c>
      <c r="K119" s="1104" t="inlineStr">
        <is>
          <t>NH</t>
        </is>
      </c>
      <c r="L119" s="1024">
        <f>IF(A119='🎯 SÓI v42 — TRA CỨU &amp; DEEP DIV'!$C$4,"⭐ ĐANG XEM","")</f>
        <v/>
      </c>
    </row>
    <row r="120" ht="13.5" customHeight="1" s="981">
      <c r="A120" s="953" t="inlineStr">
        <is>
          <t>NESN</t>
        </is>
      </c>
      <c r="B120" s="954" t="inlineStr">
        <is>
          <t>Nestlé</t>
        </is>
      </c>
      <c r="C120" s="955" t="inlineStr">
        <is>
          <t>SIX</t>
        </is>
      </c>
      <c r="D120" s="955" t="n"/>
      <c r="E120" s="955" t="n"/>
      <c r="F120" s="955" t="n"/>
      <c r="G120" s="955" t="n"/>
      <c r="H120" s="955" t="n"/>
      <c r="I120" s="955" t="n"/>
      <c r="J120" s="955" t="inlineStr">
        <is>
          <t>GIỮ</t>
        </is>
      </c>
      <c r="K120" s="438" t="inlineStr">
        <is>
          <t>Thực phẩm</t>
        </is>
      </c>
      <c r="L120" s="1024">
        <f>IF(A120='🎯 SÓI v42 — TRA CỨU &amp; DEEP DIV'!$C$4,"⭐ ĐANG XEM","")</f>
        <v/>
      </c>
    </row>
    <row r="121" ht="13.5" customHeight="1" s="981">
      <c r="A121" s="953" t="inlineStr">
        <is>
          <t>NOVN</t>
        </is>
      </c>
      <c r="B121" s="954" t="inlineStr">
        <is>
          <t>Novartis</t>
        </is>
      </c>
      <c r="C121" s="955" t="inlineStr">
        <is>
          <t>SIX</t>
        </is>
      </c>
      <c r="D121" s="955" t="n"/>
      <c r="E121" s="955" t="n"/>
      <c r="F121" s="955" t="n"/>
      <c r="G121" s="955" t="n"/>
      <c r="H121" s="955" t="n"/>
      <c r="I121" s="955" t="n"/>
      <c r="J121" s="955" t="inlineStr">
        <is>
          <t>GIỮ</t>
        </is>
      </c>
      <c r="K121" s="1104" t="inlineStr">
        <is>
          <t>Dược</t>
        </is>
      </c>
      <c r="L121" s="1024">
        <f>IF(A121='🎯 SÓI v42 — TRA CỨU &amp; DEEP DIV'!$C$4,"⭐ ĐANG XEM","")</f>
        <v/>
      </c>
    </row>
    <row r="122" ht="13.5" customHeight="1" s="981">
      <c r="A122" s="953" t="inlineStr">
        <is>
          <t>ROG</t>
        </is>
      </c>
      <c r="B122" s="954" t="inlineStr">
        <is>
          <t>Roche</t>
        </is>
      </c>
      <c r="C122" s="955" t="inlineStr">
        <is>
          <t>SIX</t>
        </is>
      </c>
      <c r="D122" s="955" t="n">
        <v>145.85</v>
      </c>
      <c r="E122" s="955" t="n">
        <v>33.4</v>
      </c>
      <c r="F122" s="955" t="n">
        <v>2.17</v>
      </c>
      <c r="G122" s="955" t="n">
        <v>-4.5</v>
      </c>
      <c r="H122" s="955" t="n">
        <v>2.6</v>
      </c>
      <c r="I122" s="955" t="n">
        <v>9.699999999999999</v>
      </c>
      <c r="J122" s="955" t="inlineStr">
        <is>
          <t>GIỮ</t>
        </is>
      </c>
      <c r="K122" s="438" t="inlineStr">
        <is>
          <t>Dược</t>
        </is>
      </c>
      <c r="L122" s="1024">
        <f>IF(A122='🎯 SÓI v42 — TRA CỨU &amp; DEEP DIV'!$C$4,"⭐ ĐANG XEM","")</f>
        <v/>
      </c>
    </row>
    <row r="123" ht="13.5" customHeight="1" s="981">
      <c r="A123" s="953" t="inlineStr">
        <is>
          <t>UBSG</t>
        </is>
      </c>
      <c r="B123" s="954" t="inlineStr">
        <is>
          <t>UBS</t>
        </is>
      </c>
      <c r="C123" s="955" t="inlineStr">
        <is>
          <t>SIX</t>
        </is>
      </c>
      <c r="D123" s="955" t="n"/>
      <c r="E123" s="955" t="n"/>
      <c r="F123" s="955" t="n"/>
      <c r="G123" s="955" t="n"/>
      <c r="H123" s="955" t="n"/>
      <c r="I123" s="955" t="n"/>
      <c r="J123" s="956" t="inlineStr">
        <is>
          <t>MUA</t>
        </is>
      </c>
      <c r="K123" s="1104" t="inlineStr">
        <is>
          <t>NH</t>
        </is>
      </c>
      <c r="L123" s="1024">
        <f>IF(A123='🎯 SÓI v42 — TRA CỨU &amp; DEEP DIV'!$C$4,"⭐ ĐANG XEM","")</f>
        <v/>
      </c>
    </row>
    <row r="124" ht="13.5" customHeight="1" s="981">
      <c r="A124" s="953" t="inlineStr">
        <is>
          <t>7203</t>
        </is>
      </c>
      <c r="B124" s="954" t="inlineStr">
        <is>
          <t>Toyota</t>
        </is>
      </c>
      <c r="C124" s="955" t="inlineStr">
        <is>
          <t>TYO</t>
        </is>
      </c>
      <c r="D124" s="955" t="n">
        <v>3030</v>
      </c>
      <c r="E124" s="955" t="n">
        <v>10.3</v>
      </c>
      <c r="F124" s="955" t="n">
        <v>0.99</v>
      </c>
      <c r="G124" s="955" t="n"/>
      <c r="H124" s="955" t="n">
        <v>39491.2</v>
      </c>
      <c r="I124" s="955" t="n"/>
      <c r="J124" s="955" t="inlineStr">
        <is>
          <t>GIỮ</t>
        </is>
      </c>
      <c r="K124" s="438" t="inlineStr">
        <is>
          <t>Xe hơi</t>
        </is>
      </c>
      <c r="L124" s="1024">
        <f>IF(A124='🎯 SÓI v42 — TRA CỨU &amp; DEEP DIV'!$C$4,"⭐ ĐANG XEM","")</f>
        <v/>
      </c>
    </row>
    <row r="125" ht="13.5" customHeight="1" s="981">
      <c r="A125" s="953" t="inlineStr">
        <is>
          <t>6758</t>
        </is>
      </c>
      <c r="B125" s="954" t="inlineStr">
        <is>
          <t>Sony</t>
        </is>
      </c>
      <c r="C125" s="955" t="inlineStr">
        <is>
          <t>TYO</t>
        </is>
      </c>
      <c r="D125" s="955" t="n">
        <v>3451</v>
      </c>
      <c r="E125" s="955" t="n">
        <v>20.1</v>
      </c>
      <c r="F125" s="955" t="n">
        <v>2.51</v>
      </c>
      <c r="G125" s="955" t="n"/>
      <c r="H125" s="955" t="n">
        <v>20388.7</v>
      </c>
      <c r="I125" s="955" t="n"/>
      <c r="J125" s="955" t="inlineStr">
        <is>
          <t>GIỮ</t>
        </is>
      </c>
      <c r="K125" s="1104" t="inlineStr">
        <is>
          <t>Điện tử</t>
        </is>
      </c>
      <c r="L125" s="1024">
        <f>IF(A125='🎯 SÓI v42 — TRA CỨU &amp; DEEP DIV'!$C$4,"⭐ ĐANG XEM","")</f>
        <v/>
      </c>
    </row>
    <row r="126" ht="13.5" customHeight="1" s="981">
      <c r="A126" s="953" t="inlineStr">
        <is>
          <t>9984</t>
        </is>
      </c>
      <c r="B126" s="954" t="inlineStr">
        <is>
          <t>SoftBank</t>
        </is>
      </c>
      <c r="C126" s="955" t="inlineStr">
        <is>
          <t>TYO</t>
        </is>
      </c>
      <c r="D126" s="955" t="n">
        <v>7125</v>
      </c>
      <c r="E126" s="955" t="n">
        <v>8.199999999999999</v>
      </c>
      <c r="F126" s="955" t="n">
        <v>2.33</v>
      </c>
      <c r="G126" s="955" t="n"/>
      <c r="H126" s="955" t="n">
        <v>40604.8</v>
      </c>
      <c r="I126" s="955" t="n"/>
      <c r="J126" s="955" t="inlineStr">
        <is>
          <t>GIỮ</t>
        </is>
      </c>
      <c r="K126" s="438" t="inlineStr">
        <is>
          <t>Đầu tư</t>
        </is>
      </c>
      <c r="L126" s="1024">
        <f>IF(A126='🎯 SÓI v42 — TRA CỨU &amp; DEEP DIV'!$C$4,"⭐ ĐANG XEM","")</f>
        <v/>
      </c>
    </row>
    <row r="127" ht="13.5" customHeight="1" s="981">
      <c r="A127" s="953" t="inlineStr">
        <is>
          <t>6861</t>
        </is>
      </c>
      <c r="B127" s="954" t="inlineStr">
        <is>
          <t>Keyence</t>
        </is>
      </c>
      <c r="C127" s="955" t="inlineStr">
        <is>
          <t>TYO</t>
        </is>
      </c>
      <c r="D127" s="955" t="n"/>
      <c r="E127" s="955" t="n"/>
      <c r="F127" s="955" t="n"/>
      <c r="G127" s="955" t="n"/>
      <c r="H127" s="955" t="n"/>
      <c r="I127" s="955" t="n"/>
      <c r="J127" s="955" t="inlineStr">
        <is>
          <t>GIỮ</t>
        </is>
      </c>
      <c r="K127" s="1104" t="inlineStr">
        <is>
          <t>Tự động</t>
        </is>
      </c>
      <c r="L127" s="1024">
        <f>IF(A127='🎯 SÓI v42 — TRA CỨU &amp; DEEP DIV'!$C$4,"⭐ ĐANG XEM","")</f>
        <v/>
      </c>
    </row>
    <row r="128" ht="13.5" customHeight="1" s="981">
      <c r="A128" s="953" t="inlineStr">
        <is>
          <t>8306</t>
        </is>
      </c>
      <c r="B128" s="954" t="inlineStr">
        <is>
          <t>Mitsubishi UFJ</t>
        </is>
      </c>
      <c r="C128" s="955" t="inlineStr">
        <is>
          <t>TYO</t>
        </is>
      </c>
      <c r="D128" s="955" t="n">
        <v>2982</v>
      </c>
      <c r="E128" s="955" t="n">
        <v>14</v>
      </c>
      <c r="F128" s="955" t="n">
        <v>1.51</v>
      </c>
      <c r="G128" s="955" t="n"/>
      <c r="H128" s="955" t="n">
        <v>33659.6</v>
      </c>
      <c r="I128" s="955" t="n"/>
      <c r="J128" s="956" t="inlineStr">
        <is>
          <t>MUA</t>
        </is>
      </c>
      <c r="K128" s="438" t="inlineStr">
        <is>
          <t>NH</t>
        </is>
      </c>
      <c r="L128" s="1024">
        <f>IF(A128='🎯 SÓI v42 — TRA CỨU &amp; DEEP DIV'!$C$4,"⭐ ĐANG XEM","")</f>
        <v/>
      </c>
    </row>
    <row r="129" ht="13.5" customHeight="1" s="981">
      <c r="A129" s="953" t="inlineStr">
        <is>
          <t>7974</t>
        </is>
      </c>
      <c r="B129" s="954" t="inlineStr">
        <is>
          <t>Nintendo</t>
        </is>
      </c>
      <c r="C129" s="955" t="inlineStr">
        <is>
          <t>TYO</t>
        </is>
      </c>
      <c r="D129" s="955" t="n">
        <v>6972</v>
      </c>
      <c r="E129" s="955" t="n">
        <v>19.1</v>
      </c>
      <c r="F129" s="955" t="n">
        <v>2.72</v>
      </c>
      <c r="G129" s="955" t="n"/>
      <c r="H129" s="955" t="n">
        <v>8037.5</v>
      </c>
      <c r="I129" s="955" t="n"/>
      <c r="J129" s="956" t="inlineStr">
        <is>
          <t>MUA</t>
        </is>
      </c>
      <c r="K129" s="1104" t="inlineStr">
        <is>
          <t>Game</t>
        </is>
      </c>
      <c r="L129" s="1024">
        <f>IF(A129='🎯 SÓI v42 — TRA CỨU &amp; DEEP DIV'!$C$4,"⭐ ĐANG XEM","")</f>
        <v/>
      </c>
    </row>
    <row r="130" ht="13.5" customHeight="1" s="981">
      <c r="A130" s="953" t="inlineStr">
        <is>
          <t>4063</t>
        </is>
      </c>
      <c r="B130" s="954" t="inlineStr">
        <is>
          <t>Shin-Etsu</t>
        </is>
      </c>
      <c r="C130" s="955" t="inlineStr">
        <is>
          <t>TYO</t>
        </is>
      </c>
      <c r="D130" s="955" t="n">
        <v>7344</v>
      </c>
      <c r="E130" s="955" t="n">
        <v>29.1</v>
      </c>
      <c r="F130" s="955" t="n">
        <v>3.05</v>
      </c>
      <c r="G130" s="955" t="n"/>
      <c r="H130" s="955" t="n">
        <v>13636.4</v>
      </c>
      <c r="I130" s="955" t="n"/>
      <c r="J130" s="955" t="inlineStr">
        <is>
          <t>GIỮ</t>
        </is>
      </c>
      <c r="K130" s="438" t="inlineStr">
        <is>
          <t>Hóa chất</t>
        </is>
      </c>
      <c r="L130" s="1024">
        <f>IF(A130='🎯 SÓI v42 — TRA CỨU &amp; DEEP DIV'!$C$4,"⭐ ĐANG XEM","")</f>
        <v/>
      </c>
    </row>
    <row r="131" ht="13.5" customHeight="1" s="981">
      <c r="A131" s="953" t="inlineStr">
        <is>
          <t>8035</t>
        </is>
      </c>
      <c r="B131" s="954" t="inlineStr">
        <is>
          <t>Tokyo Electron</t>
        </is>
      </c>
      <c r="C131" s="955" t="inlineStr">
        <is>
          <t>TYO</t>
        </is>
      </c>
      <c r="D131" s="955" t="n"/>
      <c r="E131" s="955" t="n"/>
      <c r="F131" s="955" t="n"/>
      <c r="G131" s="955" t="n"/>
      <c r="H131" s="955" t="n"/>
      <c r="I131" s="955" t="n"/>
      <c r="J131" s="955" t="inlineStr">
        <is>
          <t>GIỮ</t>
        </is>
      </c>
      <c r="K131" s="1104" t="inlineStr">
        <is>
          <t>Bán dẫn</t>
        </is>
      </c>
      <c r="L131" s="1024">
        <f>IF(A131='🎯 SÓI v42 — TRA CỨU &amp; DEEP DIV'!$C$4,"⭐ ĐANG XEM","")</f>
        <v/>
      </c>
    </row>
    <row r="132" ht="13.5" customHeight="1" s="981">
      <c r="A132" s="953" t="inlineStr">
        <is>
          <t>700</t>
        </is>
      </c>
      <c r="B132" s="954" t="inlineStr">
        <is>
          <t>Tencent</t>
        </is>
      </c>
      <c r="C132" s="955" t="inlineStr">
        <is>
          <t>HKEX</t>
        </is>
      </c>
      <c r="D132" s="955" t="n">
        <v>425</v>
      </c>
      <c r="E132" s="955" t="n">
        <v>15.3</v>
      </c>
      <c r="F132" s="955" t="n">
        <v>2.95</v>
      </c>
      <c r="G132" s="955" t="n"/>
      <c r="H132" s="955" t="n">
        <v>3837.4</v>
      </c>
      <c r="I132" s="955" t="n"/>
      <c r="J132" s="956" t="inlineStr">
        <is>
          <t>MUA</t>
        </is>
      </c>
      <c r="K132" s="438" t="inlineStr">
        <is>
          <t>Tech TQ</t>
        </is>
      </c>
      <c r="L132" s="1024">
        <f>IF(A132='🎯 SÓI v42 — TRA CỨU &amp; DEEP DIV'!$C$4,"⭐ ĐANG XEM","")</f>
        <v/>
      </c>
    </row>
    <row r="133" ht="13.5" customHeight="1" s="981">
      <c r="A133" s="953" t="inlineStr">
        <is>
          <t>9988</t>
        </is>
      </c>
      <c r="B133" s="954" t="inlineStr">
        <is>
          <t>Alibaba</t>
        </is>
      </c>
      <c r="C133" s="955" t="inlineStr">
        <is>
          <t>HKEX</t>
        </is>
      </c>
      <c r="D133" s="955" t="n">
        <v>121.8</v>
      </c>
      <c r="E133" s="955" t="n">
        <v>19.2</v>
      </c>
      <c r="F133" s="955" t="n">
        <v>1.85</v>
      </c>
      <c r="G133" s="955" t="n"/>
      <c r="H133" s="955" t="n">
        <v>2337.7</v>
      </c>
      <c r="I133" s="955" t="n"/>
      <c r="J133" s="956" t="inlineStr">
        <is>
          <t>MUA</t>
        </is>
      </c>
      <c r="K133" s="1104" t="inlineStr">
        <is>
          <t>TMĐT</t>
        </is>
      </c>
      <c r="L133" s="1024">
        <f>IF(A133='🎯 SÓI v42 — TRA CỨU &amp; DEEP DIV'!$C$4,"⭐ ĐANG XEM","")</f>
        <v/>
      </c>
    </row>
    <row r="134" ht="13.5" customHeight="1" s="981">
      <c r="A134" s="953" t="inlineStr">
        <is>
          <t>3690</t>
        </is>
      </c>
      <c r="B134" s="954" t="inlineStr">
        <is>
          <t>Meituan</t>
        </is>
      </c>
      <c r="C134" s="955" t="inlineStr">
        <is>
          <t>HKEX</t>
        </is>
      </c>
      <c r="D134" s="955" t="n">
        <v>73.3</v>
      </c>
      <c r="E134" s="955" t="n">
        <v>13.8</v>
      </c>
      <c r="F134" s="955" t="n">
        <v>2.57</v>
      </c>
      <c r="G134" s="955" t="n"/>
      <c r="H134" s="955" t="n">
        <v>452.6</v>
      </c>
      <c r="I134" s="955" t="n"/>
      <c r="J134" s="956" t="inlineStr">
        <is>
          <t>MUA</t>
        </is>
      </c>
      <c r="K134" s="438" t="inlineStr">
        <is>
          <t>Giao hàng</t>
        </is>
      </c>
      <c r="L134" s="1024">
        <f>IF(A134='🎯 SÓI v42 — TRA CỨU &amp; DEEP DIV'!$C$4,"⭐ ĐANG XEM","")</f>
        <v/>
      </c>
    </row>
    <row r="135" ht="13.5" customHeight="1" s="981">
      <c r="A135" s="953" t="inlineStr">
        <is>
          <t>1810</t>
        </is>
      </c>
      <c r="B135" s="954" t="inlineStr">
        <is>
          <t>Xiaomi</t>
        </is>
      </c>
      <c r="C135" s="955" t="inlineStr">
        <is>
          <t>HKEX</t>
        </is>
      </c>
      <c r="D135" s="955" t="n">
        <v>28.56</v>
      </c>
      <c r="E135" s="955" t="n">
        <v>15.9</v>
      </c>
      <c r="F135" s="955" t="n">
        <v>2.4</v>
      </c>
      <c r="G135" s="955" t="n"/>
      <c r="H135" s="955" t="n">
        <v>736.9</v>
      </c>
      <c r="I135" s="955" t="n"/>
      <c r="J135" s="956" t="inlineStr">
        <is>
          <t>MUA</t>
        </is>
      </c>
      <c r="K135" s="1104" t="inlineStr">
        <is>
          <t>Điện thoại</t>
        </is>
      </c>
      <c r="L135" s="1024">
        <f>IF(A135='🎯 SÓI v42 — TRA CỨU &amp; DEEP DIV'!$C$4,"⭐ ĐANG XEM","")</f>
        <v/>
      </c>
    </row>
    <row r="136" ht="13.5" customHeight="1" s="981">
      <c r="A136" s="953" t="inlineStr">
        <is>
          <t>1024</t>
        </is>
      </c>
      <c r="B136" s="954" t="inlineStr">
        <is>
          <t>Kuaishou</t>
        </is>
      </c>
      <c r="C136" s="955" t="inlineStr">
        <is>
          <t>HKEX</t>
        </is>
      </c>
      <c r="D136" s="955" t="n">
        <v>44.88</v>
      </c>
      <c r="E136" s="955" t="n">
        <v>9.199999999999999</v>
      </c>
      <c r="F136" s="955" t="n">
        <v>2.05</v>
      </c>
      <c r="G136" s="955" t="n"/>
      <c r="H136" s="955" t="n">
        <v>194.7</v>
      </c>
      <c r="I136" s="955" t="n"/>
      <c r="J136" s="955" t="inlineStr">
        <is>
          <t>GIỮ</t>
        </is>
      </c>
      <c r="K136" s="438" t="inlineStr">
        <is>
          <t>Video</t>
        </is>
      </c>
      <c r="L136" s="1024">
        <f>IF(A136='🎯 SÓI v42 — TRA CỨU &amp; DEEP DIV'!$C$4,"⭐ ĐANG XEM","")</f>
        <v/>
      </c>
    </row>
    <row r="137" ht="13.5" customHeight="1" s="981">
      <c r="A137" s="953" t="inlineStr">
        <is>
          <t>1398</t>
        </is>
      </c>
      <c r="B137" s="954" t="inlineStr">
        <is>
          <t>ICBC</t>
        </is>
      </c>
      <c r="C137" s="955" t="inlineStr">
        <is>
          <t>HKEX</t>
        </is>
      </c>
      <c r="D137" s="955" t="n"/>
      <c r="E137" s="955" t="n"/>
      <c r="F137" s="955" t="n"/>
      <c r="G137" s="955" t="n"/>
      <c r="H137" s="955" t="n"/>
      <c r="I137" s="955" t="n"/>
      <c r="J137" s="956" t="inlineStr">
        <is>
          <t>MUA</t>
        </is>
      </c>
      <c r="K137" s="1104" t="inlineStr">
        <is>
          <t>NH</t>
        </is>
      </c>
      <c r="L137" s="1024">
        <f>IF(A137='🎯 SÓI v42 — TRA CỨU &amp; DEEP DIV'!$C$4,"⭐ ĐANG XEM","")</f>
        <v/>
      </c>
    </row>
    <row r="138" ht="13.5" customHeight="1" s="981">
      <c r="A138" s="953" t="inlineStr">
        <is>
          <t>939</t>
        </is>
      </c>
      <c r="B138" s="954" t="inlineStr">
        <is>
          <t>China Construction</t>
        </is>
      </c>
      <c r="C138" s="955" t="inlineStr">
        <is>
          <t>HKEX</t>
        </is>
      </c>
      <c r="D138" s="955" t="n">
        <v>8.48</v>
      </c>
      <c r="E138" s="955" t="n">
        <v>5.7</v>
      </c>
      <c r="F138" s="955" t="n">
        <v>0.54</v>
      </c>
      <c r="G138" s="955" t="n"/>
      <c r="H138" s="955" t="n">
        <v>2218.4</v>
      </c>
      <c r="I138" s="955" t="n"/>
      <c r="J138" s="956" t="inlineStr">
        <is>
          <t>MUA</t>
        </is>
      </c>
      <c r="K138" s="438" t="inlineStr">
        <is>
          <t>NH</t>
        </is>
      </c>
      <c r="L138" s="1024">
        <f>IF(A138='🎯 SÓI v42 — TRA CỨU &amp; DEEP DIV'!$C$4,"⭐ ĐANG XEM","")</f>
        <v/>
      </c>
    </row>
    <row r="139" ht="13.5" customHeight="1" s="981">
      <c r="A139" s="953" t="inlineStr">
        <is>
          <t>941</t>
        </is>
      </c>
      <c r="B139" s="954" t="inlineStr">
        <is>
          <t>China Mobile</t>
        </is>
      </c>
      <c r="C139" s="955" t="inlineStr">
        <is>
          <t>HKEX</t>
        </is>
      </c>
      <c r="D139" s="955" t="n">
        <v>84.84999999999999</v>
      </c>
      <c r="E139" s="955" t="n">
        <v>11.7</v>
      </c>
      <c r="F139" s="955" t="n">
        <v>1.11</v>
      </c>
      <c r="G139" s="955" t="n"/>
      <c r="H139" s="955" t="n">
        <v>1836.5</v>
      </c>
      <c r="I139" s="955" t="n"/>
      <c r="J139" s="956" t="inlineStr">
        <is>
          <t>MUA</t>
        </is>
      </c>
      <c r="K139" s="1104" t="inlineStr">
        <is>
          <t>Viễn thông</t>
        </is>
      </c>
      <c r="L139" s="1024">
        <f>IF(A139='🎯 SÓI v42 — TRA CỨU &amp; DEEP DIV'!$C$4,"⭐ ĐANG XEM","")</f>
        <v/>
      </c>
    </row>
    <row r="140" ht="13.5" customHeight="1" s="981">
      <c r="A140" s="953" t="inlineStr">
        <is>
          <t>2318</t>
        </is>
      </c>
      <c r="B140" s="954" t="inlineStr">
        <is>
          <t>Ping An</t>
        </is>
      </c>
      <c r="C140" s="955" t="inlineStr">
        <is>
          <t>HKEX</t>
        </is>
      </c>
      <c r="D140" s="955" t="n">
        <v>59.25</v>
      </c>
      <c r="E140" s="955" t="n">
        <v>7.1</v>
      </c>
      <c r="F140" s="955" t="n">
        <v>0.91</v>
      </c>
      <c r="G140" s="955" t="n"/>
      <c r="H140" s="955" t="n">
        <v>1072.9</v>
      </c>
      <c r="I140" s="955" t="n"/>
      <c r="J140" s="956" t="inlineStr">
        <is>
          <t>MUA</t>
        </is>
      </c>
      <c r="K140" s="438" t="inlineStr">
        <is>
          <t>Bảo hiểm</t>
        </is>
      </c>
      <c r="L140" s="1024">
        <f>IF(A140='🎯 SÓI v42 — TRA CỨU &amp; DEEP DIV'!$C$4,"⭐ ĐANG XEM","")</f>
        <v/>
      </c>
    </row>
    <row r="141" ht="13.5" customHeight="1" s="981">
      <c r="A141" s="953" t="inlineStr">
        <is>
          <t>005930</t>
        </is>
      </c>
      <c r="B141" s="954" t="inlineStr">
        <is>
          <t>Samsung</t>
        </is>
      </c>
      <c r="C141" s="955" t="inlineStr">
        <is>
          <t>KRX</t>
        </is>
      </c>
      <c r="D141" s="955" t="n">
        <v>299500</v>
      </c>
      <c r="E141" s="955" t="n">
        <v>5.6</v>
      </c>
      <c r="F141" s="955" t="n"/>
      <c r="G141" s="955" t="n"/>
      <c r="H141" s="955" t="n">
        <v>1966685.7</v>
      </c>
      <c r="I141" s="955" t="n"/>
      <c r="J141" s="955" t="inlineStr">
        <is>
          <t>GIỮ</t>
        </is>
      </c>
      <c r="K141" s="1104" t="inlineStr">
        <is>
          <t>Điện tử</t>
        </is>
      </c>
      <c r="L141" s="1024">
        <f>IF(A141='🎯 SÓI v42 — TRA CỨU &amp; DEEP DIV'!$C$4,"⭐ ĐANG XEM","")</f>
        <v/>
      </c>
    </row>
    <row r="142" ht="13.5" customHeight="1" s="981">
      <c r="A142" s="953" t="inlineStr">
        <is>
          <t>000660</t>
        </is>
      </c>
      <c r="B142" s="954" t="inlineStr">
        <is>
          <t>SK Hynix</t>
        </is>
      </c>
      <c r="C142" s="955" t="inlineStr">
        <is>
          <t>KRX</t>
        </is>
      </c>
      <c r="D142" s="955" t="n">
        <v>2289000</v>
      </c>
      <c r="E142" s="955" t="n">
        <v>6</v>
      </c>
      <c r="F142" s="955" t="n"/>
      <c r="G142" s="955" t="n"/>
      <c r="H142" s="955" t="n">
        <v>1624857.9</v>
      </c>
      <c r="I142" s="955" t="n"/>
      <c r="J142" s="956" t="inlineStr">
        <is>
          <t>MUA</t>
        </is>
      </c>
      <c r="K142" s="438" t="inlineStr">
        <is>
          <t>Bộ nhớ</t>
        </is>
      </c>
      <c r="L142" s="1024">
        <f>IF(A142='🎯 SÓI v42 — TRA CỨU &amp; DEEP DIV'!$C$4,"⭐ ĐANG XEM","")</f>
        <v/>
      </c>
    </row>
    <row r="143" ht="13.5" customHeight="1" s="981">
      <c r="A143" s="953" t="inlineStr">
        <is>
          <t>035420</t>
        </is>
      </c>
      <c r="B143" s="954" t="inlineStr">
        <is>
          <t>NAVER</t>
        </is>
      </c>
      <c r="C143" s="955" t="inlineStr">
        <is>
          <t>KRX</t>
        </is>
      </c>
      <c r="D143" s="955" t="n">
        <v>205000</v>
      </c>
      <c r="E143" s="955" t="n">
        <v>13.7</v>
      </c>
      <c r="F143" s="955" t="n"/>
      <c r="G143" s="955" t="n"/>
      <c r="H143" s="955" t="n">
        <v>30644.4</v>
      </c>
      <c r="I143" s="955" t="n"/>
      <c r="J143" s="955" t="inlineStr">
        <is>
          <t>GIỮ</t>
        </is>
      </c>
      <c r="K143" s="1104" t="inlineStr">
        <is>
          <t>Internet</t>
        </is>
      </c>
      <c r="L143" s="1024">
        <f>IF(A143='🎯 SÓI v42 — TRA CỨU &amp; DEEP DIV'!$C$4,"⭐ ĐANG XEM","")</f>
        <v/>
      </c>
    </row>
    <row r="144" ht="13.5" customHeight="1" s="981">
      <c r="A144" s="953" t="inlineStr">
        <is>
          <t>2330.TW</t>
        </is>
      </c>
      <c r="B144" s="954" t="inlineStr">
        <is>
          <t>TSMC Taipei</t>
        </is>
      </c>
      <c r="C144" s="955" t="inlineStr">
        <is>
          <t>TWSE</t>
        </is>
      </c>
      <c r="D144" s="955" t="n">
        <v>2295</v>
      </c>
      <c r="E144" s="955" t="n">
        <v>31.2</v>
      </c>
      <c r="F144" s="955" t="n">
        <v>10.1</v>
      </c>
      <c r="G144" s="955" t="n">
        <v>36.2</v>
      </c>
      <c r="H144" s="955" t="n">
        <v>59514.8</v>
      </c>
      <c r="I144" s="955" t="n">
        <v>1.8</v>
      </c>
      <c r="J144" s="956" t="inlineStr">
        <is>
          <t>MUA</t>
        </is>
      </c>
      <c r="K144" s="438" t="inlineStr">
        <is>
          <t>Bán dẫn</t>
        </is>
      </c>
      <c r="L144" s="1024">
        <f>IF(A144='🎯 SÓI v42 — TRA CỨU &amp; DEEP DIV'!$C$4,"⭐ ĐANG XEM","")</f>
        <v/>
      </c>
    </row>
    <row r="145" ht="13.5" customHeight="1" s="981">
      <c r="A145" s="953" t="inlineStr">
        <is>
          <t>2454</t>
        </is>
      </c>
      <c r="B145" s="954" t="inlineStr">
        <is>
          <t>MediaTek</t>
        </is>
      </c>
      <c r="C145" s="955" t="inlineStr">
        <is>
          <t>TWSE</t>
        </is>
      </c>
      <c r="D145" s="955" t="n"/>
      <c r="E145" s="955" t="n"/>
      <c r="F145" s="955" t="n"/>
      <c r="G145" s="955" t="n"/>
      <c r="H145" s="955" t="n"/>
      <c r="I145" s="955" t="n"/>
      <c r="J145" s="956" t="inlineStr">
        <is>
          <t>MUA</t>
        </is>
      </c>
      <c r="K145" s="1104" t="inlineStr">
        <is>
          <t>Chip</t>
        </is>
      </c>
      <c r="L145" s="1024">
        <f>IF(A145='🎯 SÓI v42 — TRA CỨU &amp; DEEP DIV'!$C$4,"⭐ ĐANG XEM","")</f>
        <v/>
      </c>
    </row>
    <row r="146" ht="13.5" customHeight="1" s="981">
      <c r="A146" s="953" t="inlineStr">
        <is>
          <t>2317</t>
        </is>
      </c>
      <c r="B146" s="954" t="inlineStr">
        <is>
          <t>Foxconn</t>
        </is>
      </c>
      <c r="C146" s="955" t="inlineStr">
        <is>
          <t>TWSE</t>
        </is>
      </c>
      <c r="D146" s="955" t="n">
        <v>263</v>
      </c>
      <c r="E146" s="955" t="n">
        <v>19.6</v>
      </c>
      <c r="F146" s="955" t="n">
        <v>2.07</v>
      </c>
      <c r="G146" s="955" t="n"/>
      <c r="H146" s="955" t="n">
        <v>3682.5</v>
      </c>
      <c r="I146" s="955" t="n"/>
      <c r="J146" s="956" t="inlineStr">
        <is>
          <t>MUA</t>
        </is>
      </c>
      <c r="K146" s="438" t="inlineStr">
        <is>
          <t>iPhone</t>
        </is>
      </c>
      <c r="L146" s="1024">
        <f>IF(A146='🎯 SÓI v42 — TRA CỨU &amp; DEEP DIV'!$C$4,"⭐ ĐANG XEM","")</f>
        <v/>
      </c>
    </row>
    <row r="147" ht="13.5" customHeight="1" s="981">
      <c r="A147" s="953" t="inlineStr">
        <is>
          <t>RELIANCE</t>
        </is>
      </c>
      <c r="B147" s="954" t="inlineStr">
        <is>
          <t>Reliance</t>
        </is>
      </c>
      <c r="C147" s="955" t="inlineStr">
        <is>
          <t>NSE</t>
        </is>
      </c>
      <c r="D147" s="955" t="n"/>
      <c r="E147" s="955" t="n"/>
      <c r="F147" s="955" t="n"/>
      <c r="G147" s="955" t="n"/>
      <c r="H147" s="955" t="n"/>
      <c r="I147" s="955" t="n"/>
      <c r="J147" s="956" t="inlineStr">
        <is>
          <t>MUA</t>
        </is>
      </c>
      <c r="K147" s="1104" t="inlineStr">
        <is>
          <t>Đa ngành</t>
        </is>
      </c>
      <c r="L147" s="1024">
        <f>IF(A147='🎯 SÓI v42 — TRA CỨU &amp; DEEP DIV'!$C$4,"⭐ ĐANG XEM","")</f>
        <v/>
      </c>
    </row>
    <row r="148" ht="13.5" customHeight="1" s="981">
      <c r="A148" s="953" t="inlineStr">
        <is>
          <t>TCS</t>
        </is>
      </c>
      <c r="B148" s="954" t="inlineStr">
        <is>
          <t>TCS</t>
        </is>
      </c>
      <c r="C148" s="955" t="inlineStr">
        <is>
          <t>NSE</t>
        </is>
      </c>
      <c r="D148" s="955" t="n"/>
      <c r="E148" s="955" t="n"/>
      <c r="F148" s="955" t="n"/>
      <c r="G148" s="955" t="n"/>
      <c r="H148" s="955" t="n"/>
      <c r="I148" s="955" t="n"/>
      <c r="J148" s="955" t="inlineStr">
        <is>
          <t>GIỮ</t>
        </is>
      </c>
      <c r="K148" s="438" t="inlineStr">
        <is>
          <t>IT</t>
        </is>
      </c>
      <c r="L148" s="1024">
        <f>IF(A148='🎯 SÓI v42 — TRA CỨU &amp; DEEP DIV'!$C$4,"⭐ ĐANG XEM","")</f>
        <v/>
      </c>
    </row>
    <row r="149" ht="13.5" customHeight="1" s="981">
      <c r="A149" s="953" t="inlineStr">
        <is>
          <t>INFY</t>
        </is>
      </c>
      <c r="B149" s="954" t="inlineStr">
        <is>
          <t>Infosys</t>
        </is>
      </c>
      <c r="C149" s="955" t="inlineStr">
        <is>
          <t>NSE</t>
        </is>
      </c>
      <c r="D149" s="955" t="n">
        <v>12.39</v>
      </c>
      <c r="E149" s="955" t="n">
        <v>15.5</v>
      </c>
      <c r="F149" s="955" t="n">
        <v>10.25</v>
      </c>
      <c r="G149" s="955" t="n">
        <v>31.4</v>
      </c>
      <c r="H149" s="955" t="n">
        <v>50.2</v>
      </c>
      <c r="I149" s="955" t="n">
        <v>-3</v>
      </c>
      <c r="J149" s="956" t="inlineStr">
        <is>
          <t>MUA</t>
        </is>
      </c>
      <c r="K149" s="1104" t="inlineStr">
        <is>
          <t>IT</t>
        </is>
      </c>
      <c r="L149" s="1024">
        <f>IF(A149='🎯 SÓI v42 — TRA CỨU &amp; DEEP DIV'!$C$4,"⭐ ĐANG XEM","")</f>
        <v/>
      </c>
    </row>
    <row r="150" ht="13.5" customHeight="1" s="981">
      <c r="A150" s="953" t="inlineStr">
        <is>
          <t>HDFCBANK</t>
        </is>
      </c>
      <c r="B150" s="954" t="inlineStr">
        <is>
          <t>HDFC Bank</t>
        </is>
      </c>
      <c r="C150" s="955" t="inlineStr">
        <is>
          <t>NSE</t>
        </is>
      </c>
      <c r="D150" s="955" t="n"/>
      <c r="E150" s="955" t="n"/>
      <c r="F150" s="955" t="n"/>
      <c r="G150" s="955" t="n"/>
      <c r="H150" s="955" t="n"/>
      <c r="I150" s="955" t="n"/>
      <c r="J150" s="956" t="inlineStr">
        <is>
          <t>MUA</t>
        </is>
      </c>
      <c r="K150" s="438" t="inlineStr">
        <is>
          <t>NH</t>
        </is>
      </c>
      <c r="L150" s="1024">
        <f>IF(A150='🎯 SÓI v42 — TRA CỨU &amp; DEEP DIV'!$C$4,"⭐ ĐANG XEM","")</f>
        <v/>
      </c>
    </row>
    <row r="151" ht="13.5" customHeight="1" s="981">
      <c r="A151" s="953" t="inlineStr">
        <is>
          <t>ICICIBANK</t>
        </is>
      </c>
      <c r="B151" s="954" t="inlineStr">
        <is>
          <t>ICICI</t>
        </is>
      </c>
      <c r="C151" s="955" t="inlineStr">
        <is>
          <t>NSE</t>
        </is>
      </c>
      <c r="D151" s="955" t="n"/>
      <c r="E151" s="955" t="n"/>
      <c r="F151" s="955" t="n"/>
      <c r="G151" s="955" t="n"/>
      <c r="H151" s="955" t="n"/>
      <c r="I151" s="955" t="n"/>
      <c r="J151" s="956" t="inlineStr">
        <is>
          <t>MUA</t>
        </is>
      </c>
      <c r="K151" s="1104" t="inlineStr">
        <is>
          <t>NH</t>
        </is>
      </c>
      <c r="L151" s="1024">
        <f>IF(A151='🎯 SÓI v42 — TRA CỨU &amp; DEEP DIV'!$C$4,"⭐ ĐANG XEM","")</f>
        <v/>
      </c>
    </row>
    <row r="152" ht="13.5" customHeight="1" s="981">
      <c r="A152" s="953" t="inlineStr">
        <is>
          <t>VALE</t>
        </is>
      </c>
      <c r="B152" s="954" t="inlineStr">
        <is>
          <t>Vale</t>
        </is>
      </c>
      <c r="C152" s="955" t="inlineStr">
        <is>
          <t>NYSE</t>
        </is>
      </c>
      <c r="D152" s="955" t="n">
        <v>16.51</v>
      </c>
      <c r="E152" s="955" t="n">
        <v>25</v>
      </c>
      <c r="F152" s="955" t="n">
        <v>1.91</v>
      </c>
      <c r="G152" s="955" t="n">
        <v>6.8</v>
      </c>
      <c r="H152" s="955" t="n">
        <v>70.40000000000001</v>
      </c>
      <c r="I152" s="955" t="n">
        <v>1</v>
      </c>
      <c r="J152" s="955" t="inlineStr">
        <is>
          <t>GIỮ</t>
        </is>
      </c>
      <c r="K152" s="438" t="inlineStr">
        <is>
          <t>Khai mỏ Brazil</t>
        </is>
      </c>
      <c r="L152" s="1024">
        <f>IF(A152='🎯 SÓI v42 — TRA CỨU &amp; DEEP DIV'!$C$4,"⭐ ĐANG XEM","")</f>
        <v/>
      </c>
    </row>
    <row r="153" ht="13.5" customHeight="1" s="981">
      <c r="A153" s="953" t="inlineStr">
        <is>
          <t>PBR</t>
        </is>
      </c>
      <c r="B153" s="954" t="inlineStr">
        <is>
          <t>Petrobras</t>
        </is>
      </c>
      <c r="C153" s="955" t="inlineStr">
        <is>
          <t>NYSE</t>
        </is>
      </c>
      <c r="D153" s="955" t="n">
        <v>18.96</v>
      </c>
      <c r="E153" s="955" t="n">
        <v>5.9</v>
      </c>
      <c r="F153" s="955" t="n">
        <v>1.46</v>
      </c>
      <c r="G153" s="955" t="n">
        <v>25.6</v>
      </c>
      <c r="H153" s="955" t="n">
        <v>122.2</v>
      </c>
      <c r="I153" s="955" t="n">
        <v>-4.4</v>
      </c>
      <c r="J153" s="955" t="inlineStr">
        <is>
          <t>GIỮ</t>
        </is>
      </c>
      <c r="K153" s="1104" t="inlineStr">
        <is>
          <t>Dầu Brazil</t>
        </is>
      </c>
      <c r="L153" s="1024">
        <f>IF(A153='🎯 SÓI v42 — TRA CỨU &amp; DEEP DIV'!$C$4,"⭐ ĐANG XEM","")</f>
        <v/>
      </c>
    </row>
    <row r="154" ht="13.5" customHeight="1" s="981">
      <c r="A154" s="953" t="inlineStr">
        <is>
          <t>BHP.AX</t>
        </is>
      </c>
      <c r="B154" s="954" t="inlineStr">
        <is>
          <t>BHP</t>
        </is>
      </c>
      <c r="C154" s="955" t="inlineStr">
        <is>
          <t>ASX</t>
        </is>
      </c>
      <c r="D154" s="955" t="n">
        <v>60.55</v>
      </c>
      <c r="E154" s="955" t="n">
        <v>21.5</v>
      </c>
      <c r="F154" s="955" t="n">
        <v>4.36</v>
      </c>
      <c r="G154" s="955" t="n">
        <v>24.7</v>
      </c>
      <c r="H154" s="955" t="n">
        <v>307.6</v>
      </c>
      <c r="I154" s="955" t="n">
        <v>1.3</v>
      </c>
      <c r="J154" s="955" t="inlineStr">
        <is>
          <t>GIỮ</t>
        </is>
      </c>
      <c r="K154" s="438" t="inlineStr">
        <is>
          <t>Khai mỏ Úc</t>
        </is>
      </c>
      <c r="L154" s="1024">
        <f>IF(A154='🎯 SÓI v42 — TRA CỨU &amp; DEEP DIV'!$C$4,"⭐ ĐANG XEM","")</f>
        <v/>
      </c>
    </row>
    <row r="155" ht="13.5" customHeight="1" s="981">
      <c r="A155" s="953" t="inlineStr">
        <is>
          <t>CBA.AX</t>
        </is>
      </c>
      <c r="B155" s="954" t="inlineStr">
        <is>
          <t>Commonwealth</t>
        </is>
      </c>
      <c r="C155" s="955" t="inlineStr">
        <is>
          <t>ASX</t>
        </is>
      </c>
      <c r="D155" s="955" t="n">
        <v>161.41</v>
      </c>
      <c r="E155" s="955" t="n">
        <v>26</v>
      </c>
      <c r="F155" s="955" t="n">
        <v>3.49</v>
      </c>
      <c r="G155" s="955" t="n">
        <v>13.6</v>
      </c>
      <c r="H155" s="955" t="n">
        <v>269.9</v>
      </c>
      <c r="I155" s="955" t="n">
        <v>-2.6</v>
      </c>
      <c r="J155" s="956" t="inlineStr">
        <is>
          <t>MUA</t>
        </is>
      </c>
      <c r="K155" s="1104" t="inlineStr">
        <is>
          <t>NH Úc</t>
        </is>
      </c>
      <c r="L155" s="1024">
        <f>IF(A155='🎯 SÓI v42 — TRA CỨU &amp; DEEP DIV'!$C$4,"⭐ ĐANG XEM","")</f>
        <v/>
      </c>
    </row>
    <row r="156" ht="13.5" customHeight="1" s="981">
      <c r="A156" s="953" t="inlineStr">
        <is>
          <t>COIN</t>
        </is>
      </c>
      <c r="B156" s="954" t="inlineStr">
        <is>
          <t>Coinbase</t>
        </is>
      </c>
      <c r="C156" s="955" t="inlineStr">
        <is>
          <t>NASDAQ</t>
        </is>
      </c>
      <c r="D156" s="955" t="n">
        <v>173.78</v>
      </c>
      <c r="E156" s="955" t="n">
        <v>63.7</v>
      </c>
      <c r="F156" s="955" t="n">
        <v>3.4</v>
      </c>
      <c r="G156" s="955" t="n">
        <v>6.7</v>
      </c>
      <c r="H156" s="955" t="n">
        <v>45.8</v>
      </c>
      <c r="I156" s="955" t="n">
        <v>-9.199999999999999</v>
      </c>
      <c r="J156" s="956" t="inlineStr">
        <is>
          <t>MUA</t>
        </is>
      </c>
      <c r="K156" s="438" t="inlineStr">
        <is>
          <t>Exchange</t>
        </is>
      </c>
      <c r="L156" s="1024">
        <f>IF(A156='🎯 SÓI v42 — TRA CỨU &amp; DEEP DIV'!$C$4,"⭐ ĐANG XEM","")</f>
        <v/>
      </c>
    </row>
    <row r="157" ht="13.5" customHeight="1" s="981">
      <c r="A157" s="953" t="inlineStr">
        <is>
          <t>MSTR</t>
        </is>
      </c>
      <c r="B157" s="954" t="inlineStr">
        <is>
          <t>MicroStrategy</t>
        </is>
      </c>
      <c r="C157" s="955" t="inlineStr">
        <is>
          <t>NASDAQ</t>
        </is>
      </c>
      <c r="D157" s="955" t="n">
        <v>154.2</v>
      </c>
      <c r="E157" s="955" t="n">
        <v>34.6</v>
      </c>
      <c r="F157" s="955" t="n">
        <v>1.46</v>
      </c>
      <c r="G157" s="955" t="n">
        <v>-30.8</v>
      </c>
      <c r="H157" s="955" t="n">
        <v>54.1</v>
      </c>
      <c r="I157" s="955" t="n">
        <v>-7</v>
      </c>
      <c r="J157" s="955" t="inlineStr">
        <is>
          <t>GIỮ</t>
        </is>
      </c>
      <c r="K157" s="1104" t="inlineStr">
        <is>
          <t>BTC proxy</t>
        </is>
      </c>
      <c r="L157" s="1024">
        <f>IF(A157='🎯 SÓI v42 — TRA CỨU &amp; DEEP DIV'!$C$4,"⭐ ĐANG XEM","")</f>
        <v/>
      </c>
    </row>
    <row r="158" ht="13.5" customHeight="1" s="981">
      <c r="A158" s="953" t="inlineStr">
        <is>
          <t>MARA</t>
        </is>
      </c>
      <c r="B158" s="954" t="inlineStr">
        <is>
          <t>Marathon</t>
        </is>
      </c>
      <c r="C158" s="955" t="inlineStr">
        <is>
          <t>NASDAQ</t>
        </is>
      </c>
      <c r="D158" s="955" t="n">
        <v>14.33</v>
      </c>
      <c r="E158" s="955" t="n">
        <v>-16.6</v>
      </c>
      <c r="F158" s="955" t="n">
        <v>2.45</v>
      </c>
      <c r="G158" s="955" t="n">
        <v>-67.3</v>
      </c>
      <c r="H158" s="955" t="n">
        <v>5.5</v>
      </c>
      <c r="I158" s="955" t="n">
        <v>9</v>
      </c>
      <c r="J158" s="955" t="inlineStr">
        <is>
          <t>GIỮ</t>
        </is>
      </c>
      <c r="K158" s="438" t="inlineStr">
        <is>
          <t>BTC mining</t>
        </is>
      </c>
      <c r="L158" s="1024">
        <f>IF(A158='🎯 SÓI v42 — TRA CỨU &amp; DEEP DIV'!$C$4,"⭐ ĐANG XEM","")</f>
        <v/>
      </c>
    </row>
    <row r="159" ht="13.5" customHeight="1" s="981">
      <c r="A159" s="953" t="inlineStr">
        <is>
          <t>RIOT</t>
        </is>
      </c>
      <c r="B159" s="954" t="inlineStr">
        <is>
          <t>Riot</t>
        </is>
      </c>
      <c r="C159" s="955" t="inlineStr">
        <is>
          <t>NASDAQ</t>
        </is>
      </c>
      <c r="D159" s="955" t="n">
        <v>26.94</v>
      </c>
      <c r="E159" s="955" t="n">
        <v>-43.8</v>
      </c>
      <c r="F159" s="955" t="n">
        <v>4.26</v>
      </c>
      <c r="G159" s="955" t="n">
        <v>-32.5</v>
      </c>
      <c r="H159" s="955" t="n">
        <v>10.2</v>
      </c>
      <c r="I159" s="955" t="n">
        <v>13.8</v>
      </c>
      <c r="J159" s="955" t="inlineStr">
        <is>
          <t>GIỮ</t>
        </is>
      </c>
      <c r="K159" s="1104" t="inlineStr">
        <is>
          <t>BTC mining</t>
        </is>
      </c>
      <c r="L159" s="1024">
        <f>IF(A159='🎯 SÓI v42 — TRA CỨU &amp; DEEP DIV'!$C$4,"⭐ ĐANG XEM","")</f>
        <v/>
      </c>
    </row>
  </sheetData>
  <mergeCells count="3">
    <mergeCell ref="A2:K2"/>
    <mergeCell ref="A1:K1"/>
    <mergeCell ref="A3:K3"/>
  </mergeCell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V204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6.33203125" customWidth="1" style="981" min="1" max="1"/>
    <col width="17.33203125" customWidth="1" style="981" min="2" max="2"/>
    <col width="44.109375" customWidth="1" style="981" min="3" max="3"/>
    <col width="29.5546875" customWidth="1" style="981" min="4" max="4"/>
    <col width="29.88671875" customWidth="1" style="981" min="5" max="5"/>
    <col width="20.77734375" customWidth="1" style="981" min="6" max="6"/>
    <col width="27" customWidth="1" style="981" min="7" max="7"/>
    <col width="20.109375" customWidth="1" style="981" min="8" max="8"/>
    <col width="14.21875" customWidth="1" style="981" min="9" max="9"/>
    <col width="23.6640625" customWidth="1" style="981" min="10" max="10"/>
    <col width="21.21875" customWidth="1" style="981" min="11" max="11"/>
    <col width="20.77734375" customWidth="1" style="981" min="12" max="12"/>
    <col width="21.44140625" customWidth="1" style="981" min="13" max="13"/>
    <col width="22.33203125" customWidth="1" style="981" min="14" max="14"/>
    <col width="20.5546875" customWidth="1" style="981" min="15" max="15"/>
    <col width="20" customWidth="1" style="981" min="16" max="16"/>
    <col width="20.109375" customWidth="1" style="981" min="17" max="17"/>
    <col width="26.109375" customWidth="1" style="981" min="18" max="18"/>
    <col width="21.44140625" customWidth="1" style="981" min="19" max="19"/>
    <col width="19.44140625" customWidth="1" style="981" min="20" max="20"/>
    <col width="30.5546875" customWidth="1" style="981" min="21" max="21"/>
    <col width="13.88671875" customWidth="1" style="981" min="22" max="22"/>
    <col width="27.44140625" customWidth="1" style="981" min="23" max="23"/>
    <col width="14.5546875" customWidth="1" style="981" min="24" max="24"/>
    <col width="19.77734375" customWidth="1" style="981" min="25" max="25"/>
    <col width="20.33203125" customWidth="1" style="981" min="26" max="26"/>
    <col width="16.33203125" customWidth="1" style="981" min="27" max="27"/>
    <col width="32.33203125" customWidth="1" style="981" min="29" max="29"/>
    <col width="12.21875" customWidth="1" style="981" min="30" max="30"/>
    <col width="8" customWidth="1" style="981" min="31" max="31"/>
    <col width="11.44140625" customWidth="1" style="981" min="32" max="32"/>
    <col width="9.88671875" customWidth="1" style="981" min="33" max="33"/>
    <col width="10.33203125" customWidth="1" style="981" min="34" max="34"/>
    <col width="9.6640625" customWidth="1" style="981" min="35" max="35"/>
    <col width="9.88671875" customWidth="1" style="981" min="36" max="36"/>
    <col width="11.33203125" customWidth="1" style="981" min="38" max="38"/>
    <col width="16.21875" customWidth="1" style="981" min="39" max="39"/>
    <col width="11.21875" customWidth="1" style="981" min="40" max="40"/>
    <col width="9.88671875" customWidth="1" style="981" min="41" max="41"/>
    <col width="9.77734375" customWidth="1" style="981" min="42" max="42"/>
    <col width="11.88671875" customWidth="1" style="981" min="43" max="43"/>
    <col width="9.6640625" customWidth="1" style="981" min="44" max="44"/>
    <col width="15.88671875" customWidth="1" style="981" min="46" max="46"/>
    <col width="18.21875" customWidth="1" style="981" min="47" max="47"/>
    <col width="16.88671875" customWidth="1" style="981" min="48" max="48"/>
    <col width="11.44140625" customWidth="1" style="981" min="49" max="49"/>
    <col width="9.88671875" customWidth="1" style="981" min="50" max="50"/>
    <col width="11.44140625" customWidth="1" style="981" min="51" max="51"/>
    <col width="13.33203125" customWidth="1" style="981" min="52" max="52"/>
    <col width="9.88671875" customWidth="1" style="981" min="53" max="53"/>
    <col width="7.6640625" customWidth="1" style="981" min="54" max="54"/>
    <col width="11" customWidth="1" style="981" min="55" max="55"/>
    <col width="12" customWidth="1" style="981" min="56" max="56"/>
    <col width="19.5546875" customWidth="1" style="981" min="57" max="57"/>
    <col width="20.88671875" customWidth="1" style="981" min="58" max="58"/>
    <col width="10.6640625" customWidth="1" style="981" min="59" max="59"/>
    <col width="12" customWidth="1" style="981" min="60" max="60"/>
    <col width="7" customWidth="1" style="981" min="61" max="61"/>
    <col width="13.6640625" customWidth="1" style="981" min="62" max="62"/>
    <col width="12.109375" customWidth="1" style="981" min="63" max="63"/>
    <col width="14.5546875" customWidth="1" style="981" min="64" max="64"/>
    <col width="23.21875" customWidth="1" style="981" min="66" max="66"/>
    <col width="21.6640625" customWidth="1" style="981" min="67" max="67"/>
    <col width="19.5546875" customWidth="1" style="981" min="68" max="68"/>
    <col width="21.44140625" customWidth="1" style="981" min="69" max="69"/>
    <col width="23.5546875" customWidth="1" style="981" min="70" max="70"/>
    <col width="18.33203125" customWidth="1" style="981" min="71" max="71"/>
    <col width="23.44140625" customWidth="1" style="981" min="72" max="72"/>
    <col width="25.33203125" customWidth="1" style="981" min="73" max="73"/>
    <col width="9" customWidth="1" style="981" min="75" max="75"/>
    <col width="12.77734375" customWidth="1" style="981" min="76" max="76"/>
    <col width="15.109375" customWidth="1" style="981" min="77" max="77"/>
    <col width="17.77734375" customWidth="1" style="981" min="78" max="78"/>
    <col width="13.88671875" customWidth="1" style="981" min="79" max="79"/>
    <col width="8.88671875" customWidth="1" style="981" min="80" max="80"/>
    <col width="12.6640625" customWidth="1" style="981" min="82" max="82"/>
    <col width="13.5546875" customWidth="1" style="981" min="83" max="83"/>
    <col width="12.44140625" customWidth="1" style="981" min="84" max="84"/>
    <col width="15.77734375" customWidth="1" style="981" min="85" max="85"/>
    <col width="11.21875" customWidth="1" style="981" min="86" max="86"/>
    <col width="10.88671875" customWidth="1" style="981" min="87" max="87"/>
    <col width="8.88671875" customWidth="1" style="981" min="88" max="88"/>
    <col width="15.33203125" customWidth="1" style="981" min="105" max="105"/>
    <col width="10.88671875" customWidth="1" style="981" min="106" max="106"/>
    <col width="8.88671875" customWidth="1" style="981" min="107" max="107"/>
    <col width="8.88671875" customWidth="1" style="981" min="120" max="120"/>
    <col width="9" customWidth="1" style="981" min="121" max="121"/>
    <col width="8.88671875" customWidth="1" style="981" min="122" max="122"/>
    <col width="8.88671875" customWidth="1" style="981" min="134" max="134"/>
    <col width="11.44140625" customWidth="1" style="981" min="137" max="137"/>
    <col width="13.88671875" customWidth="1" style="981" min="138" max="138"/>
  </cols>
  <sheetData>
    <row r="1" ht="22.5" customHeight="1" s="981">
      <c r="A1" s="1143" t="inlineStr">
        <is>
          <t>Hệ thống quản lý danh mục đầu tư &amp; ESG tự động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5" t="n"/>
      <c r="Q1" s="965" t="n"/>
      <c r="R1" s="965" t="n"/>
      <c r="S1" s="965" t="n"/>
      <c r="T1" s="965" t="n"/>
      <c r="U1" s="965" t="n"/>
      <c r="V1" s="965" t="n"/>
      <c r="W1" s="966" t="n"/>
      <c r="X1" s="1050" t="n"/>
      <c r="Y1" s="1050" t="n"/>
      <c r="Z1" s="1050" t="n"/>
      <c r="AA1" s="1050" t="n"/>
      <c r="AB1" s="1050" t="n"/>
      <c r="AC1" s="1050" t="n"/>
      <c r="AD1" s="1050" t="n"/>
      <c r="AE1" s="1050" t="n"/>
      <c r="AF1" s="1050" t="n"/>
      <c r="AG1" s="1050" t="n"/>
      <c r="AH1" s="1050" t="n"/>
      <c r="AI1" s="1050" t="n"/>
      <c r="AJ1" s="1050" t="n"/>
      <c r="AK1" s="1050" t="n"/>
      <c r="AL1" s="1050" t="n"/>
      <c r="AM1" s="1050" t="n"/>
      <c r="AN1" s="1050" t="n"/>
      <c r="AO1" s="1050" t="n"/>
      <c r="AP1" s="1050" t="n"/>
      <c r="AQ1" s="1050" t="n"/>
      <c r="AR1" s="1050" t="n"/>
      <c r="AS1" s="1050" t="n"/>
      <c r="AT1" s="1050" t="n"/>
      <c r="AU1" s="1050" t="n"/>
      <c r="AV1" s="1050" t="n"/>
      <c r="AW1" s="1050" t="n"/>
      <c r="AX1" s="1050" t="n"/>
      <c r="AY1" s="1050" t="n"/>
      <c r="AZ1" s="1050" t="n"/>
      <c r="BA1" s="1050" t="n"/>
      <c r="BB1" s="1050" t="n"/>
      <c r="BC1" s="1050" t="n"/>
      <c r="BD1" s="1050" t="n"/>
      <c r="BE1" s="1050" t="n"/>
      <c r="BF1" s="1050" t="n"/>
      <c r="BG1" s="1050" t="n"/>
      <c r="BH1" s="1050" t="n"/>
      <c r="BI1" s="1050" t="n"/>
      <c r="BJ1" s="1050" t="n"/>
      <c r="BK1" s="1050" t="n"/>
      <c r="BL1" s="1050" t="n"/>
      <c r="BM1" s="1050" t="n"/>
      <c r="BN1" s="1050" t="n"/>
      <c r="BO1" s="1050" t="n"/>
      <c r="BP1" s="1050" t="n"/>
      <c r="BQ1" s="1050" t="n"/>
      <c r="BR1" s="1050" t="n"/>
      <c r="BS1" s="1050" t="n"/>
      <c r="BT1" s="1050" t="n"/>
      <c r="BU1" s="1050" t="n"/>
      <c r="BV1" s="1050" t="n"/>
    </row>
    <row r="2" ht="13.5" customHeight="1" s="981">
      <c r="A2" s="1142" t="inlineStr">
        <is>
          <t>Cap nhat: 29/05/2026 | Q2 2026 | Nguon: Live Price Feed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5" t="n"/>
      <c r="N2" s="965" t="n"/>
      <c r="O2" s="965" t="n"/>
      <c r="P2" s="965" t="n"/>
      <c r="Q2" s="965" t="n"/>
      <c r="R2" s="965" t="n"/>
      <c r="S2" s="965" t="n"/>
      <c r="T2" s="965" t="n"/>
      <c r="U2" s="965" t="n"/>
      <c r="V2" s="965" t="n"/>
      <c r="W2" s="966" t="n"/>
      <c r="X2" s="1050" t="n"/>
      <c r="Y2" s="1050" t="n"/>
      <c r="Z2" s="1050" t="n"/>
      <c r="AA2" s="1050" t="n"/>
      <c r="AB2" s="1050" t="n"/>
      <c r="AC2" s="1050" t="n"/>
      <c r="AD2" s="1050" t="n"/>
      <c r="AE2" s="1050" t="n"/>
      <c r="AF2" s="1050" t="n"/>
      <c r="AG2" s="1050" t="n"/>
      <c r="AH2" s="1050" t="n"/>
      <c r="AI2" s="1050" t="n"/>
      <c r="AJ2" s="1050" t="n"/>
      <c r="AK2" s="1050" t="n"/>
      <c r="AL2" s="1050" t="n"/>
      <c r="AM2" s="1050" t="n"/>
      <c r="AN2" s="1050" t="n"/>
      <c r="AO2" s="1050" t="n"/>
      <c r="AP2" s="1050" t="n"/>
      <c r="AQ2" s="1050" t="n"/>
      <c r="AR2" s="1050" t="n"/>
      <c r="AS2" s="1050" t="n"/>
      <c r="AT2" s="1050" t="n"/>
      <c r="AU2" s="1050" t="n"/>
      <c r="AV2" s="1050" t="n"/>
      <c r="AW2" s="1050" t="n"/>
      <c r="AX2" s="1050" t="n"/>
      <c r="AY2" s="1050" t="n"/>
      <c r="AZ2" s="1050" t="n"/>
      <c r="BA2" s="1050" t="n"/>
      <c r="BB2" s="1050" t="n"/>
      <c r="BC2" s="1050" t="n"/>
      <c r="BD2" s="1050" t="n"/>
      <c r="BE2" s="1050" t="n"/>
      <c r="BF2" s="1050" t="n"/>
      <c r="BG2" s="1050" t="n"/>
      <c r="BH2" s="1050" t="n"/>
      <c r="BI2" s="1050" t="n"/>
      <c r="BJ2" s="1050" t="n"/>
      <c r="BK2" s="1050" t="n"/>
      <c r="BL2" s="1050" t="n"/>
      <c r="BM2" s="1050" t="n"/>
      <c r="BN2" s="1050" t="n"/>
      <c r="BO2" s="1050" t="n"/>
      <c r="BP2" s="1050" t="n"/>
      <c r="BQ2" s="1050" t="n"/>
      <c r="BR2" s="1050" t="n"/>
      <c r="BS2" s="1050" t="n"/>
      <c r="BT2" s="1050" t="n"/>
      <c r="BU2" s="1050" t="n"/>
      <c r="BV2" s="1050" t="n"/>
    </row>
    <row r="3" ht="15" customHeight="1" s="981">
      <c r="A3" s="1141" t="inlineStr">
        <is>
          <t>Dữ liệu bên dưới là mẫu khởi tạo. Thay số lượng, giá, ký quỹ, P/E, P/B, ROE, cổ tức và đánh giá ESG bằng dữ liệu thực tế của bạn.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5" t="n"/>
      <c r="M3" s="965" t="n"/>
      <c r="N3" s="965" t="n"/>
      <c r="O3" s="965" t="n"/>
      <c r="P3" s="965" t="n"/>
      <c r="Q3" s="965" t="n"/>
      <c r="R3" s="965" t="n"/>
      <c r="S3" s="965" t="n"/>
      <c r="T3" s="965" t="n"/>
      <c r="U3" s="965" t="n"/>
      <c r="V3" s="965" t="n"/>
      <c r="W3" s="966" t="n"/>
      <c r="X3" s="1050" t="n"/>
      <c r="Y3" s="540" t="inlineStr">
        <is>
          <t>Chỉ số nợ, vốn &amp; rủi ro nâng cao</t>
        </is>
      </c>
      <c r="Z3" s="541" t="n"/>
      <c r="AA3" s="541" t="n"/>
      <c r="AB3" s="541" t="n"/>
      <c r="AC3" s="541" t="n"/>
      <c r="AD3" s="541" t="n"/>
      <c r="AE3" s="541" t="n"/>
      <c r="AF3" s="541" t="n"/>
      <c r="AG3" s="541" t="n"/>
      <c r="AH3" s="541" t="n"/>
      <c r="AI3" s="541" t="n"/>
      <c r="AJ3" s="541" t="n"/>
      <c r="AK3" s="541" t="n"/>
      <c r="AL3" s="541" t="n"/>
      <c r="AM3" s="541" t="n"/>
      <c r="AN3" s="541" t="n"/>
      <c r="AO3" s="541" t="n"/>
      <c r="AP3" s="541" t="n"/>
      <c r="AQ3" s="541" t="n"/>
      <c r="AR3" s="541" t="n"/>
      <c r="AS3" s="541" t="n"/>
      <c r="AT3" s="541" t="n"/>
      <c r="AU3" s="541" t="n"/>
      <c r="AV3" s="541" t="n"/>
      <c r="AW3" s="541" t="n"/>
      <c r="AX3" s="541" t="n"/>
      <c r="AY3" s="541" t="n"/>
      <c r="AZ3" s="541" t="n"/>
      <c r="BA3" s="541" t="n"/>
      <c r="BB3" s="541" t="n"/>
      <c r="BC3" s="541" t="n"/>
      <c r="BD3" s="541" t="n"/>
      <c r="BE3" s="541" t="n"/>
      <c r="BF3" s="541" t="n"/>
      <c r="BG3" s="541" t="n"/>
      <c r="BH3" s="541" t="n"/>
      <c r="BI3" s="1050" t="n"/>
      <c r="BJ3" s="1050" t="n"/>
      <c r="BK3" s="1050" t="n"/>
      <c r="BL3" s="1050" t="n"/>
      <c r="BM3" s="1050" t="n"/>
      <c r="BN3" s="1050" t="n"/>
      <c r="BO3" s="1050" t="n"/>
      <c r="BP3" s="1050" t="n"/>
      <c r="BQ3" s="1050" t="n"/>
      <c r="BR3" s="1050" t="n"/>
      <c r="BS3" s="1050" t="n"/>
      <c r="BT3" s="1050" t="n"/>
      <c r="BU3" s="1050" t="n"/>
      <c r="BV3" s="1050" t="n"/>
    </row>
    <row r="4" ht="62.25" customHeight="1" s="981">
      <c r="A4" s="542" t="inlineStr">
        <is>
          <t>Mã Doanh Nghiệp</t>
        </is>
      </c>
      <c r="B4" s="542" t="inlineStr">
        <is>
          <t>Ngành Kinh Doanh</t>
        </is>
      </c>
      <c r="C4" s="542" t="inlineStr">
        <is>
          <t xml:space="preserve">Công ty </t>
        </is>
      </c>
      <c r="D4" s="543" t="inlineStr">
        <is>
          <t>Tỷ Trọng Mục Tiêu (%)</t>
        </is>
      </c>
      <c r="E4" s="542" t="inlineStr">
        <is>
          <t>Số Lượng Cổ Phiếu Đang Giữ</t>
        </is>
      </c>
      <c r="F4" s="542" t="inlineStr">
        <is>
          <t>Giá Vốn Trung Bình</t>
        </is>
      </c>
      <c r="G4" s="542" t="inlineStr">
        <is>
          <t>Thị Giá Cổ Phiếu (Thị trường)</t>
        </is>
      </c>
      <c r="H4" s="542" t="inlineStr">
        <is>
          <t>Vốn Hóa Thị Trường</t>
        </is>
      </c>
      <c r="I4" s="542" t="inlineStr">
        <is>
          <t>Nợ ký quỹ</t>
        </is>
      </c>
      <c r="J4" s="542" t="inlineStr">
        <is>
          <t>Vốn tự có</t>
        </is>
      </c>
      <c r="K4" s="542" t="inlineStr">
        <is>
          <t>Giá trị hiện tại</t>
        </is>
      </c>
      <c r="L4" s="544" t="inlineStr">
        <is>
          <t>Lãi/Lỗ</t>
        </is>
      </c>
      <c r="M4" s="544" t="inlineStr">
        <is>
          <t>% Lãi/Lỗ</t>
        </is>
      </c>
      <c r="N4" s="544" t="inlineStr">
        <is>
          <t>Tỷ trọng thực tế</t>
        </is>
      </c>
      <c r="O4" s="544" t="inlineStr">
        <is>
          <t>Chênh lệch mục tiêu</t>
        </is>
      </c>
      <c r="P4" s="544" t="inlineStr">
        <is>
          <t>Chỉ số Định giá P/E</t>
        </is>
      </c>
      <c r="Q4" s="544" t="inlineStr">
        <is>
          <t>Chỉ số Định giá P/B</t>
        </is>
      </c>
      <c r="R4" s="544" t="inlineStr">
        <is>
          <t>Hiệu quả Sinh lời (ROE</t>
        </is>
      </c>
      <c r="S4" s="544" t="inlineStr">
        <is>
          <t>Kế hoạch Trả Cổ Tức</t>
        </is>
      </c>
      <c r="T4" s="544" t="inlineStr">
        <is>
          <t>Tín hiệu đề xuất AI</t>
        </is>
      </c>
      <c r="U4" s="544" t="inlineStr">
        <is>
          <t>Bộ Lọc Đạo Đức (Tâm Sáng)</t>
        </is>
      </c>
      <c r="V4" s="544" t="inlineStr">
        <is>
          <t>Quỹ từ thiện</t>
        </is>
      </c>
      <c r="W4" s="545" t="inlineStr">
        <is>
          <t>Hành động tái cân bằng</t>
        </is>
      </c>
      <c r="X4" s="546" t="inlineStr">
        <is>
          <t>ROA (%)</t>
        </is>
      </c>
      <c r="Y4" s="547" t="inlineStr">
        <is>
          <t>Tỷ lệ nợ/Tổng vốn</t>
        </is>
      </c>
      <c r="Z4" s="547" t="inlineStr">
        <is>
          <t>Tỷ lệ nợ/GT hiện tại</t>
        </is>
      </c>
      <c r="AA4" s="547" t="inlineStr">
        <is>
          <t>Tỷ lệ vốn tự có/Tổng vốn</t>
        </is>
      </c>
      <c r="AB4" s="547" t="inlineStr">
        <is>
          <t>Tỷ lệ vốn tự có/GT hiện tại</t>
        </is>
      </c>
      <c r="AC4" s="547" t="inlineStr">
        <is>
          <t>Giá trị tài sản ròng</t>
        </is>
      </c>
      <c r="AD4" s="547" t="inlineStr">
        <is>
          <t>Lãi/Lỗ trên vốn tự có</t>
        </is>
      </c>
      <c r="AE4" s="547" t="inlineStr">
        <is>
          <t>Đòn bẩy tài chính</t>
        </is>
      </c>
      <c r="AF4" s="547" t="inlineStr">
        <is>
          <t>Dư nợ tối đa 30% GT</t>
        </is>
      </c>
      <c r="AG4" s="547" t="inlineStr">
        <is>
          <t>Room nợ 30% còn lại</t>
        </is>
      </c>
      <c r="AH4" s="547" t="inlineStr">
        <is>
          <t>Dư nợ tối đa 50% GT</t>
        </is>
      </c>
      <c r="AI4" s="547" t="inlineStr">
        <is>
          <t>Room nợ 50% còn lại</t>
        </is>
      </c>
      <c r="AJ4" s="547" t="inlineStr">
        <is>
          <t>Biên an toàn 50%</t>
        </is>
      </c>
      <c r="AK4" s="547" t="inlineStr">
        <is>
          <t>Giá hòa vốn</t>
        </is>
      </c>
      <c r="AL4" s="547" t="inlineStr">
        <is>
          <t>Giá lỗ -5%</t>
        </is>
      </c>
      <c r="AM4" s="547" t="inlineStr">
        <is>
          <t>Giá lỗ -10%</t>
        </is>
      </c>
      <c r="AN4" s="547" t="inlineStr">
        <is>
          <t>Giá lãi +15%</t>
        </is>
      </c>
      <c r="AO4" s="547" t="inlineStr">
        <is>
          <t>Giá lãi +25%</t>
        </is>
      </c>
      <c r="AP4" s="547" t="inlineStr">
        <is>
          <t>Khoảng cách tới -10%</t>
        </is>
      </c>
      <c r="AQ4" s="547" t="inlineStr">
        <is>
          <t>Khoảng cách tới +25%</t>
        </is>
      </c>
      <c r="AR4" s="547" t="inlineStr">
        <is>
          <t>Cổ tức/giá vốn</t>
        </is>
      </c>
      <c r="AS4" s="547" t="inlineStr">
        <is>
          <t>Cổ tức/GT hiện tại</t>
        </is>
      </c>
      <c r="AT4" s="547" t="inlineStr">
        <is>
          <t>Lãi/Lỗ + cổ tức</t>
        </is>
      </c>
      <c r="AU4" s="547" t="inlineStr">
        <is>
          <t>% LN + cổ tức</t>
        </is>
      </c>
      <c r="AV4" s="547" t="inlineStr">
        <is>
          <t>Lãi vay ước tính 12%</t>
        </is>
      </c>
      <c r="AW4" s="547" t="inlineStr">
        <is>
          <t>LN sau lãi vay</t>
        </is>
      </c>
      <c r="AX4" s="547" t="inlineStr">
        <is>
          <t>Tỷ lệ lãi vay/GT</t>
        </is>
      </c>
      <c r="AY4" s="547" t="inlineStr">
        <is>
          <t>EPS ước tính</t>
        </is>
      </c>
      <c r="AZ4" s="547" t="inlineStr">
        <is>
          <t>BVPS ước tính</t>
        </is>
      </c>
      <c r="BA4" s="547" t="inlineStr">
        <is>
          <t>E/P</t>
        </is>
      </c>
      <c r="BB4" s="547" t="inlineStr">
        <is>
          <t>ROE/PB</t>
        </is>
      </c>
      <c r="BC4" s="547" t="inlineStr">
        <is>
          <t>Điểm định giá</t>
        </is>
      </c>
      <c r="BD4" s="547" t="inlineStr">
        <is>
          <t>Mức rủi ro nợ</t>
        </is>
      </c>
      <c r="BE4" s="547" t="inlineStr">
        <is>
          <t>Cảnh báo ký quỹ</t>
        </is>
      </c>
      <c r="BF4" s="547" t="inlineStr">
        <is>
          <t>Ưu tiên vốn</t>
        </is>
      </c>
      <c r="BG4" s="547" t="inlineStr">
        <is>
          <t>Điểm tổng hợp</t>
        </is>
      </c>
      <c r="BH4" s="548" t="inlineStr">
        <is>
          <t>Ngày Mua</t>
        </is>
      </c>
      <c r="BI4" s="1050" t="n"/>
      <c r="BJ4" s="1050" t="n"/>
      <c r="BK4" s="1050" t="n"/>
      <c r="BL4" s="1050" t="n"/>
      <c r="BM4" s="1050" t="n"/>
      <c r="BN4" s="1050" t="n"/>
      <c r="BO4" s="1050" t="n"/>
      <c r="BP4" s="1050" t="n"/>
      <c r="BQ4" s="1050" t="n"/>
      <c r="BR4" s="1050" t="n"/>
      <c r="BS4" s="1050" t="n"/>
      <c r="BT4" s="1050" t="n"/>
      <c r="BU4" s="1050" t="n"/>
      <c r="BV4" s="1050" t="n"/>
    </row>
    <row r="5" ht="13.5" customHeight="1" s="981">
      <c r="A5" s="549" t="inlineStr">
        <is>
          <t>FPT</t>
        </is>
      </c>
      <c r="B5" s="550" t="inlineStr">
        <is>
          <t>Công Nghệ</t>
        </is>
      </c>
      <c r="C5" s="551" t="inlineStr">
        <is>
          <t>HOSE</t>
        </is>
      </c>
      <c r="D5" s="552" t="n">
        <v>0.005</v>
      </c>
      <c r="E5" s="553" t="n">
        <v>7</v>
      </c>
      <c r="F5" s="553" t="n">
        <v>65000</v>
      </c>
      <c r="G5" s="554" t="n">
        <v>71200</v>
      </c>
      <c r="H5" s="555" t="n">
        <v>498400</v>
      </c>
      <c r="I5" s="556" t="n">
        <v>0</v>
      </c>
      <c r="J5" s="557" t="n"/>
      <c r="K5" s="557" t="n"/>
      <c r="L5" s="558" t="n"/>
      <c r="M5" s="558" t="n"/>
      <c r="N5" s="559">
        <f>IF(SUM($K$5:$K$12)&gt;0,K5/SUM($K$5:$K$12),0)</f>
        <v/>
      </c>
      <c r="O5" s="559">
        <f>N5-D5</f>
        <v/>
      </c>
      <c r="P5" s="560" t="n">
        <v>16</v>
      </c>
      <c r="Q5" s="560" t="n">
        <v>3.7</v>
      </c>
      <c r="R5" s="560" t="n">
        <v>0.2416</v>
      </c>
      <c r="S5" s="560" t="n">
        <v>1000</v>
      </c>
      <c r="T5" s="561">
        <f>IF(AND(P5&gt;0,P5&lt;=12,R5&gt;=20),"Tích lũy",IF(M5&lt;-0.05,"Giám sát",IF(AND(M5&gt;0.15,P5&gt;20),"Chốt lời","Giữ")))</f>
        <v/>
      </c>
      <c r="U5" s="561" t="inlineStr">
        <is>
          <t>Tốt</t>
        </is>
      </c>
      <c r="V5" s="559" t="n"/>
      <c r="W5" s="562" t="n"/>
      <c r="X5" s="560" t="n">
        <v>0.17</v>
      </c>
      <c r="Y5" s="562" t="n"/>
      <c r="Z5" s="562" t="n"/>
      <c r="AA5" s="562" t="n"/>
      <c r="AB5" s="562" t="n"/>
      <c r="AC5" s="562" t="n"/>
      <c r="AD5" s="562" t="n"/>
      <c r="AE5" s="562" t="n"/>
      <c r="AF5" s="562" t="n"/>
      <c r="AG5" s="562" t="n"/>
      <c r="AH5" s="562" t="n"/>
      <c r="AI5" s="562" t="n"/>
      <c r="AJ5" s="562" t="n"/>
      <c r="AK5" s="562" t="n"/>
      <c r="AL5" s="562" t="n"/>
      <c r="AM5" s="562" t="n"/>
      <c r="AN5" s="562" t="n"/>
      <c r="AO5" s="562" t="n"/>
      <c r="AP5" s="562" t="n"/>
      <c r="AQ5" s="562" t="n"/>
      <c r="AR5" s="562" t="n"/>
      <c r="AS5" s="562" t="n"/>
      <c r="AT5" s="562" t="n"/>
      <c r="AU5" s="562" t="n"/>
      <c r="AV5" s="562" t="n"/>
      <c r="AW5" s="562" t="n"/>
      <c r="AX5" s="562" t="n"/>
      <c r="AY5" s="562" t="n"/>
      <c r="AZ5" s="562" t="n"/>
      <c r="BA5" s="562" t="n"/>
      <c r="BB5" s="562" t="n"/>
      <c r="BC5" s="550" t="n"/>
      <c r="BD5" s="550" t="n"/>
      <c r="BE5" s="550" t="n"/>
      <c r="BF5" s="550" t="n"/>
      <c r="BG5" s="550" t="n"/>
      <c r="BH5" s="563" t="inlineStr">
        <is>
          <t>15/08/2024</t>
        </is>
      </c>
      <c r="BI5" s="559" t="n"/>
      <c r="BJ5" s="1050" t="n"/>
      <c r="BK5" s="1050" t="n"/>
      <c r="BL5" s="1050" t="n"/>
      <c r="BM5" s="1050" t="n"/>
      <c r="BN5" s="1050" t="n"/>
      <c r="BO5" s="1050" t="n"/>
      <c r="BP5" s="1050" t="n"/>
      <c r="BQ5" s="1050" t="n"/>
      <c r="BR5" s="1050" t="n"/>
      <c r="BS5" s="1050" t="n"/>
      <c r="BT5" s="1050" t="n"/>
      <c r="BU5" s="1050" t="n"/>
      <c r="BV5" s="1050" t="n"/>
    </row>
    <row r="6" ht="13.5" customHeight="1" s="981">
      <c r="A6" s="549" t="inlineStr">
        <is>
          <t>VCB</t>
        </is>
      </c>
      <c r="B6" s="550" t="inlineStr">
        <is>
          <t>Ngân hàng</t>
        </is>
      </c>
      <c r="C6" s="551" t="inlineStr">
        <is>
          <t>HOSE</t>
        </is>
      </c>
      <c r="D6" s="552" t="n">
        <v>0.005</v>
      </c>
      <c r="E6" s="553" t="n">
        <v>8</v>
      </c>
      <c r="F6" s="553" t="n">
        <v>55000</v>
      </c>
      <c r="G6" s="554" t="n">
        <v>62800</v>
      </c>
      <c r="H6" s="555" t="n">
        <v>502400</v>
      </c>
      <c r="I6" s="556" t="n">
        <v>0</v>
      </c>
      <c r="J6" s="557" t="n"/>
      <c r="K6" s="557" t="n"/>
      <c r="L6" s="558" t="n"/>
      <c r="M6" s="558" t="n"/>
      <c r="N6" s="559">
        <f>IF(SUM($K$5:$K$12)&gt;0,K6/SUM($K$5:$K$12),0)</f>
        <v/>
      </c>
      <c r="O6" s="559">
        <f>N6-D6</f>
        <v/>
      </c>
      <c r="P6" s="560" t="n">
        <v>6.4</v>
      </c>
      <c r="Q6" s="560" t="n">
        <v>1.36</v>
      </c>
      <c r="R6" s="560" t="n">
        <v>0.2209</v>
      </c>
      <c r="S6" s="560" t="n">
        <v>300</v>
      </c>
      <c r="T6" s="561">
        <f>IF(AND(P6&gt;0,P6&lt;=12,R6&gt;=20),"Tích lũy",IF(M6&lt;-0.05,"Giám sát",IF(AND(M6&gt;0.15,P6&gt;20),"Chốt lời","Giữ")))</f>
        <v/>
      </c>
      <c r="U6" s="561" t="inlineStr">
        <is>
          <t>Xuất sắc</t>
        </is>
      </c>
      <c r="V6" s="559" t="n"/>
      <c r="W6" s="562" t="n"/>
      <c r="X6" s="560" t="n">
        <v>0.025</v>
      </c>
      <c r="Y6" s="562" t="n"/>
      <c r="Z6" s="562" t="n"/>
      <c r="AA6" s="562" t="n"/>
      <c r="AB6" s="562" t="n"/>
      <c r="AC6" s="562" t="n"/>
      <c r="AD6" s="562" t="n"/>
      <c r="AE6" s="562" t="n"/>
      <c r="AF6" s="562" t="n"/>
      <c r="AG6" s="562" t="n"/>
      <c r="AH6" s="562" t="n"/>
      <c r="AI6" s="562" t="n"/>
      <c r="AJ6" s="562" t="n"/>
      <c r="AK6" s="562" t="n"/>
      <c r="AL6" s="562" t="n"/>
      <c r="AM6" s="562" t="n"/>
      <c r="AN6" s="562" t="n"/>
      <c r="AO6" s="562" t="n"/>
      <c r="AP6" s="562" t="n"/>
      <c r="AQ6" s="562" t="n"/>
      <c r="AR6" s="562" t="n"/>
      <c r="AS6" s="562" t="n"/>
      <c r="AT6" s="562" t="n"/>
      <c r="AU6" s="562" t="n"/>
      <c r="AV6" s="562" t="n"/>
      <c r="AW6" s="562" t="n"/>
      <c r="AX6" s="562" t="n"/>
      <c r="AY6" s="562" t="n"/>
      <c r="AZ6" s="562" t="n"/>
      <c r="BA6" s="562" t="n"/>
      <c r="BB6" s="562" t="n"/>
      <c r="BC6" s="550" t="n"/>
      <c r="BD6" s="550" t="n"/>
      <c r="BE6" s="550" t="n"/>
      <c r="BF6" s="550" t="n"/>
      <c r="BG6" s="550" t="n"/>
      <c r="BH6" s="563" t="inlineStr">
        <is>
          <t>20/10/2024</t>
        </is>
      </c>
      <c r="BI6" s="559" t="n"/>
      <c r="BJ6" s="1050" t="n"/>
      <c r="BK6" s="1050" t="n"/>
      <c r="BL6" s="1050" t="n"/>
      <c r="BM6" s="1050" t="n"/>
      <c r="BN6" s="1050" t="n"/>
      <c r="BO6" s="1050" t="n"/>
      <c r="BP6" s="1050" t="n"/>
      <c r="BQ6" s="1050" t="n"/>
      <c r="BR6" s="1050" t="n"/>
      <c r="BS6" s="1050" t="n"/>
      <c r="BT6" s="1050" t="n"/>
      <c r="BU6" s="1050" t="n"/>
      <c r="BV6" s="1050" t="n"/>
    </row>
    <row r="7" ht="13.5" customHeight="1" s="981">
      <c r="A7" s="549" t="inlineStr">
        <is>
          <t>MBB</t>
        </is>
      </c>
      <c r="B7" s="550" t="inlineStr">
        <is>
          <t>Ngân hàng</t>
        </is>
      </c>
      <c r="C7" s="551" t="inlineStr">
        <is>
          <t>HOSE</t>
        </is>
      </c>
      <c r="D7" s="552" t="n">
        <v>0.005</v>
      </c>
      <c r="E7" s="553" t="n">
        <v>20</v>
      </c>
      <c r="F7" s="553" t="n">
        <v>22500</v>
      </c>
      <c r="G7" s="554" t="n">
        <v>25000</v>
      </c>
      <c r="H7" s="555" t="n">
        <v>500000</v>
      </c>
      <c r="I7" s="556" t="n">
        <v>0</v>
      </c>
      <c r="J7" s="557" t="n"/>
      <c r="K7" s="557" t="n"/>
      <c r="L7" s="558" t="n"/>
      <c r="M7" s="558" t="n"/>
      <c r="N7" s="559">
        <f>IF(SUM($K$5:$K$12)&gt;0,K7/SUM($K$5:$K$12),0)</f>
        <v/>
      </c>
      <c r="O7" s="559">
        <f>N7-D7</f>
        <v/>
      </c>
      <c r="P7" s="560" t="n">
        <v>14</v>
      </c>
      <c r="Q7" s="560" t="n">
        <v>2.4</v>
      </c>
      <c r="R7" s="560" t="n">
        <v>0.1874</v>
      </c>
      <c r="S7" s="560" t="n">
        <v>0</v>
      </c>
      <c r="T7" s="561">
        <f>IF(AND(P7&gt;0,P7&lt;=12,R7&gt;=20),"Tích lũy",IF(M7&lt;-0.05,"Giám sát",IF(AND(M7&gt;0.15,P7&gt;20),"Chốt lời","Giữ")))</f>
        <v/>
      </c>
      <c r="U7" s="561" t="inlineStr">
        <is>
          <t>Xuất sắc</t>
        </is>
      </c>
      <c r="V7" s="559" t="n"/>
      <c r="W7" s="562" t="n"/>
      <c r="X7" s="560" t="n">
        <v>0.018</v>
      </c>
      <c r="Y7" s="562" t="n"/>
      <c r="Z7" s="562" t="n"/>
      <c r="AA7" s="562" t="n"/>
      <c r="AB7" s="562" t="n"/>
      <c r="AC7" s="562" t="n"/>
      <c r="AD7" s="562" t="n"/>
      <c r="AE7" s="562" t="n"/>
      <c r="AF7" s="562" t="n"/>
      <c r="AG7" s="562" t="n"/>
      <c r="AH7" s="562" t="n"/>
      <c r="AI7" s="562" t="n"/>
      <c r="AJ7" s="562" t="n"/>
      <c r="AK7" s="562" t="n"/>
      <c r="AL7" s="562" t="n"/>
      <c r="AM7" s="562" t="n"/>
      <c r="AN7" s="562" t="n"/>
      <c r="AO7" s="562" t="n"/>
      <c r="AP7" s="562" t="n"/>
      <c r="AQ7" s="562" t="n"/>
      <c r="AR7" s="562" t="n"/>
      <c r="AS7" s="562" t="n"/>
      <c r="AT7" s="562" t="n"/>
      <c r="AU7" s="562" t="n"/>
      <c r="AV7" s="562" t="n"/>
      <c r="AW7" s="562" t="n"/>
      <c r="AX7" s="562" t="n"/>
      <c r="AY7" s="562" t="n"/>
      <c r="AZ7" s="562" t="n"/>
      <c r="BA7" s="562" t="n"/>
      <c r="BB7" s="562" t="n"/>
      <c r="BC7" s="550" t="n"/>
      <c r="BD7" s="550" t="n"/>
      <c r="BE7" s="550" t="n"/>
      <c r="BF7" s="550" t="n"/>
      <c r="BG7" s="550" t="n"/>
      <c r="BH7" s="563" t="inlineStr">
        <is>
          <t>10/06/2024</t>
        </is>
      </c>
      <c r="BI7" s="559" t="n"/>
      <c r="BJ7" s="1050" t="n"/>
      <c r="BK7" s="1050" t="n"/>
      <c r="BL7" s="1050" t="n"/>
      <c r="BM7" s="1050" t="n"/>
      <c r="BN7" s="1050" t="n"/>
      <c r="BO7" s="1050" t="n"/>
      <c r="BP7" s="1050" t="n"/>
      <c r="BQ7" s="1050" t="n"/>
      <c r="BR7" s="1050" t="n"/>
      <c r="BS7" s="1050" t="n"/>
      <c r="BT7" s="1050" t="n"/>
      <c r="BU7" s="1050" t="n"/>
      <c r="BV7" s="1050" t="n"/>
    </row>
    <row r="8" ht="13.5" customHeight="1" s="981">
      <c r="A8" s="549" t="inlineStr">
        <is>
          <t>CTG</t>
        </is>
      </c>
      <c r="B8" s="550" t="inlineStr">
        <is>
          <t>Ngân hàng</t>
        </is>
      </c>
      <c r="C8" s="551" t="inlineStr">
        <is>
          <t>HOSE</t>
        </is>
      </c>
      <c r="D8" s="552" t="n">
        <v>0.005</v>
      </c>
      <c r="E8" s="553" t="n">
        <v>14</v>
      </c>
      <c r="F8" s="553" t="n">
        <v>33500</v>
      </c>
      <c r="G8" s="554" t="n">
        <v>37000</v>
      </c>
      <c r="H8" s="555" t="n">
        <v>518000</v>
      </c>
      <c r="I8" s="556" t="n">
        <v>0</v>
      </c>
      <c r="J8" s="557" t="n"/>
      <c r="K8" s="557" t="n"/>
      <c r="L8" s="558" t="n"/>
      <c r="M8" s="558" t="n"/>
      <c r="N8" s="559">
        <f>IF(SUM($K$5:$K$12)&gt;0,K8/SUM($K$5:$K$12),0)</f>
        <v/>
      </c>
      <c r="O8" s="559">
        <f>N8-D8</f>
        <v/>
      </c>
      <c r="P8" s="560" t="n">
        <v>16.42</v>
      </c>
      <c r="Q8" s="560" t="n">
        <v>4</v>
      </c>
      <c r="R8" s="560" t="n">
        <v>0.25</v>
      </c>
      <c r="S8" s="560" t="n">
        <v>1000</v>
      </c>
      <c r="T8" s="561">
        <f>IF(AND(P8&gt;0,P8&lt;=12,R8&gt;=20),"Tích lũy",IF(M8&lt;-0.05,"Giám sát",IF(AND(M8&gt;0.15,P8&gt;20),"Chốt lời","Giữ")))</f>
        <v/>
      </c>
      <c r="U8" s="561" t="inlineStr">
        <is>
          <t>Tốt</t>
        </is>
      </c>
      <c r="V8" s="559" t="n"/>
      <c r="W8" s="562" t="n"/>
      <c r="X8" s="560" t="n">
        <v>0.06</v>
      </c>
      <c r="Y8" s="562" t="n"/>
      <c r="Z8" s="562" t="n"/>
      <c r="AA8" s="562" t="n"/>
      <c r="AB8" s="562" t="n"/>
      <c r="AC8" s="562" t="n"/>
      <c r="AD8" s="562" t="n"/>
      <c r="AE8" s="562" t="n"/>
      <c r="AF8" s="562" t="n"/>
      <c r="AG8" s="562" t="n"/>
      <c r="AH8" s="562" t="n"/>
      <c r="AI8" s="562" t="n"/>
      <c r="AJ8" s="562" t="n"/>
      <c r="AK8" s="562" t="n"/>
      <c r="AL8" s="562" t="n"/>
      <c r="AM8" s="562" t="n"/>
      <c r="AN8" s="562" t="n"/>
      <c r="AO8" s="562" t="n"/>
      <c r="AP8" s="562" t="n"/>
      <c r="AQ8" s="562" t="n"/>
      <c r="AR8" s="562" t="n"/>
      <c r="AS8" s="562" t="n"/>
      <c r="AT8" s="562" t="n"/>
      <c r="AU8" s="562" t="n"/>
      <c r="AV8" s="562" t="n"/>
      <c r="AW8" s="562" t="n"/>
      <c r="AX8" s="562" t="n"/>
      <c r="AY8" s="562" t="n"/>
      <c r="AZ8" s="562" t="n"/>
      <c r="BA8" s="562" t="n"/>
      <c r="BB8" s="562" t="n"/>
      <c r="BC8" s="550" t="n"/>
      <c r="BD8" s="550" t="n"/>
      <c r="BE8" s="550" t="n"/>
      <c r="BF8" s="550" t="n"/>
      <c r="BG8" s="550" t="n"/>
      <c r="BH8" s="563" t="inlineStr">
        <is>
          <t>05/11/2024</t>
        </is>
      </c>
      <c r="BI8" s="559" t="n"/>
      <c r="BJ8" s="1050" t="n"/>
      <c r="BK8" s="1050" t="n"/>
      <c r="BL8" s="1050" t="n"/>
      <c r="BM8" s="1050" t="n"/>
      <c r="BN8" s="1050" t="n"/>
      <c r="BO8" s="1050" t="n"/>
      <c r="BP8" s="1050" t="n"/>
      <c r="BQ8" s="1050" t="n"/>
      <c r="BR8" s="1050" t="n"/>
      <c r="BS8" s="1050" t="n"/>
      <c r="BT8" s="1050" t="n"/>
      <c r="BU8" s="1050" t="n"/>
      <c r="BV8" s="1050" t="n"/>
    </row>
    <row r="9" ht="13.5" customHeight="1" s="981">
      <c r="A9" s="549" t="inlineStr">
        <is>
          <t>TCB</t>
        </is>
      </c>
      <c r="B9" s="550" t="inlineStr">
        <is>
          <t>Ngân hàng</t>
        </is>
      </c>
      <c r="C9" s="551" t="inlineStr">
        <is>
          <t>HOSE</t>
        </is>
      </c>
      <c r="D9" s="552" t="n">
        <v>0.005</v>
      </c>
      <c r="E9" s="553" t="n">
        <v>20</v>
      </c>
      <c r="F9" s="553" t="n">
        <v>23500</v>
      </c>
      <c r="G9" s="554" t="n">
        <v>25500</v>
      </c>
      <c r="H9" s="555" t="n">
        <v>510000</v>
      </c>
      <c r="I9" s="556" t="n">
        <v>0</v>
      </c>
      <c r="J9" s="557" t="n"/>
      <c r="K9" s="557" t="n"/>
      <c r="L9" s="558" t="n"/>
      <c r="M9" s="558" t="n"/>
      <c r="N9" s="559">
        <f>IF(SUM($K$5:$K$12)&gt;0,K9/SUM($K$5:$K$12),0)</f>
        <v/>
      </c>
      <c r="O9" s="559">
        <f>N9-D9</f>
        <v/>
      </c>
      <c r="P9" s="560" t="n">
        <v>17.49</v>
      </c>
      <c r="Q9" s="560" t="n">
        <v>3.5</v>
      </c>
      <c r="R9" s="560" t="n">
        <v>0.22</v>
      </c>
      <c r="S9" s="560" t="n">
        <v>1000</v>
      </c>
      <c r="T9" s="561">
        <f>IF(AND(P9&gt;0,P9&lt;=12,R9&gt;=20),"Tích lũy",IF(M9&lt;-0.05,"Giám sát",IF(AND(M9&gt;0.15,P9&gt;20),"Chốt lời","Giữ")))</f>
        <v/>
      </c>
      <c r="U9" s="561" t="inlineStr">
        <is>
          <t>Công bằng</t>
        </is>
      </c>
      <c r="V9" s="559" t="n"/>
      <c r="W9" s="562" t="n"/>
      <c r="X9" s="560" t="n">
        <v>0.06</v>
      </c>
      <c r="Y9" s="562" t="n"/>
      <c r="Z9" s="562" t="n"/>
      <c r="AA9" s="562" t="n"/>
      <c r="AB9" s="562" t="n"/>
      <c r="AC9" s="562" t="n"/>
      <c r="AD9" s="562" t="n"/>
      <c r="AE9" s="562" t="n"/>
      <c r="AF9" s="562" t="n"/>
      <c r="AG9" s="562" t="n"/>
      <c r="AH9" s="562" t="n"/>
      <c r="AI9" s="562" t="n"/>
      <c r="AJ9" s="562" t="n"/>
      <c r="AK9" s="562" t="n"/>
      <c r="AL9" s="562" t="n"/>
      <c r="AM9" s="562" t="n"/>
      <c r="AN9" s="562" t="n"/>
      <c r="AO9" s="562" t="n"/>
      <c r="AP9" s="562" t="n"/>
      <c r="AQ9" s="562" t="n"/>
      <c r="AR9" s="562" t="n"/>
      <c r="AS9" s="562" t="n"/>
      <c r="AT9" s="562" t="n"/>
      <c r="AU9" s="562" t="n"/>
      <c r="AV9" s="562" t="n"/>
      <c r="AW9" s="562" t="n"/>
      <c r="AX9" s="562" t="n"/>
      <c r="AY9" s="562" t="n"/>
      <c r="AZ9" s="562" t="n"/>
      <c r="BA9" s="562" t="n"/>
      <c r="BB9" s="562" t="n"/>
      <c r="BC9" s="550" t="n"/>
      <c r="BD9" s="550" t="n"/>
      <c r="BE9" s="550" t="n"/>
      <c r="BF9" s="550" t="n"/>
      <c r="BG9" s="550" t="n"/>
      <c r="BH9" s="563" t="inlineStr">
        <is>
          <t>18/01/2025</t>
        </is>
      </c>
      <c r="BI9" s="559" t="n"/>
      <c r="BJ9" s="1050" t="n"/>
      <c r="BK9" s="1050" t="n"/>
      <c r="BL9" s="1050" t="n"/>
      <c r="BM9" s="1050" t="n"/>
      <c r="BN9" s="1050" t="n"/>
      <c r="BO9" s="1050" t="n"/>
      <c r="BP9" s="1050" t="n"/>
      <c r="BQ9" s="1050" t="n"/>
      <c r="BR9" s="1050" t="n"/>
      <c r="BS9" s="1050" t="n"/>
      <c r="BT9" s="1050" t="n"/>
      <c r="BU9" s="1050" t="n"/>
      <c r="BV9" s="1050" t="n"/>
    </row>
    <row r="10" ht="13.5" customHeight="1" s="981">
      <c r="A10" s="549" t="inlineStr">
        <is>
          <t>HPG</t>
        </is>
      </c>
      <c r="B10" s="550" t="inlineStr">
        <is>
          <t>Thép &amp; Công nghiệp</t>
        </is>
      </c>
      <c r="C10" s="551" t="inlineStr">
        <is>
          <t>HOSE</t>
        </is>
      </c>
      <c r="D10" s="552" t="n">
        <v>0.005</v>
      </c>
      <c r="E10" s="553" t="n">
        <v>21</v>
      </c>
      <c r="F10" s="553" t="n">
        <v>25000</v>
      </c>
      <c r="G10" s="554" t="n">
        <v>24000</v>
      </c>
      <c r="H10" s="555" t="n">
        <v>504000</v>
      </c>
      <c r="I10" s="556" t="n">
        <v>0</v>
      </c>
      <c r="J10" s="557" t="n"/>
      <c r="K10" s="557" t="n"/>
      <c r="L10" s="558" t="n"/>
      <c r="M10" s="558" t="n"/>
      <c r="N10" s="559">
        <f>IF(SUM($K$5:$K$12)&gt;0,K10/SUM($K$5:$K$12),0)</f>
        <v/>
      </c>
      <c r="O10" s="559">
        <f>N10-D10</f>
        <v/>
      </c>
      <c r="P10" s="560" t="n">
        <v>12</v>
      </c>
      <c r="Q10" s="560" t="n">
        <v>1.5</v>
      </c>
      <c r="R10" s="560" t="n">
        <v>0.14</v>
      </c>
      <c r="S10" s="560" t="n">
        <v>500</v>
      </c>
      <c r="T10" s="561">
        <f>IF(AND(P10&gt;0,P10&lt;=12,R10&gt;=20),"Tích lũy",IF(M10&lt;-0.05,"Giám sát",IF(AND(M10&gt;0.15,P10&gt;20),"Chốt lời","Giữ")))</f>
        <v/>
      </c>
      <c r="U10" s="561" t="inlineStr">
        <is>
          <t>Tốt</t>
        </is>
      </c>
      <c r="V10" s="559" t="n"/>
      <c r="W10" s="562" t="n"/>
      <c r="X10" s="560" t="n">
        <v>0.06</v>
      </c>
      <c r="Y10" s="562" t="n"/>
      <c r="Z10" s="562" t="n"/>
      <c r="AA10" s="562" t="n"/>
      <c r="AB10" s="562" t="n"/>
      <c r="AC10" s="562" t="n"/>
      <c r="AD10" s="562" t="n"/>
      <c r="AE10" s="562" t="n"/>
      <c r="AF10" s="562" t="n"/>
      <c r="AG10" s="562" t="n"/>
      <c r="AH10" s="562" t="n"/>
      <c r="AI10" s="562" t="n"/>
      <c r="AJ10" s="562" t="n"/>
      <c r="AK10" s="562" t="n"/>
      <c r="AL10" s="562" t="n"/>
      <c r="AM10" s="562" t="n"/>
      <c r="AN10" s="562" t="n"/>
      <c r="AO10" s="562" t="n"/>
      <c r="AP10" s="562" t="n"/>
      <c r="AQ10" s="562" t="n"/>
      <c r="AR10" s="562" t="n"/>
      <c r="AS10" s="562" t="n"/>
      <c r="AT10" s="562" t="n"/>
      <c r="AU10" s="562" t="n"/>
      <c r="AV10" s="562" t="n"/>
      <c r="AW10" s="562" t="n"/>
      <c r="AX10" s="562" t="n"/>
      <c r="AY10" s="562" t="n"/>
      <c r="AZ10" s="562" t="n"/>
      <c r="BA10" s="562" t="n"/>
      <c r="BB10" s="562" t="n"/>
      <c r="BC10" s="550" t="n"/>
      <c r="BD10" s="550" t="n"/>
      <c r="BE10" s="550" t="n"/>
      <c r="BF10" s="550" t="n"/>
      <c r="BG10" s="550" t="n"/>
      <c r="BH10" s="563" t="inlineStr">
        <is>
          <t>22/09/2024</t>
        </is>
      </c>
      <c r="BI10" s="559" t="n"/>
      <c r="BJ10" s="1050" t="n"/>
      <c r="BK10" s="1050" t="n"/>
      <c r="BL10" s="1050" t="n"/>
      <c r="BM10" s="1050" t="n"/>
      <c r="BN10" s="1050" t="n"/>
      <c r="BO10" s="1050" t="n"/>
      <c r="BP10" s="1050" t="n"/>
      <c r="BQ10" s="1050" t="n"/>
      <c r="BR10" s="1050" t="n"/>
      <c r="BS10" s="1050" t="n"/>
      <c r="BT10" s="1050" t="n"/>
      <c r="BU10" s="1050" t="n"/>
      <c r="BV10" s="1050" t="n"/>
    </row>
    <row r="11" ht="13.5" customHeight="1" s="981">
      <c r="A11" s="549" t="inlineStr">
        <is>
          <t>VIX</t>
        </is>
      </c>
      <c r="B11" s="550" t="inlineStr">
        <is>
          <t>Chứng khoán</t>
        </is>
      </c>
      <c r="C11" s="551" t="inlineStr">
        <is>
          <t>HNX</t>
        </is>
      </c>
      <c r="D11" s="552" t="n">
        <v>0.005</v>
      </c>
      <c r="E11" s="553" t="n">
        <v>28</v>
      </c>
      <c r="F11" s="553" t="n">
        <v>14500</v>
      </c>
      <c r="G11" s="554" t="n">
        <v>17600</v>
      </c>
      <c r="H11" s="555" t="n">
        <v>492800</v>
      </c>
      <c r="I11" s="556" t="n">
        <v>0</v>
      </c>
      <c r="J11" s="557" t="n"/>
      <c r="K11" s="557" t="n"/>
      <c r="L11" s="558" t="n"/>
      <c r="M11" s="558" t="n"/>
      <c r="N11" s="559">
        <f>IF(SUM($K$5:$K$12)&gt;0,K11/SUM($K$5:$K$12),0)</f>
        <v/>
      </c>
      <c r="O11" s="559">
        <f>N11-D11</f>
        <v/>
      </c>
      <c r="P11" s="560" t="n">
        <v>15.22</v>
      </c>
      <c r="Q11" s="560" t="n">
        <v>3.4</v>
      </c>
      <c r="R11" s="560" t="n">
        <v>0.2384</v>
      </c>
      <c r="S11" s="560" t="n">
        <v>4350</v>
      </c>
      <c r="T11" s="561">
        <f>IF(AND(P11&gt;0,P11&lt;=12,R11&gt;=20),"Tích lũy",IF(M11&lt;-0.05,"Giám sát",IF(AND(M11&gt;0.15,P11&gt;20),"Chốt lời","Giữ")))</f>
        <v/>
      </c>
      <c r="U11" s="561" t="inlineStr">
        <is>
          <t>Tốt</t>
        </is>
      </c>
      <c r="V11" s="559" t="n"/>
      <c r="W11" s="562" t="n"/>
      <c r="X11" s="560" t="n">
        <v>0.1547</v>
      </c>
      <c r="Y11" s="562" t="n"/>
      <c r="Z11" s="562" t="n"/>
      <c r="AA11" s="562" t="n"/>
      <c r="AB11" s="562" t="n"/>
      <c r="AC11" s="562" t="n"/>
      <c r="AD11" s="562" t="n"/>
      <c r="AE11" s="562" t="n"/>
      <c r="AF11" s="562" t="n"/>
      <c r="AG11" s="562" t="n"/>
      <c r="AH11" s="562" t="n"/>
      <c r="AI11" s="562" t="n"/>
      <c r="AJ11" s="562" t="n"/>
      <c r="AK11" s="562" t="n"/>
      <c r="AL11" s="562" t="n"/>
      <c r="AM11" s="562" t="n"/>
      <c r="AN11" s="562" t="n"/>
      <c r="AO11" s="562" t="n"/>
      <c r="AP11" s="562" t="n"/>
      <c r="AQ11" s="562" t="n"/>
      <c r="AR11" s="562" t="n"/>
      <c r="AS11" s="562" t="n"/>
      <c r="AT11" s="562" t="n"/>
      <c r="AU11" s="562" t="n"/>
      <c r="AV11" s="562" t="n"/>
      <c r="AW11" s="562" t="n"/>
      <c r="AX11" s="562" t="n"/>
      <c r="AY11" s="562" t="n"/>
      <c r="AZ11" s="562" t="n"/>
      <c r="BA11" s="562" t="n"/>
      <c r="BB11" s="562" t="n"/>
      <c r="BC11" s="550" t="n"/>
      <c r="BD11" s="550" t="n"/>
      <c r="BE11" s="550" t="n"/>
      <c r="BF11" s="550" t="n"/>
      <c r="BG11" s="550" t="n"/>
      <c r="BH11" s="563" t="inlineStr">
        <is>
          <t>30/07/2024</t>
        </is>
      </c>
      <c r="BI11" s="559" t="n"/>
      <c r="BJ11" s="1050" t="n"/>
      <c r="BK11" s="1050" t="n"/>
      <c r="BL11" s="1050" t="n"/>
      <c r="BM11" s="1050" t="n"/>
      <c r="BN11" s="1050" t="n"/>
      <c r="BO11" s="1050" t="n"/>
      <c r="BP11" s="1050" t="n"/>
      <c r="BQ11" s="1050" t="n"/>
      <c r="BR11" s="1050" t="n"/>
      <c r="BS11" s="1050" t="n"/>
      <c r="BT11" s="1050" t="n"/>
      <c r="BU11" s="1050" t="n"/>
      <c r="BV11" s="1050" t="n"/>
    </row>
    <row r="12" ht="15" customHeight="1" s="981">
      <c r="A12" s="549" t="inlineStr">
        <is>
          <t>SSI</t>
        </is>
      </c>
      <c r="B12" s="550" t="inlineStr">
        <is>
          <t>Chứng khoán</t>
        </is>
      </c>
      <c r="C12" s="551" t="inlineStr">
        <is>
          <t>HOSE</t>
        </is>
      </c>
      <c r="D12" s="552" t="n">
        <v>0.005</v>
      </c>
      <c r="E12" s="553" t="n">
        <v>14</v>
      </c>
      <c r="F12" s="553" t="n">
        <v>32000</v>
      </c>
      <c r="G12" s="554" t="n">
        <v>35000</v>
      </c>
      <c r="H12" s="555" t="n">
        <v>490000</v>
      </c>
      <c r="I12" s="556" t="n">
        <v>0</v>
      </c>
      <c r="J12" s="557" t="n"/>
      <c r="K12" s="557" t="n"/>
      <c r="L12" s="558" t="n"/>
      <c r="M12" s="558" t="n"/>
      <c r="N12" s="559">
        <f>IF(SUM($K$5:$K$12)&gt;0,K12/SUM($K$5:$K$12),0)</f>
        <v/>
      </c>
      <c r="O12" s="559">
        <f>N12-D12</f>
        <v/>
      </c>
      <c r="P12" s="560" t="n">
        <v>6</v>
      </c>
      <c r="Q12" s="560" t="n">
        <v>1.6</v>
      </c>
      <c r="R12" s="560" t="n">
        <v>0.2885</v>
      </c>
      <c r="S12" s="560" t="n">
        <v>0</v>
      </c>
      <c r="T12" s="561">
        <f>IF(AND(P12&gt;0,P12&lt;=12,R12&gt;=20),"Tích lũy",IF(M12&lt;-0.05,"Giám sát",IF(AND(M12&gt;0.15,P12&gt;20),"Chốt lời","Giữ")))</f>
        <v/>
      </c>
      <c r="U12" s="561" t="inlineStr">
        <is>
          <t>Trung bình</t>
        </is>
      </c>
      <c r="V12" s="559" t="n"/>
      <c r="W12" s="562" t="n"/>
      <c r="X12" s="560" t="n">
        <v>0.07000000000000001</v>
      </c>
      <c r="Y12" s="562" t="n"/>
      <c r="Z12" s="562" t="n"/>
      <c r="AA12" s="562" t="n"/>
      <c r="AB12" s="562" t="n"/>
      <c r="AC12" s="562" t="n"/>
      <c r="AD12" s="562" t="n"/>
      <c r="AE12" s="562" t="n"/>
      <c r="AF12" s="562" t="n"/>
      <c r="AG12" s="562" t="n"/>
      <c r="AH12" s="562" t="n"/>
      <c r="AI12" s="562" t="n"/>
      <c r="AJ12" s="562" t="n"/>
      <c r="AK12" s="562" t="n"/>
      <c r="AL12" s="562" t="n"/>
      <c r="AM12" s="562" t="n"/>
      <c r="AN12" s="562" t="n"/>
      <c r="AO12" s="562" t="n"/>
      <c r="AP12" s="562" t="n"/>
      <c r="AQ12" s="562" t="n"/>
      <c r="AR12" s="562" t="n"/>
      <c r="AS12" s="562" t="n"/>
      <c r="AT12" s="562" t="n"/>
      <c r="AU12" s="562" t="n"/>
      <c r="AV12" s="562" t="n"/>
      <c r="AW12" s="562" t="n"/>
      <c r="AX12" s="562" t="n"/>
      <c r="AY12" s="562" t="n"/>
      <c r="AZ12" s="562" t="n"/>
      <c r="BA12" s="562" t="n"/>
      <c r="BB12" s="562" t="n"/>
      <c r="BC12" s="550" t="n"/>
      <c r="BD12" s="550" t="n"/>
      <c r="BE12" s="550" t="n"/>
      <c r="BF12" s="550" t="n"/>
      <c r="BG12" s="550" t="n"/>
      <c r="BH12" s="563" t="inlineStr">
        <is>
          <t>14/02/2025</t>
        </is>
      </c>
      <c r="BI12" s="559" t="n"/>
      <c r="BJ12" s="1050" t="n"/>
      <c r="BK12" s="1050" t="n"/>
      <c r="BL12" s="1050" t="n"/>
      <c r="BM12" s="1050" t="n"/>
      <c r="BN12" s="1050" t="n"/>
      <c r="BO12" s="1050" t="n"/>
      <c r="BP12" s="1050" t="n"/>
      <c r="BQ12" s="1050" t="n"/>
      <c r="BR12" s="1050" t="n"/>
      <c r="BS12" s="1050" t="n"/>
      <c r="BT12" s="1050" t="n"/>
      <c r="BU12" s="1050" t="n"/>
      <c r="BV12" s="1050" t="n"/>
    </row>
    <row r="13" ht="15" customHeight="1" s="981">
      <c r="A13" s="1050" t="inlineStr">
        <is>
          <t>VNM</t>
        </is>
      </c>
      <c r="B13" s="1050" t="inlineStr">
        <is>
          <t>Tiêu dùng thiết yếu</t>
        </is>
      </c>
      <c r="C13" s="1050" t="inlineStr">
        <is>
          <t>HOSE</t>
        </is>
      </c>
      <c r="D13" s="1050" t="n">
        <v>0.005</v>
      </c>
      <c r="E13" s="564" t="n">
        <v>8</v>
      </c>
      <c r="F13" s="564" t="n">
        <v>58000</v>
      </c>
      <c r="G13" s="1050" t="n">
        <v>59000</v>
      </c>
      <c r="H13" s="565" t="n">
        <v>472000</v>
      </c>
      <c r="I13" s="565" t="n">
        <v>0</v>
      </c>
      <c r="J13" s="566" t="inlineStr">
        <is>
          <t>Giả định &amp; stress test sâu</t>
        </is>
      </c>
      <c r="K13" s="566" t="inlineStr">
        <is>
          <t>Giá trị</t>
        </is>
      </c>
      <c r="L13" s="1050" t="n"/>
      <c r="M13" s="1050" t="n"/>
      <c r="N13" s="1050" t="n"/>
      <c r="O13" s="566" t="inlineStr">
        <is>
          <t>Bảng xếp hạng quyết định</t>
        </is>
      </c>
      <c r="P13" s="566" t="inlineStr">
        <is>
          <t>Giá trị</t>
        </is>
      </c>
      <c r="Q13" s="1050" t="inlineStr">
        <is>
          <t>Dòng tiền 12 tháng giả định</t>
        </is>
      </c>
      <c r="R13" s="1050" t="n"/>
      <c r="S13" s="1050" t="n"/>
      <c r="T13" s="1050" t="n"/>
      <c r="U13" s="1050" t="n"/>
      <c r="V13" s="1050" t="n"/>
      <c r="W13" s="1050" t="n"/>
      <c r="X13" s="1050" t="n"/>
      <c r="Y13" s="1050" t="n"/>
      <c r="Z13" s="1050" t="n"/>
      <c r="AA13" s="1050" t="n"/>
      <c r="AB13" s="1050" t="n"/>
      <c r="AC13" s="1050" t="n"/>
      <c r="AD13" s="1050" t="n"/>
      <c r="AE13" s="1050" t="n"/>
      <c r="AF13" s="1050" t="n"/>
      <c r="AG13" s="1050" t="n"/>
      <c r="AH13" s="1050" t="n"/>
      <c r="AI13" s="1050" t="n"/>
      <c r="AJ13" s="1050" t="n"/>
      <c r="AK13" s="1050" t="n"/>
      <c r="AL13" s="1050" t="n"/>
      <c r="AM13" s="1050" t="n"/>
      <c r="AN13" s="1050" t="n"/>
      <c r="AO13" s="1050" t="n"/>
      <c r="AP13" s="1050" t="n"/>
      <c r="AQ13" s="1050" t="n"/>
      <c r="AR13" s="1050" t="n"/>
      <c r="AS13" s="1050" t="n"/>
      <c r="AT13" s="1050" t="n"/>
      <c r="AU13" s="1050" t="n"/>
      <c r="AV13" s="1050" t="n"/>
      <c r="AW13" s="1050" t="n"/>
      <c r="AX13" s="1050" t="n"/>
      <c r="AY13" s="1050" t="n"/>
      <c r="AZ13" s="1050" t="n"/>
      <c r="BA13" s="1050" t="n"/>
      <c r="BB13" s="1050" t="n"/>
      <c r="BC13" s="1050" t="n"/>
      <c r="BD13" s="1050" t="n"/>
      <c r="BE13" s="1050" t="n"/>
      <c r="BF13" s="1050" t="n"/>
      <c r="BG13" s="1050" t="n"/>
      <c r="BH13" s="1050" t="n"/>
      <c r="BI13" s="1050" t="n"/>
      <c r="BJ13" s="1050" t="n"/>
      <c r="BK13" s="1050" t="n"/>
      <c r="BL13" s="1050" t="n"/>
      <c r="BM13" s="1050" t="n"/>
      <c r="BN13" s="1050" t="n"/>
      <c r="BO13" s="1050" t="n"/>
      <c r="BP13" s="1050" t="n"/>
      <c r="BQ13" s="1050" t="n"/>
      <c r="BR13" s="1050" t="n"/>
      <c r="BS13" s="1050" t="n"/>
      <c r="BT13" s="1050" t="n"/>
      <c r="BU13" s="1050" t="n"/>
      <c r="BV13" s="1050" t="n"/>
    </row>
    <row r="14" ht="15" customHeight="1" s="981">
      <c r="A14" s="1050" t="inlineStr">
        <is>
          <t>MSN</t>
        </is>
      </c>
      <c r="B14" s="1050" t="inlineStr">
        <is>
          <t>Tiêu dùng</t>
        </is>
      </c>
      <c r="C14" s="1050" t="inlineStr">
        <is>
          <t>HOSE</t>
        </is>
      </c>
      <c r="D14" s="1050" t="n">
        <v>0.005</v>
      </c>
      <c r="E14" s="567" t="n">
        <v>6</v>
      </c>
      <c r="F14" s="568" t="n">
        <v>72000</v>
      </c>
      <c r="G14" s="1050" t="n">
        <v>80000</v>
      </c>
      <c r="H14" s="569" t="n">
        <v>480000</v>
      </c>
      <c r="I14" s="559" t="n">
        <v>0</v>
      </c>
      <c r="J14" s="570" t="inlineStr">
        <is>
          <t>Tiền mới giả định</t>
        </is>
      </c>
      <c r="K14" s="562" t="n">
        <v>100000000</v>
      </c>
      <c r="L14" s="1050" t="n"/>
      <c r="M14" s="1050" t="n"/>
      <c r="N14" s="1050" t="n"/>
      <c r="O14" s="570" t="inlineStr">
        <is>
          <t>Ưu tiên mua/tăng</t>
        </is>
      </c>
      <c r="P14" s="559" t="n"/>
      <c r="Q14" s="566" t="inlineStr">
        <is>
          <t>Tháng</t>
        </is>
      </c>
      <c r="R14" s="566" t="inlineStr">
        <is>
          <t>Cổ tức tháng</t>
        </is>
      </c>
      <c r="S14" s="566" t="inlineStr">
        <is>
          <t>Lãi margin tháng</t>
        </is>
      </c>
      <c r="T14" s="566" t="inlineStr">
        <is>
          <t>Thuế nếu bán 10%</t>
        </is>
      </c>
      <c r="U14" s="566" t="inlineStr">
        <is>
          <t>Dòng tiền ròng</t>
        </is>
      </c>
      <c r="V14" s="566" t="inlineStr">
        <is>
          <t>Lũy kế</t>
        </is>
      </c>
      <c r="W14" s="1050" t="n"/>
      <c r="X14" s="1050" t="n"/>
      <c r="Y14" s="1050" t="n"/>
      <c r="Z14" s="1050" t="n"/>
      <c r="AA14" s="1050" t="n"/>
      <c r="AB14" s="1050" t="n"/>
      <c r="AC14" s="1050" t="n"/>
      <c r="AD14" s="1050" t="n"/>
      <c r="AE14" s="1050" t="n"/>
      <c r="AF14" s="1050" t="n"/>
      <c r="AG14" s="1050" t="n"/>
      <c r="AH14" s="1050" t="n"/>
      <c r="AI14" s="1050" t="n"/>
      <c r="AJ14" s="1050" t="n"/>
      <c r="AK14" s="1050" t="n"/>
      <c r="AL14" s="1050" t="n"/>
      <c r="AM14" s="1050" t="n"/>
      <c r="AN14" s="1050" t="n"/>
      <c r="AO14" s="1050" t="n"/>
      <c r="AP14" s="1050" t="n"/>
      <c r="AQ14" s="1050" t="n"/>
      <c r="AR14" s="1050" t="n"/>
      <c r="AS14" s="1050" t="n"/>
      <c r="AT14" s="1050" t="n"/>
      <c r="AU14" s="1050" t="n"/>
      <c r="AV14" s="1050" t="n"/>
      <c r="AW14" s="1050" t="n"/>
      <c r="AX14" s="1050" t="n"/>
      <c r="AY14" s="1050" t="n"/>
      <c r="AZ14" s="1050" t="n"/>
      <c r="BA14" s="1050" t="n"/>
      <c r="BB14" s="1050" t="n"/>
      <c r="BC14" s="1050" t="n"/>
      <c r="BD14" s="1050" t="n"/>
      <c r="BE14" s="1050" t="n"/>
      <c r="BF14" s="1050" t="n"/>
      <c r="BG14" s="1050" t="n"/>
      <c r="BH14" s="1050" t="n"/>
      <c r="BI14" s="1050" t="n"/>
      <c r="BJ14" s="1050" t="n"/>
      <c r="BK14" s="1050" t="n"/>
      <c r="BL14" s="1050" t="n"/>
      <c r="BM14" s="1050" t="n"/>
      <c r="BN14" s="1050" t="n"/>
      <c r="BO14" s="1050" t="n"/>
      <c r="BP14" s="1050" t="n"/>
      <c r="BQ14" s="1050" t="n"/>
      <c r="BR14" s="1050" t="n"/>
      <c r="BS14" s="1050" t="n"/>
      <c r="BT14" s="1050" t="n"/>
      <c r="BU14" s="1050" t="n"/>
      <c r="BV14" s="1050" t="n"/>
    </row>
    <row r="15" ht="13.5" customHeight="1" s="981">
      <c r="A15" s="1050" t="inlineStr">
        <is>
          <t>MWG</t>
        </is>
      </c>
      <c r="B15" s="1050" t="inlineStr">
        <is>
          <t>Bán lẻ</t>
        </is>
      </c>
      <c r="C15" s="1050" t="inlineStr">
        <is>
          <t>HOSE</t>
        </is>
      </c>
      <c r="D15" s="1050" t="n">
        <v>0.005</v>
      </c>
      <c r="E15" s="567" t="n">
        <v>6</v>
      </c>
      <c r="F15" s="568" t="n">
        <v>70000</v>
      </c>
      <c r="G15" s="1050" t="n">
        <v>77700</v>
      </c>
      <c r="H15" s="569" t="n">
        <v>466200</v>
      </c>
      <c r="I15" s="562" t="n">
        <v>0</v>
      </c>
      <c r="J15" s="570" t="inlineStr">
        <is>
          <t>Lãi suất margin/năm</t>
        </is>
      </c>
      <c r="K15" s="562" t="n">
        <v>0.12</v>
      </c>
      <c r="L15" s="1050" t="n"/>
      <c r="M15" s="1050" t="n"/>
      <c r="N15" s="1050" t="n"/>
      <c r="O15" s="570" t="inlineStr">
        <is>
          <t>Điểm mua cao nhất</t>
        </is>
      </c>
      <c r="P15" s="562" t="n"/>
      <c r="Q15" s="559" t="n"/>
      <c r="R15" s="559" t="n"/>
      <c r="S15" s="559" t="n"/>
      <c r="T15" s="559" t="n"/>
      <c r="U15" s="559" t="n"/>
      <c r="V15" s="559" t="n"/>
      <c r="W15" s="1050" t="n"/>
      <c r="X15" s="1050" t="n"/>
      <c r="Y15" s="1050" t="n"/>
      <c r="Z15" s="1050" t="n"/>
      <c r="AA15" s="1050" t="n"/>
      <c r="AB15" s="1050" t="n"/>
      <c r="AC15" s="1050" t="n"/>
      <c r="AD15" s="1050" t="n"/>
      <c r="AE15" s="1050" t="n"/>
      <c r="AF15" s="1050" t="n"/>
      <c r="AG15" s="1050" t="n"/>
      <c r="AH15" s="1050" t="n"/>
      <c r="AI15" s="1050" t="n"/>
      <c r="AJ15" s="1050" t="n"/>
      <c r="AK15" s="1050" t="n"/>
      <c r="AL15" s="1050" t="n"/>
      <c r="AM15" s="1050" t="n"/>
      <c r="AN15" s="1050" t="n"/>
      <c r="AO15" s="1050" t="n"/>
      <c r="AP15" s="1050" t="n"/>
      <c r="AQ15" s="1050" t="n"/>
      <c r="AR15" s="1050" t="n"/>
      <c r="AS15" s="1050" t="n"/>
      <c r="AT15" s="1050" t="n"/>
      <c r="AU15" s="1050" t="n"/>
      <c r="AV15" s="1050" t="n"/>
      <c r="AW15" s="1050" t="n"/>
      <c r="AX15" s="1050" t="n"/>
      <c r="AY15" s="1050" t="n"/>
      <c r="AZ15" s="1050" t="n"/>
      <c r="BA15" s="1050" t="n"/>
      <c r="BB15" s="1050" t="n"/>
      <c r="BC15" s="1050" t="n"/>
      <c r="BD15" s="1050" t="n"/>
      <c r="BE15" s="1050" t="n"/>
      <c r="BF15" s="1050" t="n"/>
      <c r="BG15" s="1050" t="n"/>
      <c r="BH15" s="1050" t="n"/>
      <c r="BI15" s="1050" t="n"/>
      <c r="BJ15" s="1050" t="n"/>
      <c r="BK15" s="1050" t="n"/>
      <c r="BL15" s="1050" t="n"/>
      <c r="BM15" s="1050" t="n"/>
      <c r="BN15" s="1050" t="n"/>
      <c r="BO15" s="1050" t="n"/>
      <c r="BP15" s="1050" t="n"/>
      <c r="BQ15" s="1050" t="n"/>
      <c r="BR15" s="1050" t="n"/>
      <c r="BS15" s="1050" t="n"/>
      <c r="BT15" s="1050" t="n"/>
      <c r="BU15" s="1050" t="n"/>
      <c r="BV15" s="1050" t="n"/>
    </row>
    <row r="16" ht="13.5" customHeight="1" s="981">
      <c r="A16" s="1050" t="inlineStr">
        <is>
          <t>CTR</t>
        </is>
      </c>
      <c r="B16" s="1050" t="inlineStr">
        <is>
          <t>Hạ tầng số</t>
        </is>
      </c>
      <c r="C16" s="1050" t="inlineStr">
        <is>
          <t>HOSE</t>
        </is>
      </c>
      <c r="D16" s="1050" t="n">
        <v>0.005</v>
      </c>
      <c r="E16" s="567" t="n">
        <v>6</v>
      </c>
      <c r="F16" s="568" t="n">
        <v>80000</v>
      </c>
      <c r="G16" s="1050" t="n">
        <v>90000</v>
      </c>
      <c r="H16" s="569" t="n">
        <v>540000</v>
      </c>
      <c r="I16" s="559" t="n">
        <v>0</v>
      </c>
      <c r="J16" s="570" t="inlineStr">
        <is>
          <t>Thuế bán chứng khoán</t>
        </is>
      </c>
      <c r="K16" s="562" t="n">
        <v>0.001</v>
      </c>
      <c r="L16" s="1050" t="n"/>
      <c r="M16" s="1050" t="n"/>
      <c r="N16" s="1050" t="n"/>
      <c r="O16" s="570" t="inlineStr">
        <is>
          <t>Ưu tiên giảm/bán</t>
        </is>
      </c>
      <c r="P16" s="559" t="n"/>
      <c r="Q16" s="559" t="n"/>
      <c r="R16" s="559" t="n"/>
      <c r="S16" s="559" t="n"/>
      <c r="T16" s="559" t="n"/>
      <c r="U16" s="559" t="n"/>
      <c r="V16" s="559" t="n"/>
      <c r="W16" s="1050" t="n"/>
      <c r="X16" s="1050" t="n"/>
      <c r="Y16" s="1050" t="n"/>
      <c r="Z16" s="1050" t="n"/>
      <c r="AA16" s="1050" t="n"/>
      <c r="AB16" s="1050" t="n"/>
      <c r="AC16" s="1050" t="n"/>
      <c r="AD16" s="1050" t="n"/>
      <c r="AE16" s="1050" t="n"/>
      <c r="AF16" s="1050" t="n"/>
      <c r="AG16" s="1050" t="n"/>
      <c r="AH16" s="1050" t="n"/>
      <c r="AI16" s="1050" t="n"/>
      <c r="AJ16" s="1050" t="n"/>
      <c r="AK16" s="1050" t="n"/>
      <c r="AL16" s="1050" t="n"/>
      <c r="AM16" s="1050" t="n"/>
      <c r="AN16" s="1050" t="n"/>
      <c r="AO16" s="1050" t="n"/>
      <c r="AP16" s="1050" t="n"/>
      <c r="AQ16" s="1050" t="n"/>
      <c r="AR16" s="1050" t="n"/>
      <c r="AS16" s="1050" t="n"/>
      <c r="AT16" s="1050" t="n"/>
      <c r="AU16" s="1050" t="n"/>
      <c r="AV16" s="1050" t="n"/>
      <c r="AW16" s="1050" t="n"/>
      <c r="AX16" s="1050" t="n"/>
      <c r="AY16" s="1050" t="n"/>
      <c r="AZ16" s="1050" t="n"/>
      <c r="BA16" s="1050" t="n"/>
      <c r="BB16" s="1050" t="n"/>
      <c r="BC16" s="1050" t="n"/>
      <c r="BD16" s="1050" t="n"/>
      <c r="BE16" s="1050" t="n"/>
      <c r="BF16" s="1050" t="n"/>
      <c r="BG16" s="1050" t="n"/>
      <c r="BH16" s="1050" t="n"/>
      <c r="BI16" s="1050" t="n"/>
      <c r="BJ16" s="1050" t="n"/>
      <c r="BK16" s="1050" t="n"/>
      <c r="BL16" s="1050" t="n"/>
      <c r="BM16" s="1050" t="n"/>
      <c r="BN16" s="1050" t="n"/>
      <c r="BO16" s="1050" t="n"/>
      <c r="BP16" s="1050" t="n"/>
      <c r="BQ16" s="1050" t="n"/>
      <c r="BR16" s="1050" t="n"/>
      <c r="BS16" s="1050" t="n"/>
      <c r="BT16" s="1050" t="n"/>
      <c r="BU16" s="1050" t="n"/>
      <c r="BV16" s="1050" t="n"/>
    </row>
    <row r="17" ht="13.5" customHeight="1" s="981">
      <c r="A17" s="1050" t="inlineStr">
        <is>
          <t>VIC</t>
        </is>
      </c>
      <c r="B17" s="1050" t="inlineStr">
        <is>
          <t>Bất động sản</t>
        </is>
      </c>
      <c r="C17" s="1050" t="inlineStr">
        <is>
          <t>HOSE</t>
        </is>
      </c>
      <c r="D17" s="1050" t="n">
        <v>0.005</v>
      </c>
      <c r="E17" s="567" t="n">
        <v>11</v>
      </c>
      <c r="F17" s="568" t="n">
        <v>40000</v>
      </c>
      <c r="G17" s="1050" t="n">
        <v>43500</v>
      </c>
      <c r="H17" s="569" t="n">
        <v>478500</v>
      </c>
      <c r="I17" s="559" t="n">
        <v>0</v>
      </c>
      <c r="J17" s="570" t="inlineStr">
        <is>
          <t>Ngưỡng gọi KQ nợ/GT</t>
        </is>
      </c>
      <c r="K17" s="562" t="n">
        <v>0.5</v>
      </c>
      <c r="L17" s="1050" t="n"/>
      <c r="M17" s="1050" t="n"/>
      <c r="N17" s="1050" t="n"/>
      <c r="O17" s="570" t="inlineStr">
        <is>
          <t>Điểm bán cao nhất</t>
        </is>
      </c>
      <c r="P17" s="562" t="n"/>
      <c r="Q17" s="1050" t="n"/>
      <c r="R17" s="1050" t="n"/>
      <c r="S17" s="1050" t="n"/>
      <c r="T17" s="1050" t="n"/>
      <c r="U17" s="1050" t="n"/>
      <c r="V17" s="1050" t="n"/>
      <c r="W17" s="1050" t="n"/>
      <c r="X17" s="1050" t="n"/>
      <c r="Y17" s="1050" t="n"/>
      <c r="Z17" s="1050" t="n"/>
      <c r="AA17" s="1050" t="n"/>
      <c r="AB17" s="1050" t="n"/>
      <c r="AC17" s="1050" t="n"/>
      <c r="AD17" s="1050" t="n"/>
      <c r="AE17" s="1050" t="n"/>
      <c r="AF17" s="1050" t="n"/>
      <c r="AG17" s="1050" t="n"/>
      <c r="AH17" s="1050" t="n"/>
      <c r="AI17" s="1050" t="n"/>
      <c r="AJ17" s="1050" t="n"/>
      <c r="AK17" s="1050" t="n"/>
      <c r="AL17" s="1050" t="n"/>
      <c r="AM17" s="1050" t="n"/>
      <c r="AN17" s="1050" t="n"/>
      <c r="AO17" s="1050" t="n"/>
      <c r="AP17" s="1050" t="n"/>
      <c r="AQ17" s="1050" t="n"/>
      <c r="AR17" s="1050" t="n"/>
      <c r="AS17" s="1050" t="n"/>
      <c r="AT17" s="1050" t="n"/>
      <c r="AU17" s="1050" t="n"/>
      <c r="AV17" s="1050" t="n"/>
      <c r="AW17" s="1050" t="n"/>
      <c r="AX17" s="1050" t="n"/>
      <c r="AY17" s="1050" t="n"/>
      <c r="AZ17" s="1050" t="n"/>
      <c r="BA17" s="1050" t="n"/>
      <c r="BB17" s="1050" t="n"/>
      <c r="BC17" s="1050" t="n"/>
      <c r="BD17" s="1050" t="n"/>
      <c r="BE17" s="1050" t="n"/>
      <c r="BF17" s="1050" t="n"/>
      <c r="BG17" s="1050" t="n"/>
      <c r="BH17" s="1050" t="n"/>
      <c r="BI17" s="1050" t="n"/>
      <c r="BJ17" s="1050" t="n"/>
      <c r="BK17" s="1050" t="n"/>
      <c r="BL17" s="1050" t="n"/>
      <c r="BM17" s="1050" t="n"/>
      <c r="BN17" s="1050" t="n"/>
      <c r="BO17" s="1050" t="n"/>
      <c r="BP17" s="1050" t="n"/>
      <c r="BQ17" s="1050" t="n"/>
      <c r="BR17" s="1050" t="n"/>
      <c r="BS17" s="1050" t="n"/>
      <c r="BT17" s="1050" t="n"/>
      <c r="BU17" s="1050" t="n"/>
      <c r="BV17" s="1050" t="n"/>
    </row>
    <row r="18" ht="13.5" customHeight="1" s="981">
      <c r="A18" s="1050" t="inlineStr">
        <is>
          <t>VHM</t>
        </is>
      </c>
      <c r="B18" s="1050" t="inlineStr">
        <is>
          <t>Bất động sản</t>
        </is>
      </c>
      <c r="C18" s="1050" t="inlineStr">
        <is>
          <t>HOSE</t>
        </is>
      </c>
      <c r="D18" s="1050" t="n">
        <v>0.005</v>
      </c>
      <c r="E18" s="567" t="n">
        <v>12</v>
      </c>
      <c r="F18" s="568" t="n">
        <v>39000</v>
      </c>
      <c r="G18" s="1050" t="n">
        <v>41500</v>
      </c>
      <c r="H18" s="569" t="n">
        <v>498000</v>
      </c>
      <c r="I18" s="559" t="n">
        <v>0</v>
      </c>
      <c r="J18" s="570" t="inlineStr">
        <is>
          <t>Ngưỡng nguy hiểm nợ/GT</t>
        </is>
      </c>
      <c r="K18" s="562" t="n">
        <v>0.7</v>
      </c>
      <c r="L18" s="1050" t="n"/>
      <c r="M18" s="1050" t="n"/>
      <c r="N18" s="1050" t="n"/>
      <c r="O18" s="570" t="inlineStr">
        <is>
          <t>Rủi ro nợ cao nhất</t>
        </is>
      </c>
      <c r="P18" s="559" t="n"/>
      <c r="Q18" s="1050" t="n"/>
      <c r="R18" s="1050" t="n"/>
      <c r="S18" s="1050" t="n"/>
      <c r="T18" s="1050" t="n"/>
      <c r="U18" s="1050" t="n"/>
      <c r="V18" s="1050" t="n"/>
      <c r="W18" s="1050" t="n"/>
      <c r="X18" s="1050" t="n"/>
      <c r="Y18" s="1050" t="n"/>
      <c r="Z18" s="1050" t="n"/>
      <c r="AA18" s="1050" t="n"/>
      <c r="AB18" s="1050" t="n"/>
      <c r="AC18" s="1050" t="n"/>
      <c r="AD18" s="1050" t="n"/>
      <c r="AE18" s="1050" t="n"/>
      <c r="AF18" s="1050" t="n"/>
      <c r="AG18" s="1050" t="n"/>
      <c r="AH18" s="1050" t="n"/>
      <c r="AI18" s="1050" t="n"/>
      <c r="AJ18" s="1050" t="n"/>
      <c r="AK18" s="1050" t="n"/>
      <c r="AL18" s="1050" t="n"/>
      <c r="AM18" s="1050" t="n"/>
      <c r="AN18" s="1050" t="n"/>
      <c r="AO18" s="1050" t="n"/>
      <c r="AP18" s="1050" t="n"/>
      <c r="AQ18" s="1050" t="n"/>
      <c r="AR18" s="1050" t="n"/>
      <c r="AS18" s="1050" t="n"/>
      <c r="AT18" s="1050" t="n"/>
      <c r="AU18" s="1050" t="n"/>
      <c r="AV18" s="1050" t="n"/>
      <c r="AW18" s="1050" t="n"/>
      <c r="AX18" s="1050" t="n"/>
      <c r="AY18" s="1050" t="n"/>
      <c r="AZ18" s="1050" t="n"/>
      <c r="BA18" s="1050" t="n"/>
      <c r="BB18" s="1050" t="n"/>
      <c r="BC18" s="1050" t="n"/>
      <c r="BD18" s="1050" t="n"/>
      <c r="BE18" s="1050" t="n"/>
      <c r="BF18" s="1050" t="n"/>
      <c r="BG18" s="1050" t="n"/>
      <c r="BH18" s="1050" t="n"/>
      <c r="BI18" s="1050" t="n"/>
      <c r="BJ18" s="1050" t="n"/>
      <c r="BK18" s="1050" t="n"/>
      <c r="BL18" s="1050" t="n"/>
      <c r="BM18" s="1050" t="n"/>
      <c r="BN18" s="1050" t="n"/>
      <c r="BO18" s="1050" t="n"/>
      <c r="BP18" s="1050" t="n"/>
      <c r="BQ18" s="1050" t="n"/>
      <c r="BR18" s="1050" t="n"/>
      <c r="BS18" s="1050" t="n"/>
      <c r="BT18" s="1050" t="n"/>
      <c r="BU18" s="1050" t="n"/>
      <c r="BV18" s="1050" t="n"/>
    </row>
    <row r="19" ht="13.5" customHeight="1" s="981">
      <c r="A19" s="1050" t="inlineStr">
        <is>
          <t>HVN</t>
        </is>
      </c>
      <c r="B19" s="1050" t="inlineStr">
        <is>
          <t>Hàng không</t>
        </is>
      </c>
      <c r="C19" s="1050" t="inlineStr">
        <is>
          <t>HOSE</t>
        </is>
      </c>
      <c r="D19" s="1050" t="n">
        <v>0.005</v>
      </c>
      <c r="E19" s="567" t="n">
        <v>20</v>
      </c>
      <c r="F19" s="571" t="n">
        <v>21000</v>
      </c>
      <c r="G19" s="1050" t="n">
        <v>25500</v>
      </c>
      <c r="H19" s="569" t="n">
        <v>510000</v>
      </c>
      <c r="I19" s="562" t="n">
        <v>0</v>
      </c>
      <c r="J19" s="570" t="inlineStr">
        <is>
          <t>Hệ số VaR 95%</t>
        </is>
      </c>
      <c r="K19" s="562" t="n">
        <v>1.65</v>
      </c>
      <c r="L19" s="1050" t="n"/>
      <c r="M19" s="1050" t="n"/>
      <c r="N19" s="1050" t="n"/>
      <c r="O19" s="570" t="inlineStr">
        <is>
          <t>Tỷ lệ nợ cao nhất</t>
        </is>
      </c>
      <c r="P19" s="562" t="n"/>
      <c r="Q19" s="572" t="inlineStr">
        <is>
          <t>Ma trận ngành sâu</t>
        </is>
      </c>
      <c r="R19" s="572" t="n"/>
      <c r="S19" s="1050" t="n"/>
      <c r="T19" s="1050" t="n"/>
      <c r="U19" s="1050" t="n"/>
      <c r="V19" s="1050" t="n"/>
      <c r="W19" s="1050" t="n"/>
      <c r="X19" s="1050" t="n"/>
      <c r="Y19" s="1050" t="n"/>
      <c r="Z19" s="1050" t="n"/>
      <c r="AA19" s="1050" t="n"/>
      <c r="AB19" s="1050" t="n"/>
      <c r="AC19" s="1050" t="n"/>
      <c r="AD19" s="1050" t="n"/>
      <c r="AE19" s="1050" t="n"/>
      <c r="AF19" s="1050" t="n"/>
      <c r="AG19" s="1050" t="n"/>
      <c r="AH19" s="1050" t="n"/>
      <c r="AI19" s="1050" t="n"/>
      <c r="AJ19" s="1050" t="n"/>
      <c r="AK19" s="1050" t="n"/>
      <c r="AL19" s="1050" t="n"/>
      <c r="AM19" s="1050" t="n"/>
      <c r="AN19" s="1050" t="n"/>
      <c r="AO19" s="1050" t="n"/>
      <c r="AP19" s="1050" t="n"/>
      <c r="AQ19" s="1050" t="n"/>
      <c r="AR19" s="1050" t="n"/>
      <c r="AS19" s="1050" t="n"/>
      <c r="AT19" s="1050" t="n"/>
      <c r="AU19" s="1050" t="n"/>
      <c r="AV19" s="1050" t="n"/>
      <c r="AW19" s="1050" t="n"/>
      <c r="AX19" s="1050" t="n"/>
      <c r="AY19" s="1050" t="n"/>
      <c r="AZ19" s="1050" t="n"/>
      <c r="BA19" s="1050" t="n"/>
      <c r="BB19" s="1050" t="n"/>
      <c r="BC19" s="1050" t="n"/>
      <c r="BD19" s="1050" t="n"/>
      <c r="BE19" s="1050" t="n"/>
      <c r="BF19" s="1050" t="n"/>
      <c r="BG19" s="1050" t="n"/>
      <c r="BH19" s="1050" t="n"/>
      <c r="BI19" s="1050" t="n"/>
      <c r="BJ19" s="1050" t="n"/>
      <c r="BK19" s="1050" t="n"/>
      <c r="BL19" s="1050" t="n"/>
      <c r="BM19" s="1050" t="n"/>
      <c r="BN19" s="1050" t="n"/>
      <c r="BO19" s="1050" t="n"/>
      <c r="BP19" s="1050" t="n"/>
      <c r="BQ19" s="1050" t="n"/>
      <c r="BR19" s="1050" t="n"/>
      <c r="BS19" s="1050" t="n"/>
      <c r="BT19" s="1050" t="n"/>
      <c r="BU19" s="1050" t="n"/>
      <c r="BV19" s="1050" t="n"/>
    </row>
    <row r="20" ht="13.5" customHeight="1" s="981">
      <c r="A20" s="1050" t="inlineStr">
        <is>
          <t>PNJ</t>
        </is>
      </c>
      <c r="B20" s="1050" t="inlineStr">
        <is>
          <t>Trang sức</t>
        </is>
      </c>
      <c r="C20" s="1050" t="inlineStr">
        <is>
          <t>HOSE</t>
        </is>
      </c>
      <c r="D20" s="1050" t="n">
        <v>0.005</v>
      </c>
      <c r="E20" s="567" t="n">
        <v>5</v>
      </c>
      <c r="F20" s="568" t="n">
        <v>95000</v>
      </c>
      <c r="G20" s="1050" t="n">
        <v>103000</v>
      </c>
      <c r="H20" s="569" t="n">
        <v>515000</v>
      </c>
      <c r="I20" s="562" t="n">
        <v>0</v>
      </c>
      <c r="J20" s="570" t="inlineStr">
        <is>
          <t>Số phiên/năm</t>
        </is>
      </c>
      <c r="K20" s="562" t="n">
        <v>252</v>
      </c>
      <c r="L20" s="1050" t="n"/>
      <c r="M20" s="1050" t="n"/>
      <c r="N20" s="1050" t="n"/>
      <c r="O20" s="570" t="inlineStr">
        <is>
          <t>Upside cao nhất</t>
        </is>
      </c>
      <c r="P20" s="559" t="n"/>
      <c r="Q20" s="566" t="inlineStr">
        <is>
          <t>Ngành</t>
        </is>
      </c>
      <c r="R20" s="566" t="inlineStr">
        <is>
          <t>GT hiện tại</t>
        </is>
      </c>
      <c r="S20" s="566" t="inlineStr">
        <is>
          <t>Tỷ trọng</t>
        </is>
      </c>
      <c r="T20" s="566" t="inlineStr">
        <is>
          <t>Nợ</t>
        </is>
      </c>
      <c r="U20" s="566" t="inlineStr">
        <is>
          <t>Lãi/Lỗ</t>
        </is>
      </c>
      <c r="V20" s="566" t="inlineStr">
        <is>
          <t>ESG tốt</t>
        </is>
      </c>
      <c r="W20" s="566" t="inlineStr">
        <is>
          <t>Cảnh báo ngành</t>
        </is>
      </c>
      <c r="X20" s="566" t="n"/>
      <c r="Y20" s="1050" t="n"/>
      <c r="Z20" s="1050" t="n"/>
      <c r="AA20" s="1050" t="n"/>
      <c r="AB20" s="1050" t="n"/>
      <c r="AC20" s="1050" t="n"/>
      <c r="AD20" s="1050" t="n"/>
      <c r="AE20" s="1050" t="n"/>
      <c r="AF20" s="1050" t="n"/>
      <c r="AG20" s="1050" t="n"/>
      <c r="AH20" s="1050" t="n"/>
      <c r="AI20" s="1050" t="n"/>
      <c r="AJ20" s="1050" t="n"/>
      <c r="AK20" s="1050" t="n"/>
      <c r="AL20" s="1050" t="n"/>
      <c r="AM20" s="1050" t="n"/>
      <c r="AN20" s="1050" t="n"/>
      <c r="AO20" s="1050" t="n"/>
      <c r="AP20" s="1050" t="n"/>
      <c r="AQ20" s="1050" t="n"/>
      <c r="AR20" s="1050" t="n"/>
      <c r="AS20" s="1050" t="n"/>
      <c r="AT20" s="1050" t="n"/>
      <c r="AU20" s="1050" t="n"/>
      <c r="AV20" s="1050" t="n"/>
      <c r="AW20" s="1050" t="n"/>
      <c r="AX20" s="1050" t="n"/>
      <c r="AY20" s="1050" t="n"/>
      <c r="AZ20" s="1050" t="n"/>
      <c r="BA20" s="1050" t="n"/>
      <c r="BB20" s="1050" t="n"/>
      <c r="BC20" s="1050" t="n"/>
      <c r="BD20" s="1050" t="n"/>
      <c r="BE20" s="1050" t="n"/>
      <c r="BF20" s="1050" t="n"/>
      <c r="BG20" s="1050" t="n"/>
      <c r="BH20" s="1050" t="n"/>
      <c r="BI20" s="1050" t="n"/>
      <c r="BJ20" s="1050" t="n"/>
      <c r="BK20" s="1050" t="n"/>
      <c r="BL20" s="1050" t="n"/>
      <c r="BM20" s="1050" t="n"/>
      <c r="BN20" s="1050" t="n"/>
      <c r="BO20" s="1050" t="n"/>
      <c r="BP20" s="1050" t="n"/>
      <c r="BQ20" s="1050" t="n"/>
      <c r="BR20" s="1050" t="n"/>
      <c r="BS20" s="1050" t="n"/>
      <c r="BT20" s="1050" t="n"/>
      <c r="BU20" s="1050" t="n"/>
      <c r="BV20" s="1050" t="n"/>
    </row>
    <row r="21" ht="13.5" customHeight="1" s="981">
      <c r="A21" s="1050" t="inlineStr">
        <is>
          <t>AGG</t>
        </is>
      </c>
      <c r="B21" s="1050" t="inlineStr">
        <is>
          <t>BĐS</t>
        </is>
      </c>
      <c r="C21" s="1050" t="inlineStr">
        <is>
          <t>HOSE</t>
        </is>
      </c>
      <c r="D21" s="1050" t="n">
        <v>0.005</v>
      </c>
      <c r="E21" s="573" t="n">
        <v>42</v>
      </c>
      <c r="F21" s="573" t="n">
        <v>9471</v>
      </c>
      <c r="G21" s="574" t="n">
        <v>11950</v>
      </c>
      <c r="H21" s="569" t="n">
        <v>501900</v>
      </c>
      <c r="I21" s="559" t="n">
        <v>0</v>
      </c>
      <c r="J21" s="570" t="inlineStr">
        <is>
          <t>Số tháng/năm</t>
        </is>
      </c>
      <c r="K21" s="562" t="n">
        <v>12</v>
      </c>
      <c r="L21" s="1050" t="n"/>
      <c r="M21" s="1050" t="n"/>
      <c r="N21" s="1050" t="n"/>
      <c r="O21" s="570" t="inlineStr">
        <is>
          <t>% Upside cao nhất</t>
        </is>
      </c>
      <c r="P21" s="562" t="n"/>
      <c r="Q21" s="570" t="n"/>
      <c r="R21" s="1050" t="n"/>
      <c r="S21" s="1050" t="n"/>
      <c r="T21" s="1050" t="n"/>
      <c r="U21" s="1050" t="n"/>
      <c r="V21" s="1050" t="n"/>
      <c r="W21" s="570" t="n"/>
      <c r="X21" s="570" t="n"/>
      <c r="Y21" s="1050" t="n"/>
      <c r="Z21" s="1050" t="n"/>
      <c r="AA21" s="1050" t="n"/>
      <c r="AB21" s="1050" t="n"/>
      <c r="AC21" s="1050" t="n"/>
      <c r="AD21" s="1050" t="n"/>
      <c r="AE21" s="1050" t="n"/>
      <c r="AF21" s="1050" t="n"/>
      <c r="AG21" s="1050" t="n"/>
      <c r="AH21" s="1050" t="n"/>
      <c r="AI21" s="1050" t="n"/>
      <c r="AJ21" s="1050" t="n"/>
      <c r="AK21" s="1050" t="n"/>
      <c r="AL21" s="1050" t="n"/>
      <c r="AM21" s="1050" t="n"/>
      <c r="AN21" s="1050" t="n"/>
      <c r="AO21" s="1050" t="n"/>
      <c r="AP21" s="1050" t="n"/>
      <c r="AQ21" s="1050" t="n"/>
      <c r="AR21" s="1050" t="n"/>
      <c r="AS21" s="1050" t="n"/>
      <c r="AT21" s="1050" t="n"/>
      <c r="AU21" s="1050" t="n"/>
      <c r="AV21" s="1050" t="n"/>
      <c r="AW21" s="1050" t="n"/>
      <c r="AX21" s="1050" t="n"/>
      <c r="AY21" s="1050" t="n"/>
      <c r="AZ21" s="1050" t="n"/>
      <c r="BA21" s="1050" t="n"/>
      <c r="BB21" s="1050" t="n"/>
      <c r="BC21" s="1050" t="n"/>
      <c r="BD21" s="1050" t="n"/>
      <c r="BE21" s="1050" t="n"/>
      <c r="BF21" s="1050" t="n"/>
      <c r="BG21" s="1050" t="n"/>
      <c r="BH21" s="1050" t="n"/>
      <c r="BI21" s="1050" t="n"/>
      <c r="BJ21" s="1050" t="n"/>
      <c r="BK21" s="1050" t="n"/>
      <c r="BL21" s="1050" t="n"/>
      <c r="BM21" s="1050" t="n"/>
      <c r="BN21" s="1050" t="n"/>
      <c r="BO21" s="1050" t="n"/>
      <c r="BP21" s="1050" t="n"/>
      <c r="BQ21" s="1050" t="n"/>
      <c r="BR21" s="1050" t="n"/>
      <c r="BS21" s="1050" t="n"/>
      <c r="BT21" s="1050" t="n"/>
      <c r="BU21" s="1050" t="n"/>
      <c r="BV21" s="1050" t="n"/>
    </row>
    <row r="22" ht="15" customHeight="1" s="981">
      <c r="A22" s="1050" t="inlineStr">
        <is>
          <t>ICT</t>
        </is>
      </c>
      <c r="B22" s="1050" t="inlineStr">
        <is>
          <t>CN viễn thông</t>
        </is>
      </c>
      <c r="C22" s="1050" t="inlineStr">
        <is>
          <t>HOSE</t>
        </is>
      </c>
      <c r="D22" s="1050" t="n">
        <v>0.005</v>
      </c>
      <c r="E22" s="567" t="n">
        <v>29</v>
      </c>
      <c r="F22" s="568" t="n">
        <v>13856</v>
      </c>
      <c r="G22" s="568" t="n">
        <v>17300</v>
      </c>
      <c r="H22" s="569" t="n">
        <v>501700</v>
      </c>
      <c r="I22" s="559" t="n">
        <v>0</v>
      </c>
      <c r="J22" s="570" t="inlineStr">
        <is>
          <t>Tỷ lệ quỹ thiện nguyện</t>
        </is>
      </c>
      <c r="K22" s="562" t="n">
        <v>0.3</v>
      </c>
      <c r="L22" s="1050" t="n"/>
      <c r="M22" s="1050" t="n"/>
      <c r="N22" s="1050" t="n"/>
      <c r="O22" s="570" t="inlineStr">
        <is>
          <t>VaR 1 ngày lớn nhất</t>
        </is>
      </c>
      <c r="P22" s="559" t="n"/>
      <c r="Q22" s="1050" t="n"/>
      <c r="R22" s="1050" t="n"/>
      <c r="S22" s="1050" t="n"/>
      <c r="T22" s="1050" t="n"/>
      <c r="U22" s="1050" t="n"/>
      <c r="V22" s="1050" t="n"/>
      <c r="W22" s="1050" t="n"/>
      <c r="X22" s="1050" t="n"/>
      <c r="Y22" s="1050" t="n"/>
      <c r="Z22" s="1050" t="n"/>
      <c r="AA22" s="1050" t="inlineStr">
        <is>
          <t>f</t>
        </is>
      </c>
      <c r="AB22" s="1050" t="n"/>
      <c r="AC22" s="1050" t="n"/>
      <c r="AD22" s="1050" t="n"/>
      <c r="AE22" s="1050" t="n"/>
      <c r="AF22" s="1050" t="n"/>
      <c r="AG22" s="1050" t="n"/>
      <c r="AH22" s="1050" t="n"/>
      <c r="AI22" s="1050" t="n"/>
      <c r="AJ22" s="1050" t="n"/>
      <c r="AK22" s="1050" t="n"/>
      <c r="AL22" s="1050" t="n"/>
      <c r="AM22" s="1050" t="n"/>
      <c r="AN22" s="1050" t="n"/>
      <c r="AO22" s="1050" t="n"/>
      <c r="AP22" s="1050" t="n"/>
      <c r="AQ22" s="1050" t="n"/>
      <c r="AR22" s="1050" t="n"/>
      <c r="AS22" s="1050" t="n"/>
      <c r="AT22" s="1050" t="n"/>
      <c r="AU22" s="1050" t="n"/>
      <c r="AV22" s="1050" t="n"/>
      <c r="AW22" s="1050" t="n"/>
      <c r="AX22" s="1050" t="n"/>
      <c r="AY22" s="1050" t="n"/>
      <c r="AZ22" s="1050" t="n"/>
      <c r="BA22" s="1050" t="n"/>
      <c r="BB22" s="1050" t="n"/>
      <c r="BC22" s="1050" t="n"/>
      <c r="BD22" s="1050" t="n"/>
      <c r="BE22" s="1050" t="n"/>
      <c r="BF22" s="1050" t="n"/>
      <c r="BG22" s="1050" t="n"/>
      <c r="BH22" s="1050" t="n"/>
      <c r="BI22" s="1050" t="n"/>
      <c r="BJ22" s="1050" t="n"/>
      <c r="BK22" s="1050" t="n"/>
      <c r="BL22" s="1050" t="n"/>
      <c r="BM22" s="1050" t="n"/>
      <c r="BN22" s="1050" t="n"/>
      <c r="BO22" s="1050" t="n"/>
      <c r="BP22" s="1050" t="n"/>
      <c r="BQ22" s="1050" t="n"/>
      <c r="BR22" s="1050" t="n"/>
      <c r="BS22" s="1050" t="n"/>
      <c r="BT22" s="1050" t="n"/>
      <c r="BU22" s="1050" t="n"/>
      <c r="BV22" s="1050" t="n"/>
    </row>
    <row r="23" ht="13.5" customHeight="1" s="981">
      <c r="A23" s="1050" t="inlineStr">
        <is>
          <t>VPD</t>
        </is>
      </c>
      <c r="B23" s="1050" t="inlineStr">
        <is>
          <t>Điện</t>
        </is>
      </c>
      <c r="C23" s="1050" t="inlineStr">
        <is>
          <t>HOSE</t>
        </is>
      </c>
      <c r="D23" s="1050" t="n">
        <v>0.005</v>
      </c>
      <c r="E23" s="567" t="n">
        <v>20</v>
      </c>
      <c r="F23" s="568" t="n">
        <v>22295</v>
      </c>
      <c r="G23" s="568" t="n">
        <v>25400</v>
      </c>
      <c r="H23" s="569" t="n">
        <v>508000</v>
      </c>
      <c r="I23" s="562" t="n">
        <v>0</v>
      </c>
      <c r="J23" s="566" t="inlineStr">
        <is>
          <t>Stress test danh mục</t>
        </is>
      </c>
      <c r="K23" s="566" t="n">
        <v>-0.05</v>
      </c>
      <c r="L23" s="566" t="n">
        <v>-0.1</v>
      </c>
      <c r="M23" s="566" t="n">
        <v>-0.2</v>
      </c>
      <c r="N23" s="566" t="n">
        <v>-0.3</v>
      </c>
      <c r="O23" s="570" t="inlineStr">
        <is>
          <t>Giá trị VaR 1 ngày max</t>
        </is>
      </c>
      <c r="P23" s="562" t="n"/>
      <c r="Q23" s="1050" t="n"/>
      <c r="R23" s="1050" t="n"/>
      <c r="S23" s="1050" t="n"/>
      <c r="T23" s="1050" t="n"/>
      <c r="U23" s="1050" t="n"/>
      <c r="V23" s="1050" t="n"/>
      <c r="W23" s="1050" t="n"/>
      <c r="X23" s="1050" t="n"/>
      <c r="Y23" s="1050" t="n"/>
      <c r="Z23" s="1050" t="n"/>
      <c r="AA23" s="1050" t="n"/>
      <c r="AB23" s="1050" t="n"/>
      <c r="AC23" s="1050" t="n"/>
      <c r="AD23" s="1050" t="n"/>
      <c r="AE23" s="1050" t="n"/>
      <c r="AF23" s="1050" t="n"/>
      <c r="AG23" s="1050" t="n"/>
      <c r="AH23" s="1050" t="n"/>
      <c r="AI23" s="1050" t="n"/>
      <c r="AJ23" s="1050" t="n"/>
      <c r="AK23" s="1050" t="n"/>
      <c r="AL23" s="1050" t="n"/>
      <c r="AM23" s="1050" t="n"/>
      <c r="AN23" s="1050" t="n"/>
      <c r="AO23" s="1050" t="n"/>
      <c r="AP23" s="1050" t="n"/>
      <c r="AQ23" s="1050" t="n"/>
      <c r="AR23" s="1050" t="n"/>
      <c r="AS23" s="1050" t="n"/>
      <c r="AT23" s="1050" t="n"/>
      <c r="AU23" s="1050" t="n"/>
      <c r="AV23" s="1050" t="n"/>
      <c r="AW23" s="1050" t="n"/>
      <c r="AX23" s="1050" t="n"/>
      <c r="AY23" s="1050" t="n"/>
      <c r="AZ23" s="1050" t="n"/>
      <c r="BA23" s="1050" t="n"/>
      <c r="BB23" s="1050" t="n"/>
      <c r="BC23" s="1050" t="n"/>
      <c r="BD23" s="1050" t="n"/>
      <c r="BE23" s="1050" t="n"/>
      <c r="BF23" s="1050" t="n"/>
      <c r="BG23" s="1050" t="n"/>
      <c r="BH23" s="1050" t="n"/>
      <c r="BI23" s="1050" t="n"/>
      <c r="BJ23" s="1050" t="n"/>
      <c r="BK23" s="1050" t="n"/>
      <c r="BL23" s="1050" t="n"/>
      <c r="BM23" s="1050" t="n"/>
      <c r="BN23" s="1050" t="n"/>
      <c r="BO23" s="1050" t="n"/>
      <c r="BP23" s="1050" t="n"/>
      <c r="BQ23" s="1050" t="n"/>
      <c r="BR23" s="1050" t="n"/>
      <c r="BS23" s="1050" t="n"/>
      <c r="BT23" s="1050" t="n"/>
      <c r="BU23" s="1050" t="n"/>
      <c r="BV23" s="1050" t="n"/>
    </row>
    <row r="24" ht="15" customHeight="1" s="981">
      <c r="A24" s="1050" t="inlineStr">
        <is>
          <t>SLS</t>
        </is>
      </c>
      <c r="B24" s="1050" t="inlineStr">
        <is>
          <t>Đường</t>
        </is>
      </c>
      <c r="C24" s="1050" t="inlineStr">
        <is>
          <t>HNX</t>
        </is>
      </c>
      <c r="D24" s="1050" t="n">
        <v>0.005</v>
      </c>
      <c r="E24" s="567" t="n">
        <v>68</v>
      </c>
      <c r="F24" s="568" t="n">
        <v>5963</v>
      </c>
      <c r="G24" s="568" t="n">
        <v>7400</v>
      </c>
      <c r="H24" s="569" t="n">
        <v>503200</v>
      </c>
      <c r="I24" s="562" t="n">
        <v>0</v>
      </c>
      <c r="J24" s="570" t="inlineStr">
        <is>
          <t>Giá trị danh mục</t>
        </is>
      </c>
      <c r="K24" s="562" t="n"/>
      <c r="L24" s="562" t="n"/>
      <c r="M24" s="562" t="n"/>
      <c r="N24" s="562" t="n"/>
      <c r="O24" s="570" t="inlineStr">
        <is>
          <t>Đóng góp beta lớn nhất</t>
        </is>
      </c>
      <c r="P24" s="559" t="n"/>
      <c r="Q24" s="1050" t="n"/>
      <c r="R24" s="1050" t="n"/>
      <c r="S24" s="1050" t="n"/>
      <c r="T24" s="1050" t="n"/>
      <c r="U24" s="1050" t="n"/>
      <c r="V24" s="1050" t="n"/>
      <c r="W24" s="1050" t="n"/>
      <c r="X24" s="1050" t="n"/>
      <c r="Y24" s="1050" t="n"/>
      <c r="Z24" s="1050" t="n"/>
      <c r="AA24" s="1050" t="n"/>
      <c r="AB24" s="1050" t="n"/>
      <c r="AC24" s="1050" t="n"/>
      <c r="AD24" s="1050" t="n"/>
      <c r="AE24" s="1050" t="n"/>
      <c r="AF24" s="1050" t="n"/>
      <c r="AG24" s="1050" t="n"/>
      <c r="AH24" s="1050" t="n"/>
      <c r="AI24" s="1050" t="n"/>
      <c r="AJ24" s="1050" t="n"/>
      <c r="AK24" s="1050" t="n"/>
      <c r="AL24" s="1050" t="n"/>
      <c r="AM24" s="1050" t="n"/>
      <c r="AN24" s="1050" t="n"/>
      <c r="AO24" s="1050" t="n"/>
      <c r="AP24" s="1050" t="n"/>
      <c r="AQ24" s="1050" t="n"/>
      <c r="AR24" s="1050" t="n"/>
      <c r="AS24" s="1050" t="n"/>
      <c r="AT24" s="1050" t="n"/>
      <c r="AU24" s="1050" t="n"/>
      <c r="AV24" s="1050" t="n"/>
      <c r="AW24" s="1050" t="n"/>
      <c r="AX24" s="1050" t="n"/>
      <c r="AY24" s="1050" t="n"/>
      <c r="AZ24" s="1050" t="n"/>
      <c r="BA24" s="1050" t="n"/>
      <c r="BB24" s="1050" t="n"/>
      <c r="BC24" s="1050" t="n"/>
      <c r="BD24" s="1050" t="n"/>
      <c r="BE24" s="1050" t="n"/>
      <c r="BF24" s="1050" t="n"/>
      <c r="BG24" s="1050" t="n"/>
      <c r="BH24" s="1050" t="n"/>
      <c r="BI24" s="1050" t="n"/>
      <c r="BJ24" s="1050" t="n"/>
      <c r="BK24" s="1050" t="n"/>
      <c r="BL24" s="1050" t="n"/>
      <c r="BM24" s="1050" t="n"/>
      <c r="BN24" s="1050" t="n"/>
      <c r="BO24" s="1050" t="n"/>
      <c r="BP24" s="1050" t="n"/>
      <c r="BQ24" s="1050" t="n"/>
      <c r="BR24" s="1050" t="n"/>
      <c r="BS24" s="1050" t="n"/>
      <c r="BT24" s="1050" t="n"/>
      <c r="BU24" s="1050" t="n"/>
      <c r="BV24" s="1050" t="n"/>
    </row>
    <row r="25" ht="13.5" customHeight="1" s="981">
      <c r="A25" s="1050" t="inlineStr">
        <is>
          <t>VFG</t>
        </is>
      </c>
      <c r="B25" s="1050" t="inlineStr">
        <is>
          <t>Nông nghiệp</t>
        </is>
      </c>
      <c r="C25" s="1050" t="inlineStr">
        <is>
          <t>HNX</t>
        </is>
      </c>
      <c r="D25" s="1050" t="n">
        <v>0.005</v>
      </c>
      <c r="E25" s="567" t="n">
        <v>10</v>
      </c>
      <c r="F25" s="568" t="n">
        <v>47722</v>
      </c>
      <c r="G25" s="568" t="n">
        <v>47900</v>
      </c>
      <c r="H25" s="569" t="n">
        <v>479000</v>
      </c>
      <c r="I25" s="559" t="n">
        <v>0</v>
      </c>
      <c r="J25" s="570" t="inlineStr">
        <is>
          <t>Lãi/Lỗ so vốn</t>
        </is>
      </c>
      <c r="K25" s="559" t="n"/>
      <c r="L25" s="559" t="n"/>
      <c r="M25" s="559" t="n"/>
      <c r="N25" s="559" t="n"/>
      <c r="O25" s="570" t="inlineStr">
        <is>
          <t>Beta contribution max</t>
        </is>
      </c>
      <c r="P25" s="562" t="n"/>
      <c r="Q25" s="1050" t="n"/>
      <c r="R25" s="1050" t="n"/>
      <c r="S25" s="1050" t="n"/>
      <c r="T25" s="1050" t="n"/>
      <c r="U25" s="1050" t="n"/>
      <c r="V25" s="1050" t="n"/>
      <c r="W25" s="1050" t="n"/>
      <c r="X25" s="1050" t="n"/>
      <c r="Y25" s="1050" t="n"/>
      <c r="Z25" s="1050" t="n"/>
      <c r="AA25" s="1050" t="n"/>
      <c r="AB25" s="1050" t="n"/>
      <c r="AC25" s="1050" t="n"/>
      <c r="AD25" s="1050" t="n"/>
      <c r="AE25" s="1050" t="n"/>
      <c r="AF25" s="1050" t="n"/>
      <c r="AG25" s="1050" t="n"/>
      <c r="AH25" s="1050" t="n"/>
      <c r="AI25" s="1050" t="n"/>
      <c r="AJ25" s="1050" t="n"/>
      <c r="AK25" s="1050" t="n"/>
      <c r="AL25" s="1050" t="n"/>
      <c r="AM25" s="1050" t="n"/>
      <c r="AN25" s="1050" t="n"/>
      <c r="AO25" s="1050" t="n"/>
      <c r="AP25" s="1050" t="n"/>
      <c r="AQ25" s="1050" t="n"/>
      <c r="AR25" s="1050" t="n"/>
      <c r="AS25" s="1050" t="n"/>
      <c r="AT25" s="1050" t="n"/>
      <c r="AU25" s="1050" t="n"/>
      <c r="AV25" s="1050" t="n"/>
      <c r="AW25" s="1050" t="n"/>
      <c r="AX25" s="1050" t="n"/>
      <c r="AY25" s="1050" t="n"/>
      <c r="AZ25" s="1050" t="n"/>
      <c r="BA25" s="1050" t="n"/>
      <c r="BB25" s="1050" t="n"/>
      <c r="BC25" s="1050" t="n"/>
      <c r="BD25" s="1050" t="n"/>
      <c r="BE25" s="1050" t="n"/>
      <c r="BF25" s="1050" t="n"/>
      <c r="BG25" s="1050" t="n"/>
      <c r="BH25" s="1050" t="n"/>
      <c r="BI25" s="1050" t="n"/>
      <c r="BJ25" s="1050" t="n"/>
      <c r="BK25" s="1050" t="n"/>
      <c r="BL25" s="1050" t="n"/>
      <c r="BM25" s="1050" t="n"/>
      <c r="BN25" s="1050" t="n"/>
      <c r="BO25" s="1050" t="n"/>
      <c r="BP25" s="1050" t="n"/>
      <c r="BQ25" s="1050" t="n"/>
      <c r="BR25" s="1050" t="n"/>
      <c r="BS25" s="1050" t="n"/>
      <c r="BT25" s="1050" t="n"/>
      <c r="BU25" s="1050" t="n"/>
      <c r="BV25" s="1050" t="n"/>
    </row>
    <row r="26" ht="13.5" customHeight="1" s="981">
      <c r="A26" s="1050" t="inlineStr">
        <is>
          <t>DNW</t>
        </is>
      </c>
      <c r="B26" s="1050" t="inlineStr">
        <is>
          <t>Cấp nước</t>
        </is>
      </c>
      <c r="C26" s="1050" t="inlineStr">
        <is>
          <t>HNX</t>
        </is>
      </c>
      <c r="D26" s="1050" t="n">
        <v>0.005</v>
      </c>
      <c r="E26" s="567" t="n">
        <v>77</v>
      </c>
      <c r="F26" s="568" t="n">
        <v>5130</v>
      </c>
      <c r="G26" s="568" t="n">
        <v>6500</v>
      </c>
      <c r="H26" s="569" t="n">
        <v>500500</v>
      </c>
      <c r="I26" s="559" t="n">
        <v>0</v>
      </c>
      <c r="J26" s="570" t="inlineStr">
        <is>
          <t>Tài sản ròng sau nợ</t>
        </is>
      </c>
      <c r="K26" s="559" t="n"/>
      <c r="L26" s="559" t="n"/>
      <c r="M26" s="559" t="n"/>
      <c r="N26" s="559" t="n"/>
      <c r="O26" s="570" t="inlineStr">
        <is>
          <t>Tập trung mã cao nhất</t>
        </is>
      </c>
      <c r="P26" s="559" t="n"/>
      <c r="Q26" s="1050" t="n"/>
      <c r="R26" s="1050" t="n"/>
      <c r="S26" s="1050" t="n"/>
      <c r="T26" s="1050" t="n"/>
      <c r="U26" s="1050" t="n"/>
      <c r="V26" s="1050" t="n"/>
      <c r="W26" s="1050" t="n"/>
      <c r="X26" s="1050" t="n"/>
      <c r="Y26" s="1050" t="n"/>
      <c r="Z26" s="1050" t="n"/>
      <c r="AA26" s="1050" t="n"/>
      <c r="AB26" s="1050" t="n"/>
      <c r="AC26" s="1050" t="n"/>
      <c r="AD26" s="1050" t="n"/>
      <c r="AE26" s="1050" t="n"/>
      <c r="AF26" s="1050" t="n"/>
      <c r="AG26" s="1050" t="n"/>
      <c r="AH26" s="1050" t="n"/>
      <c r="AI26" s="1050" t="n"/>
      <c r="AJ26" s="1050" t="n"/>
      <c r="AK26" s="1050" t="n"/>
      <c r="AL26" s="1050" t="n"/>
      <c r="AM26" s="1050" t="n"/>
      <c r="AN26" s="1050" t="n"/>
      <c r="AO26" s="1050" t="n"/>
      <c r="AP26" s="1050" t="n"/>
      <c r="AQ26" s="1050" t="n"/>
      <c r="AR26" s="1050" t="n"/>
      <c r="AS26" s="1050" t="n"/>
      <c r="AT26" s="1050" t="n"/>
      <c r="AU26" s="1050" t="n"/>
      <c r="AV26" s="1050" t="n"/>
      <c r="AW26" s="1050" t="n"/>
      <c r="AX26" s="1050" t="n"/>
      <c r="AY26" s="1050" t="n"/>
      <c r="AZ26" s="1050" t="n"/>
      <c r="BA26" s="1050" t="n"/>
      <c r="BB26" s="1050" t="n"/>
      <c r="BC26" s="1050" t="n"/>
      <c r="BD26" s="1050" t="n"/>
      <c r="BE26" s="1050" t="n"/>
      <c r="BF26" s="1050" t="n"/>
      <c r="BG26" s="1050" t="n"/>
      <c r="BH26" s="1050" t="n"/>
      <c r="BI26" s="1050" t="n"/>
      <c r="BJ26" s="1050" t="n"/>
      <c r="BK26" s="1050" t="n"/>
      <c r="BL26" s="1050" t="n"/>
      <c r="BM26" s="1050" t="n"/>
      <c r="BN26" s="1050" t="n"/>
      <c r="BO26" s="1050" t="n"/>
      <c r="BP26" s="1050" t="n"/>
      <c r="BQ26" s="1050" t="n"/>
      <c r="BR26" s="1050" t="n"/>
      <c r="BS26" s="1050" t="n"/>
      <c r="BT26" s="1050" t="n"/>
      <c r="BU26" s="1050" t="n"/>
      <c r="BV26" s="1050" t="n"/>
    </row>
    <row r="27" ht="13.5" customHeight="1" s="981">
      <c r="A27" s="1050" t="inlineStr">
        <is>
          <t>POW</t>
        </is>
      </c>
      <c r="B27" s="1050" t="inlineStr">
        <is>
          <t>Điện</t>
        </is>
      </c>
      <c r="C27" s="1050" t="inlineStr">
        <is>
          <t>HOSE</t>
        </is>
      </c>
      <c r="D27" s="1050" t="n">
        <v>0.005</v>
      </c>
      <c r="E27" s="567" t="n">
        <v>36</v>
      </c>
      <c r="F27" s="568" t="n">
        <v>12585</v>
      </c>
      <c r="G27" s="568" t="n">
        <v>13850</v>
      </c>
      <c r="H27" s="569" t="n">
        <v>498600</v>
      </c>
      <c r="I27" s="562" t="n">
        <v>0</v>
      </c>
      <c r="J27" s="570" t="inlineStr">
        <is>
          <t>Tỷ lệ nợ/GT</t>
        </is>
      </c>
      <c r="K27" s="559" t="n"/>
      <c r="L27" s="559" t="n"/>
      <c r="M27" s="559" t="n"/>
      <c r="N27" s="559" t="n"/>
      <c r="O27" s="570" t="inlineStr">
        <is>
          <t>Tỷ trọng mã cao nhất</t>
        </is>
      </c>
      <c r="P27" s="559" t="n"/>
      <c r="Q27" s="1050" t="n"/>
      <c r="R27" s="1050" t="n"/>
      <c r="S27" s="1050" t="n"/>
      <c r="T27" s="1050" t="n"/>
      <c r="U27" s="1050" t="n"/>
      <c r="V27" s="1050" t="n"/>
      <c r="W27" s="1050" t="n"/>
      <c r="X27" s="1050" t="n"/>
      <c r="Y27" s="1050" t="n"/>
      <c r="Z27" s="1050" t="n"/>
      <c r="AA27" s="1050" t="n"/>
      <c r="AB27" s="1050" t="n"/>
      <c r="AC27" s="1050" t="n"/>
      <c r="AD27" s="1050" t="n"/>
      <c r="AE27" s="1050" t="n"/>
      <c r="AF27" s="1050" t="n"/>
      <c r="AG27" s="1050" t="n"/>
      <c r="AH27" s="1050" t="n"/>
      <c r="AI27" s="1050" t="n"/>
      <c r="AJ27" s="1050" t="n"/>
      <c r="AK27" s="1050" t="n"/>
      <c r="AL27" s="1050" t="n"/>
      <c r="AM27" s="1050" t="n"/>
      <c r="AN27" s="1050" t="n"/>
      <c r="AO27" s="1050" t="n"/>
      <c r="AP27" s="1050" t="n"/>
      <c r="AQ27" s="1050" t="n"/>
      <c r="AR27" s="1050" t="n"/>
      <c r="AS27" s="1050" t="n"/>
      <c r="AT27" s="1050" t="n"/>
      <c r="AU27" s="1050" t="n"/>
      <c r="AV27" s="1050" t="n"/>
      <c r="AW27" s="1050" t="n"/>
      <c r="AX27" s="1050" t="n"/>
      <c r="AY27" s="1050" t="n"/>
      <c r="AZ27" s="1050" t="n"/>
      <c r="BA27" s="1050" t="n"/>
      <c r="BB27" s="1050" t="n"/>
      <c r="BC27" s="1050" t="n"/>
      <c r="BD27" s="1050" t="n"/>
      <c r="BE27" s="1050" t="n"/>
      <c r="BF27" s="1050" t="n"/>
      <c r="BG27" s="1050" t="n"/>
      <c r="BH27" s="1050" t="n"/>
      <c r="BI27" s="1050" t="n"/>
      <c r="BJ27" s="1050" t="n"/>
      <c r="BK27" s="1050" t="n"/>
      <c r="BL27" s="1050" t="n"/>
      <c r="BM27" s="1050" t="n"/>
      <c r="BN27" s="1050" t="n"/>
      <c r="BO27" s="1050" t="n"/>
      <c r="BP27" s="1050" t="n"/>
      <c r="BQ27" s="1050" t="n"/>
      <c r="BR27" s="1050" t="n"/>
      <c r="BS27" s="1050" t="n"/>
      <c r="BT27" s="1050" t="n"/>
      <c r="BU27" s="1050" t="n"/>
      <c r="BV27" s="1050" t="n"/>
    </row>
    <row r="28" ht="13.5" customHeight="1" s="981">
      <c r="A28" s="1050" t="inlineStr">
        <is>
          <t>NKG</t>
        </is>
      </c>
      <c r="B28" s="1050" t="inlineStr">
        <is>
          <t>Thép</t>
        </is>
      </c>
      <c r="C28" s="1050" t="inlineStr">
        <is>
          <t>HOSE</t>
        </is>
      </c>
      <c r="D28" s="1050" t="n">
        <v>0.005</v>
      </c>
      <c r="E28" s="567" t="n">
        <v>36</v>
      </c>
      <c r="F28" s="568" t="n">
        <v>11778</v>
      </c>
      <c r="G28" s="568" t="n">
        <v>13700</v>
      </c>
      <c r="H28" s="569" t="n">
        <v>493200</v>
      </c>
      <c r="I28" s="562" t="n">
        <v>0</v>
      </c>
      <c r="J28" s="570" t="inlineStr">
        <is>
          <t>Số mã vượt ngưỡng gọi KQ</t>
        </is>
      </c>
      <c r="K28" s="562" t="n"/>
      <c r="L28" s="562" t="n"/>
      <c r="M28" s="562" t="n"/>
      <c r="N28" s="562" t="n"/>
      <c r="O28" s="570" t="inlineStr">
        <is>
          <t>Cổ tức/giá vốn cao nhất</t>
        </is>
      </c>
      <c r="P28" s="559" t="n"/>
      <c r="Q28" s="1050" t="n"/>
      <c r="R28" s="1050" t="n"/>
      <c r="S28" s="1050" t="n"/>
      <c r="T28" s="1050" t="n"/>
      <c r="U28" s="1050" t="n"/>
      <c r="V28" s="1050" t="n"/>
      <c r="W28" s="1050" t="n"/>
      <c r="X28" s="1050" t="n"/>
      <c r="Y28" s="1050" t="n"/>
      <c r="Z28" s="1050" t="n"/>
      <c r="AA28" s="1050" t="n"/>
      <c r="AB28" s="1050" t="n"/>
      <c r="AC28" s="1050" t="n"/>
      <c r="AD28" s="1050" t="n"/>
      <c r="AE28" s="1050" t="n"/>
      <c r="AF28" s="1050" t="n"/>
      <c r="AG28" s="1050" t="n"/>
      <c r="AH28" s="1050" t="n"/>
      <c r="AI28" s="1050" t="n"/>
      <c r="AJ28" s="1050" t="n"/>
      <c r="AK28" s="1050" t="n"/>
      <c r="AL28" s="1050" t="n"/>
      <c r="AM28" s="1050" t="n"/>
      <c r="AN28" s="1050" t="n"/>
      <c r="AO28" s="1050" t="n"/>
      <c r="AP28" s="1050" t="n"/>
      <c r="AQ28" s="1050" t="n"/>
      <c r="AR28" s="1050" t="n"/>
      <c r="AS28" s="1050" t="n"/>
      <c r="AT28" s="1050" t="n"/>
      <c r="AU28" s="1050" t="n"/>
      <c r="AV28" s="1050" t="n"/>
      <c r="AW28" s="1050" t="n"/>
      <c r="AX28" s="1050" t="n"/>
      <c r="AY28" s="1050" t="n"/>
      <c r="AZ28" s="1050" t="n"/>
      <c r="BA28" s="1050" t="n"/>
      <c r="BB28" s="1050" t="n"/>
      <c r="BC28" s="1050" t="n"/>
      <c r="BD28" s="1050" t="n"/>
      <c r="BE28" s="1050" t="n"/>
      <c r="BF28" s="1050" t="n"/>
      <c r="BG28" s="1050" t="n"/>
      <c r="BH28" s="1050" t="n"/>
      <c r="BI28" s="1050" t="n"/>
      <c r="BJ28" s="1050" t="n"/>
      <c r="BK28" s="1050" t="n"/>
      <c r="BL28" s="1050" t="n"/>
      <c r="BM28" s="1050" t="n"/>
      <c r="BN28" s="1050" t="n"/>
      <c r="BO28" s="1050" t="n"/>
      <c r="BP28" s="1050" t="n"/>
      <c r="BQ28" s="1050" t="n"/>
      <c r="BR28" s="1050" t="n"/>
      <c r="BS28" s="1050" t="n"/>
      <c r="BT28" s="1050" t="n"/>
      <c r="BU28" s="1050" t="n"/>
      <c r="BV28" s="1050" t="n"/>
    </row>
    <row r="29" ht="13.5" customHeight="1" s="981">
      <c r="A29" s="1050" t="inlineStr">
        <is>
          <t>PVS</t>
        </is>
      </c>
      <c r="B29" s="1050" t="inlineStr">
        <is>
          <t>Dầu khí</t>
        </is>
      </c>
      <c r="C29" s="1050" t="inlineStr">
        <is>
          <t>HNX</t>
        </is>
      </c>
      <c r="D29" s="1050" t="n">
        <v>0.005</v>
      </c>
      <c r="E29" s="567" t="n">
        <v>13</v>
      </c>
      <c r="F29" s="568" t="n">
        <v>38100</v>
      </c>
      <c r="G29" s="568" t="n">
        <v>38700</v>
      </c>
      <c r="H29" s="569" t="n">
        <v>503100</v>
      </c>
      <c r="I29" s="559" t="n">
        <v>0</v>
      </c>
      <c r="J29" s="570" t="inlineStr">
        <is>
          <t>Beta danh mục</t>
        </is>
      </c>
      <c r="K29" s="562" t="n"/>
      <c r="L29" s="562" t="n"/>
      <c r="M29" s="562" t="n"/>
      <c r="N29" s="562" t="n"/>
      <c r="O29" s="570" t="inlineStr">
        <is>
          <t>Yield cổ tức cao nhất</t>
        </is>
      </c>
      <c r="P29" s="562" t="n"/>
      <c r="Q29" s="1050" t="n"/>
      <c r="R29" s="1050" t="n"/>
      <c r="S29" s="1050" t="n"/>
      <c r="T29" s="1050" t="n"/>
      <c r="U29" s="1050" t="n"/>
      <c r="V29" s="1050" t="n"/>
      <c r="W29" s="1050" t="n"/>
      <c r="X29" s="1050" t="n"/>
      <c r="Y29" s="1050" t="n"/>
      <c r="Z29" s="1050" t="n"/>
      <c r="AA29" s="1050" t="n"/>
      <c r="AB29" s="1050" t="n"/>
      <c r="AC29" s="1050" t="n"/>
      <c r="AD29" s="1050" t="n"/>
      <c r="AE29" s="1050" t="n"/>
      <c r="AF29" s="1050" t="n"/>
      <c r="AG29" s="1050" t="n"/>
      <c r="AH29" s="1050" t="n"/>
      <c r="AI29" s="1050" t="n"/>
      <c r="AJ29" s="1050" t="n"/>
      <c r="AK29" s="1050" t="n"/>
      <c r="AL29" s="1050" t="n"/>
      <c r="AM29" s="1050" t="n"/>
      <c r="AN29" s="1050" t="n"/>
      <c r="AO29" s="1050" t="n"/>
      <c r="AP29" s="1050" t="n"/>
      <c r="AQ29" s="1050" t="n"/>
      <c r="AR29" s="1050" t="n"/>
      <c r="AS29" s="1050" t="n"/>
      <c r="AT29" s="1050" t="n"/>
      <c r="AU29" s="1050" t="n"/>
      <c r="AV29" s="1050" t="n"/>
      <c r="AW29" s="1050" t="n"/>
      <c r="AX29" s="1050" t="n"/>
      <c r="AY29" s="1050" t="n"/>
      <c r="AZ29" s="1050" t="n"/>
      <c r="BA29" s="1050" t="n"/>
      <c r="BB29" s="1050" t="n"/>
      <c r="BC29" s="1050" t="n"/>
      <c r="BD29" s="1050" t="n"/>
      <c r="BE29" s="1050" t="n"/>
      <c r="BF29" s="1050" t="n"/>
      <c r="BG29" s="1050" t="n"/>
      <c r="BH29" s="1050" t="n"/>
      <c r="BI29" s="1050" t="n"/>
      <c r="BJ29" s="1050" t="n"/>
      <c r="BK29" s="1050" t="n"/>
      <c r="BL29" s="1050" t="n"/>
      <c r="BM29" s="1050" t="n"/>
      <c r="BN29" s="1050" t="n"/>
      <c r="BO29" s="1050" t="n"/>
      <c r="BP29" s="1050" t="n"/>
      <c r="BQ29" s="1050" t="n"/>
      <c r="BR29" s="1050" t="n"/>
      <c r="BS29" s="1050" t="n"/>
      <c r="BT29" s="1050" t="n"/>
      <c r="BU29" s="1050" t="n"/>
      <c r="BV29" s="1050" t="n"/>
    </row>
    <row r="30" ht="13.5" customHeight="1" s="981">
      <c r="A30" s="1050" t="inlineStr">
        <is>
          <t>ABB</t>
        </is>
      </c>
      <c r="B30" s="1050" t="inlineStr">
        <is>
          <t>Ngân hàng</t>
        </is>
      </c>
      <c r="C30" s="1050" t="inlineStr">
        <is>
          <t>HOSE</t>
        </is>
      </c>
      <c r="D30" s="1050" t="n">
        <v>0.005</v>
      </c>
      <c r="E30" s="573" t="n">
        <v>41</v>
      </c>
      <c r="F30" s="573" t="n">
        <v>9983</v>
      </c>
      <c r="G30" s="1050" t="n">
        <v>12200</v>
      </c>
      <c r="H30" s="569" t="n">
        <v>500200</v>
      </c>
      <c r="I30" s="562" t="n">
        <v>0</v>
      </c>
      <c r="J30" s="570" t="inlineStr">
        <is>
          <t>Điểm cơ hội TB</t>
        </is>
      </c>
      <c r="K30" s="562" t="n"/>
      <c r="L30" s="562" t="n"/>
      <c r="M30" s="562" t="n"/>
      <c r="N30" s="562" t="n"/>
      <c r="O30" s="570" t="inlineStr">
        <is>
          <t>Số tín hiệu tiêu cực</t>
        </is>
      </c>
      <c r="P30" s="562" t="n"/>
      <c r="Q30" s="1050" t="n"/>
      <c r="R30" s="1050" t="n"/>
      <c r="S30" s="1050" t="n"/>
      <c r="T30" s="1050" t="n"/>
      <c r="U30" s="1050" t="n"/>
      <c r="V30" s="1050" t="n"/>
      <c r="W30" s="1050" t="n"/>
      <c r="X30" s="1050" t="n"/>
      <c r="Y30" s="1050" t="n"/>
      <c r="Z30" s="1050" t="n"/>
      <c r="AA30" s="1050" t="n"/>
      <c r="AB30" s="1050" t="n"/>
      <c r="AC30" s="1050" t="n"/>
      <c r="AD30" s="1050" t="n"/>
      <c r="AE30" s="1050" t="n"/>
      <c r="AF30" s="1050" t="n"/>
      <c r="AG30" s="1050" t="n"/>
      <c r="AH30" s="1050" t="n"/>
      <c r="AI30" s="1050" t="n"/>
      <c r="AJ30" s="1050" t="n"/>
      <c r="AK30" s="1050" t="n"/>
      <c r="AL30" s="1050" t="n"/>
      <c r="AM30" s="1050" t="n"/>
      <c r="AN30" s="1050" t="n"/>
      <c r="AO30" s="1050" t="n"/>
      <c r="AP30" s="1050" t="n"/>
      <c r="AQ30" s="1050" t="n"/>
      <c r="AR30" s="1050" t="n"/>
      <c r="AS30" s="1050" t="n"/>
      <c r="AT30" s="1050" t="n"/>
      <c r="AU30" s="1050" t="n"/>
      <c r="AV30" s="1050" t="n"/>
      <c r="AW30" s="1050" t="n"/>
      <c r="AX30" s="1050" t="n"/>
      <c r="AY30" s="1050" t="n"/>
      <c r="AZ30" s="1050" t="n"/>
      <c r="BA30" s="1050" t="n"/>
      <c r="BB30" s="1050" t="n"/>
      <c r="BC30" s="1050" t="n"/>
      <c r="BD30" s="1050" t="n"/>
      <c r="BE30" s="1050" t="n"/>
      <c r="BF30" s="1050" t="n"/>
      <c r="BG30" s="1050" t="n"/>
      <c r="BH30" s="1050" t="n"/>
      <c r="BI30" s="1050" t="n"/>
      <c r="BJ30" s="1050" t="n"/>
      <c r="BK30" s="1050" t="n"/>
      <c r="BL30" s="1050" t="n"/>
      <c r="BM30" s="1050" t="n"/>
      <c r="BN30" s="1050" t="n"/>
      <c r="BO30" s="1050" t="n"/>
      <c r="BP30" s="1050" t="n"/>
      <c r="BQ30" s="1050" t="n"/>
      <c r="BR30" s="1050" t="n"/>
      <c r="BS30" s="1050" t="n"/>
      <c r="BT30" s="1050" t="n"/>
      <c r="BU30" s="1050" t="n"/>
      <c r="BV30" s="1050" t="n"/>
    </row>
    <row r="31" ht="13.5" customHeight="1" s="981">
      <c r="A31" s="1050" t="inlineStr">
        <is>
          <t>HDB</t>
        </is>
      </c>
      <c r="B31" s="1050" t="inlineStr">
        <is>
          <t>Ngân hàng</t>
        </is>
      </c>
      <c r="C31" s="1050" t="inlineStr">
        <is>
          <t>HOSE</t>
        </is>
      </c>
      <c r="D31" s="1050" t="n">
        <v>0.005</v>
      </c>
      <c r="E31" s="568" t="n">
        <v>19</v>
      </c>
      <c r="F31" s="568" t="n">
        <v>22255</v>
      </c>
      <c r="G31" s="1050" t="n">
        <v>25850</v>
      </c>
      <c r="H31" s="569" t="n">
        <v>491150</v>
      </c>
      <c r="I31" s="562" t="n">
        <v>0</v>
      </c>
      <c r="J31" s="570" t="inlineStr">
        <is>
          <t>Điểm rủi ro TB</t>
        </is>
      </c>
      <c r="K31" s="562" t="n"/>
      <c r="L31" s="562" t="n"/>
      <c r="M31" s="562" t="n"/>
      <c r="N31" s="562" t="n"/>
      <c r="O31" s="570" t="inlineStr">
        <is>
          <t>Hành động tổng thể sâu</t>
        </is>
      </c>
      <c r="P31" s="562" t="n"/>
      <c r="Q31" s="1050" t="n"/>
      <c r="R31" s="1050" t="n"/>
      <c r="S31" s="1050" t="n"/>
      <c r="T31" s="1050" t="n"/>
      <c r="U31" s="1050" t="n"/>
      <c r="V31" s="1050" t="n"/>
      <c r="W31" s="1050" t="n"/>
      <c r="X31" s="1050" t="n"/>
      <c r="Y31" s="1050" t="n"/>
      <c r="Z31" s="1050" t="n"/>
      <c r="AA31" s="1050" t="n"/>
      <c r="AB31" s="1050" t="n"/>
      <c r="AC31" s="1050" t="n"/>
      <c r="AD31" s="1050" t="n"/>
      <c r="AE31" s="1050" t="n"/>
      <c r="AF31" s="1050" t="n"/>
      <c r="AG31" s="1050" t="n"/>
      <c r="AH31" s="1050" t="n"/>
      <c r="AI31" s="1050" t="n"/>
      <c r="AJ31" s="1050" t="n"/>
      <c r="AK31" s="1050" t="n"/>
      <c r="AL31" s="1050" t="n"/>
      <c r="AM31" s="1050" t="n"/>
      <c r="AN31" s="1050" t="n"/>
      <c r="AO31" s="1050" t="n"/>
      <c r="AP31" s="1050" t="n"/>
      <c r="AQ31" s="1050" t="n"/>
      <c r="AR31" s="1050" t="n"/>
      <c r="AS31" s="1050" t="n"/>
      <c r="AT31" s="1050" t="n"/>
      <c r="AU31" s="1050" t="n"/>
      <c r="AV31" s="1050" t="n"/>
      <c r="AW31" s="1050" t="n"/>
      <c r="AX31" s="1050" t="n"/>
      <c r="AY31" s="1050" t="n"/>
      <c r="AZ31" s="1050" t="n"/>
      <c r="BA31" s="1050" t="n"/>
      <c r="BB31" s="1050" t="n"/>
      <c r="BC31" s="1050" t="n"/>
      <c r="BD31" s="1050" t="n"/>
      <c r="BE31" s="1050" t="n"/>
      <c r="BF31" s="1050" t="n"/>
      <c r="BG31" s="1050" t="n"/>
      <c r="BH31" s="1050" t="n"/>
      <c r="BI31" s="1050" t="n"/>
      <c r="BJ31" s="1050" t="n"/>
      <c r="BK31" s="1050" t="n"/>
      <c r="BL31" s="1050" t="n"/>
      <c r="BM31" s="1050" t="n"/>
      <c r="BN31" s="1050" t="n"/>
      <c r="BO31" s="1050" t="n"/>
      <c r="BP31" s="1050" t="n"/>
      <c r="BQ31" s="1050" t="n"/>
      <c r="BR31" s="1050" t="n"/>
      <c r="BS31" s="1050" t="n"/>
      <c r="BT31" s="1050" t="n"/>
      <c r="BU31" s="1050" t="n"/>
      <c r="BV31" s="1050" t="n"/>
    </row>
    <row r="32" ht="13.5" customHeight="1" s="981">
      <c r="A32" s="1050" t="inlineStr">
        <is>
          <t>BMP</t>
        </is>
      </c>
      <c r="B32" s="1050" t="inlineStr">
        <is>
          <t>Nhựa</t>
        </is>
      </c>
      <c r="C32" s="1050" t="inlineStr">
        <is>
          <t>HOSE</t>
        </is>
      </c>
      <c r="D32" s="1050" t="n">
        <v>0.005</v>
      </c>
      <c r="E32" s="568" t="n">
        <v>4</v>
      </c>
      <c r="F32" s="568" t="n">
        <v>118695</v>
      </c>
      <c r="G32" s="1050" t="n">
        <v>138000</v>
      </c>
      <c r="H32" s="569" t="n">
        <v>552000</v>
      </c>
      <c r="I32" s="562" t="n">
        <v>0</v>
      </c>
      <c r="J32" s="1050" t="n"/>
      <c r="K32" s="1050" t="n"/>
      <c r="L32" s="1050" t="n"/>
      <c r="M32" s="1050" t="n"/>
      <c r="N32" s="1050" t="n"/>
      <c r="O32" s="570" t="inlineStr">
        <is>
          <t>Ngày phân tích sâu</t>
        </is>
      </c>
      <c r="P32" s="562" t="n"/>
      <c r="Q32" s="1050" t="n"/>
      <c r="R32" s="1050" t="n"/>
      <c r="S32" s="1050" t="n"/>
      <c r="T32" s="1050" t="n"/>
      <c r="U32" s="1050" t="n"/>
      <c r="V32" s="1050" t="n"/>
      <c r="W32" s="1050" t="n"/>
      <c r="X32" s="1050" t="n"/>
      <c r="Y32" s="1050" t="n"/>
      <c r="Z32" s="1050" t="n"/>
      <c r="AA32" s="1050" t="n"/>
      <c r="AB32" s="1050" t="n"/>
      <c r="AC32" s="1050" t="n"/>
      <c r="AD32" s="1050" t="n"/>
      <c r="AE32" s="1050" t="n"/>
      <c r="AF32" s="1050" t="n"/>
      <c r="AG32" s="1050" t="n"/>
      <c r="AH32" s="1050" t="n"/>
      <c r="AI32" s="1050" t="n"/>
      <c r="AJ32" s="1050" t="n"/>
      <c r="AK32" s="1050" t="n"/>
      <c r="AL32" s="1050" t="n"/>
      <c r="AM32" s="1050" t="n"/>
      <c r="AN32" s="1050" t="n"/>
      <c r="AO32" s="1050" t="n"/>
      <c r="AP32" s="1050" t="n"/>
      <c r="AQ32" s="1050" t="n"/>
      <c r="AR32" s="1050" t="n"/>
      <c r="AS32" s="1050" t="n"/>
      <c r="AT32" s="1050" t="n"/>
      <c r="AU32" s="1050" t="n"/>
      <c r="AV32" s="1050" t="n"/>
      <c r="AW32" s="1050" t="n"/>
      <c r="AX32" s="1050" t="n"/>
      <c r="AY32" s="1050" t="n"/>
      <c r="AZ32" s="1050" t="n"/>
      <c r="BA32" s="1050" t="n"/>
      <c r="BB32" s="1050" t="n"/>
      <c r="BC32" s="1050" t="n"/>
      <c r="BD32" s="1050" t="n"/>
      <c r="BE32" s="1050" t="n"/>
      <c r="BF32" s="1050" t="n"/>
      <c r="BG32" s="1050" t="n"/>
      <c r="BH32" s="1050" t="n"/>
      <c r="BI32" s="1050" t="n"/>
      <c r="BJ32" s="1050" t="n"/>
      <c r="BK32" s="1050" t="n"/>
      <c r="BL32" s="1050" t="n"/>
      <c r="BM32" s="1050" t="n"/>
      <c r="BN32" s="1050" t="n"/>
      <c r="BO32" s="1050" t="n"/>
      <c r="BP32" s="1050" t="n"/>
      <c r="BQ32" s="1050" t="n"/>
      <c r="BR32" s="1050" t="n"/>
      <c r="BS32" s="1050" t="n"/>
      <c r="BT32" s="1050" t="n"/>
      <c r="BU32" s="1050" t="n"/>
      <c r="BV32" s="1050" t="n"/>
    </row>
    <row r="33" ht="13.5" customHeight="1" s="981">
      <c r="A33" s="1050" t="inlineStr">
        <is>
          <t>OIL</t>
        </is>
      </c>
      <c r="B33" s="1050" t="inlineStr">
        <is>
          <t>Dầu khí</t>
        </is>
      </c>
      <c r="C33" s="1050" t="inlineStr">
        <is>
          <t>UPCoM</t>
        </is>
      </c>
      <c r="D33" s="1050" t="n">
        <v>0.005</v>
      </c>
      <c r="E33" s="568" t="n">
        <v>34</v>
      </c>
      <c r="F33" s="568" t="n">
        <v>12331</v>
      </c>
      <c r="G33" s="1050" t="n">
        <v>14700</v>
      </c>
      <c r="H33" s="1050" t="n">
        <v>499800</v>
      </c>
      <c r="I33" s="1050" t="n">
        <v>0</v>
      </c>
      <c r="J33" s="1050" t="n"/>
      <c r="K33" s="1050" t="n"/>
      <c r="L33" s="1050" t="n"/>
      <c r="M33" s="1050" t="n"/>
      <c r="N33" s="1050" t="n"/>
      <c r="O33" s="1050" t="n"/>
      <c r="P33" s="1050" t="n"/>
      <c r="Q33" s="1050" t="n"/>
      <c r="R33" s="1050" t="n"/>
      <c r="S33" s="1050" t="n"/>
      <c r="T33" s="1050" t="n"/>
      <c r="U33" s="1050" t="n"/>
      <c r="V33" s="1050" t="n"/>
      <c r="W33" s="1050" t="n"/>
      <c r="X33" s="1050" t="n"/>
      <c r="Y33" s="1050" t="n"/>
      <c r="Z33" s="1050" t="n"/>
      <c r="AA33" s="1050" t="n"/>
      <c r="AB33" s="1050" t="n"/>
      <c r="AC33" s="1050" t="n"/>
      <c r="AD33" s="1050" t="n"/>
      <c r="AE33" s="1050" t="n"/>
      <c r="AF33" s="1050" t="n"/>
      <c r="AG33" s="1050" t="n"/>
      <c r="AH33" s="1050" t="n"/>
      <c r="AI33" s="1050" t="n"/>
      <c r="AJ33" s="1050" t="n"/>
      <c r="AK33" s="1050" t="n"/>
      <c r="AL33" s="1050" t="n"/>
      <c r="AM33" s="1050" t="n"/>
      <c r="AN33" s="1050" t="n"/>
      <c r="AO33" s="1050" t="n"/>
      <c r="AP33" s="1050" t="n"/>
      <c r="AQ33" s="1050" t="n"/>
      <c r="AR33" s="1050" t="n"/>
      <c r="AS33" s="1050" t="n"/>
      <c r="AT33" s="1050" t="n"/>
      <c r="AU33" s="1050" t="n"/>
      <c r="AV33" s="1050" t="n"/>
      <c r="AW33" s="1050" t="n"/>
      <c r="AX33" s="1050" t="n"/>
      <c r="AY33" s="1050" t="n"/>
      <c r="AZ33" s="1050" t="n"/>
      <c r="BA33" s="1050" t="n"/>
      <c r="BB33" s="1050" t="n"/>
      <c r="BC33" s="1050" t="n"/>
      <c r="BD33" s="1050" t="n"/>
      <c r="BE33" s="1050" t="n"/>
      <c r="BF33" s="1050" t="n"/>
      <c r="BG33" s="1050" t="n"/>
      <c r="BH33" s="1050" t="n"/>
      <c r="BI33" s="1050" t="n"/>
      <c r="BJ33" s="1050" t="n"/>
      <c r="BK33" s="1050" t="n"/>
      <c r="BL33" s="1050" t="n"/>
      <c r="BM33" s="1050" t="n"/>
      <c r="BN33" s="1050" t="n"/>
      <c r="BO33" s="1050" t="n"/>
      <c r="BP33" s="1050" t="n"/>
      <c r="BQ33" s="1050" t="n"/>
      <c r="BR33" s="1050" t="n"/>
      <c r="BS33" s="1050" t="n"/>
      <c r="BT33" s="1050" t="n"/>
      <c r="BU33" s="1050" t="n"/>
      <c r="BV33" s="1050" t="n"/>
    </row>
    <row r="34" ht="13.5" customHeight="1" s="981">
      <c r="A34" s="1050" t="inlineStr">
        <is>
          <t>NVL</t>
        </is>
      </c>
      <c r="B34" s="1050" t="inlineStr">
        <is>
          <t>Bất động sản</t>
        </is>
      </c>
      <c r="C34" s="1050" t="inlineStr">
        <is>
          <t>HOSE</t>
        </is>
      </c>
      <c r="D34" s="1050" t="n">
        <v>0.005</v>
      </c>
      <c r="E34" s="568" t="n">
        <v>33</v>
      </c>
      <c r="F34" s="568" t="n">
        <v>11745</v>
      </c>
      <c r="G34" s="1050" t="n">
        <v>15050</v>
      </c>
      <c r="H34" s="1050" t="n">
        <v>496650</v>
      </c>
      <c r="I34" s="1050" t="n">
        <v>0</v>
      </c>
      <c r="J34" s="1050" t="n"/>
      <c r="K34" s="1050" t="n"/>
      <c r="L34" s="1050" t="n"/>
      <c r="M34" s="1050" t="n"/>
      <c r="N34" s="1050" t="n"/>
      <c r="O34" s="1050" t="n"/>
      <c r="P34" s="1050" t="n"/>
      <c r="Q34" s="1050" t="n"/>
      <c r="R34" s="1050" t="n"/>
      <c r="S34" s="1050" t="n"/>
      <c r="T34" s="1050" t="n"/>
      <c r="U34" s="1050" t="n"/>
      <c r="V34" s="1050" t="n"/>
      <c r="W34" s="1050" t="n"/>
      <c r="X34" s="1050" t="n"/>
      <c r="Y34" s="1050" t="n"/>
      <c r="Z34" s="1050" t="n"/>
      <c r="AA34" s="1050" t="n"/>
      <c r="AB34" s="1050" t="n"/>
      <c r="AC34" s="1050" t="n"/>
      <c r="AD34" s="1050" t="n"/>
      <c r="AE34" s="1050" t="n"/>
      <c r="AF34" s="1050" t="n"/>
      <c r="AG34" s="1050" t="n"/>
      <c r="AH34" s="1050" t="n"/>
      <c r="AI34" s="1050" t="n"/>
      <c r="AJ34" s="1050" t="n"/>
      <c r="AK34" s="1050" t="n"/>
      <c r="AL34" s="1050" t="n"/>
      <c r="AM34" s="1050" t="n"/>
      <c r="AN34" s="1050" t="n"/>
      <c r="AO34" s="1050" t="n"/>
      <c r="AP34" s="1050" t="n"/>
      <c r="AQ34" s="1050" t="n"/>
      <c r="AR34" s="1050" t="n"/>
      <c r="AS34" s="1050" t="n"/>
      <c r="AT34" s="1050" t="n"/>
      <c r="AU34" s="1050" t="n"/>
      <c r="AV34" s="1050" t="n"/>
      <c r="AW34" s="1050" t="n"/>
      <c r="AX34" s="1050" t="n"/>
      <c r="AY34" s="1050" t="n"/>
      <c r="AZ34" s="1050" t="n"/>
      <c r="BA34" s="1050" t="n"/>
      <c r="BB34" s="1050" t="n"/>
      <c r="BC34" s="1050" t="n"/>
      <c r="BD34" s="1050" t="n"/>
      <c r="BE34" s="1050" t="n"/>
      <c r="BF34" s="1050" t="n"/>
      <c r="BG34" s="1050" t="n"/>
      <c r="BH34" s="1050" t="n"/>
      <c r="BI34" s="1050" t="n"/>
      <c r="BJ34" s="1050" t="n"/>
      <c r="BK34" s="1050" t="n"/>
      <c r="BL34" s="1050" t="n"/>
      <c r="BM34" s="1050" t="n"/>
      <c r="BN34" s="1050" t="n"/>
      <c r="BO34" s="1050" t="n"/>
      <c r="BP34" s="1050" t="n"/>
      <c r="BQ34" s="1050" t="n"/>
      <c r="BR34" s="1050" t="n"/>
      <c r="BS34" s="1050" t="n"/>
      <c r="BT34" s="1050" t="n"/>
      <c r="BU34" s="1050" t="n"/>
      <c r="BV34" s="1050" t="n"/>
    </row>
    <row r="35" ht="13.5" customHeight="1" s="981">
      <c r="A35" s="1050" t="inlineStr">
        <is>
          <t>DIG</t>
        </is>
      </c>
      <c r="B35" s="1050" t="inlineStr">
        <is>
          <t>BĐS</t>
        </is>
      </c>
      <c r="C35" s="1050" t="inlineStr">
        <is>
          <t>HOSE</t>
        </is>
      </c>
      <c r="D35" s="1050" t="n">
        <v>0.005</v>
      </c>
      <c r="E35" s="568" t="n">
        <v>37</v>
      </c>
      <c r="F35" s="568" t="n">
        <v>11944</v>
      </c>
      <c r="G35" s="1050" t="n">
        <v>13500</v>
      </c>
      <c r="H35" s="1050" t="n">
        <v>499500</v>
      </c>
      <c r="I35" s="1050" t="n">
        <v>0</v>
      </c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  <c r="S35" s="1050" t="n"/>
      <c r="T35" s="1050" t="n"/>
      <c r="U35" s="1050" t="n"/>
      <c r="V35" s="1050" t="n"/>
      <c r="W35" s="1050" t="n"/>
      <c r="X35" s="1050" t="n"/>
      <c r="Y35" s="1050" t="n"/>
      <c r="Z35" s="1050" t="n"/>
      <c r="AA35" s="1050" t="n"/>
      <c r="AB35" s="1050" t="n"/>
      <c r="AC35" s="1050" t="n"/>
      <c r="AD35" s="1050" t="n"/>
      <c r="AE35" s="1050" t="n"/>
      <c r="AF35" s="1050" t="n"/>
      <c r="AG35" s="1050" t="n"/>
      <c r="AH35" s="1050" t="n"/>
      <c r="AI35" s="1050" t="n"/>
      <c r="AJ35" s="1050" t="n"/>
      <c r="AK35" s="1050" t="n"/>
      <c r="AL35" s="1050" t="n"/>
      <c r="AM35" s="1050" t="n"/>
      <c r="AN35" s="1050" t="n"/>
      <c r="AO35" s="1050" t="n"/>
      <c r="AP35" s="1050" t="n"/>
      <c r="AQ35" s="1050" t="n"/>
      <c r="AR35" s="1050" t="n"/>
      <c r="AS35" s="1050" t="n"/>
      <c r="AT35" s="1050" t="n"/>
      <c r="AU35" s="1050" t="n"/>
      <c r="AV35" s="1050" t="n"/>
      <c r="AW35" s="1050" t="n"/>
      <c r="AX35" s="1050" t="n"/>
      <c r="AY35" s="1050" t="n"/>
      <c r="AZ35" s="1050" t="n"/>
      <c r="BA35" s="1050" t="n"/>
      <c r="BB35" s="1050" t="n"/>
      <c r="BC35" s="1050" t="n"/>
      <c r="BD35" s="1050" t="n"/>
      <c r="BE35" s="1050" t="n"/>
      <c r="BF35" s="1050" t="n"/>
      <c r="BG35" s="1050" t="n"/>
      <c r="BH35" s="1050" t="n"/>
      <c r="BI35" s="1050" t="n"/>
      <c r="BJ35" s="1050" t="n"/>
      <c r="BK35" s="1050" t="n"/>
      <c r="BL35" s="1050" t="n"/>
      <c r="BM35" s="1050" t="n"/>
      <c r="BN35" s="1050" t="n"/>
      <c r="BO35" s="1050" t="n"/>
      <c r="BP35" s="1050" t="n"/>
      <c r="BQ35" s="1050" t="n"/>
      <c r="BR35" s="1050" t="n"/>
      <c r="BS35" s="1050" t="n"/>
      <c r="BT35" s="1050" t="n"/>
      <c r="BU35" s="1050" t="n"/>
      <c r="BV35" s="1050" t="n"/>
    </row>
    <row r="36" ht="13.5" customHeight="1" s="981">
      <c r="A36" s="1050" t="inlineStr">
        <is>
          <t>HAH</t>
        </is>
      </c>
      <c r="B36" s="1050" t="inlineStr">
        <is>
          <t>Vận tải biển</t>
        </is>
      </c>
      <c r="C36" s="1050" t="inlineStr">
        <is>
          <t>HOSE</t>
        </is>
      </c>
      <c r="D36" s="1050" t="n">
        <v>0.005</v>
      </c>
      <c r="E36" s="568" t="n">
        <v>9</v>
      </c>
      <c r="F36" s="568" t="n">
        <v>43255</v>
      </c>
      <c r="G36" s="1050" t="n">
        <v>54000</v>
      </c>
      <c r="H36" s="1050" t="n">
        <v>486000</v>
      </c>
      <c r="I36" s="1050" t="n">
        <v>0</v>
      </c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  <c r="S36" s="1050" t="n"/>
      <c r="T36" s="1050" t="n"/>
      <c r="U36" s="1050" t="n"/>
      <c r="V36" s="1050" t="n"/>
      <c r="W36" s="1050" t="n"/>
      <c r="X36" s="1050" t="n"/>
      <c r="Y36" s="1050" t="n"/>
      <c r="Z36" s="1050" t="n"/>
      <c r="AA36" s="1050" t="n"/>
      <c r="AB36" s="1050" t="n"/>
      <c r="AC36" s="1050" t="n"/>
      <c r="AD36" s="1050" t="n"/>
      <c r="AE36" s="1050" t="n"/>
      <c r="AF36" s="1050" t="n"/>
      <c r="AG36" s="1050" t="n"/>
      <c r="AH36" s="1050" t="n"/>
      <c r="AI36" s="1050" t="n"/>
      <c r="AJ36" s="1050" t="n"/>
      <c r="AK36" s="1050" t="n"/>
      <c r="AL36" s="1050" t="n"/>
      <c r="AM36" s="1050" t="n"/>
      <c r="AN36" s="1050" t="n"/>
      <c r="AO36" s="1050" t="n"/>
      <c r="AP36" s="1050" t="n"/>
      <c r="AQ36" s="1050" t="n"/>
      <c r="AR36" s="1050" t="n"/>
      <c r="AS36" s="1050" t="n"/>
      <c r="AT36" s="1050" t="n"/>
      <c r="AU36" s="1050" t="n"/>
      <c r="AV36" s="1050" t="n"/>
      <c r="AW36" s="1050" t="n"/>
      <c r="AX36" s="1050" t="n"/>
      <c r="AY36" s="1050" t="n"/>
      <c r="AZ36" s="1050" t="n"/>
      <c r="BA36" s="1050" t="n"/>
      <c r="BB36" s="1050" t="n"/>
      <c r="BC36" s="1050" t="n"/>
      <c r="BD36" s="1050" t="n"/>
      <c r="BE36" s="1050" t="n"/>
      <c r="BF36" s="1050" t="n"/>
      <c r="BG36" s="1050" t="n"/>
      <c r="BH36" s="1050" t="n"/>
      <c r="BI36" s="1050" t="n"/>
      <c r="BJ36" s="1050" t="n"/>
      <c r="BK36" s="1050" t="n"/>
      <c r="BL36" s="1050" t="n"/>
      <c r="BM36" s="1050" t="n"/>
      <c r="BN36" s="1050" t="n"/>
      <c r="BO36" s="1050" t="n"/>
      <c r="BP36" s="1050" t="n"/>
      <c r="BQ36" s="1050" t="n"/>
      <c r="BR36" s="1050" t="n"/>
      <c r="BS36" s="1050" t="n"/>
      <c r="BT36" s="1050" t="n"/>
      <c r="BU36" s="1050" t="n"/>
      <c r="BV36" s="1050" t="n"/>
    </row>
    <row r="37" ht="13.5" customHeight="1" s="981">
      <c r="A37" s="1050" t="inlineStr">
        <is>
          <t>VIB</t>
        </is>
      </c>
      <c r="B37" s="1050" t="inlineStr">
        <is>
          <t>Ngân hàng</t>
        </is>
      </c>
      <c r="C37" s="1050" t="inlineStr">
        <is>
          <t>HOSE</t>
        </is>
      </c>
      <c r="D37" s="1050" t="n">
        <v>0.005</v>
      </c>
      <c r="E37" s="568" t="n">
        <v>31</v>
      </c>
      <c r="F37" s="568" t="n">
        <v>15052</v>
      </c>
      <c r="G37" s="1050" t="n">
        <v>16300</v>
      </c>
      <c r="H37" s="1050" t="n">
        <v>505300</v>
      </c>
      <c r="I37" s="1050" t="n">
        <v>0</v>
      </c>
      <c r="J37" s="1050" t="n"/>
      <c r="K37" s="1050" t="n"/>
      <c r="L37" s="1050" t="n"/>
      <c r="M37" s="1050" t="n"/>
      <c r="N37" s="1050" t="n"/>
      <c r="O37" s="1050" t="n"/>
      <c r="P37" s="1050" t="n"/>
      <c r="Q37" s="1050" t="n"/>
      <c r="R37" s="1050" t="n"/>
      <c r="S37" s="1050" t="n"/>
      <c r="T37" s="1050" t="n"/>
      <c r="U37" s="1050" t="n"/>
      <c r="V37" s="1050" t="n"/>
      <c r="W37" s="1050" t="n"/>
      <c r="X37" s="1050" t="n"/>
      <c r="Y37" s="1050" t="n"/>
      <c r="Z37" s="1050" t="n"/>
      <c r="AA37" s="1050" t="n"/>
      <c r="AB37" s="1050" t="n"/>
      <c r="AC37" s="1050" t="n"/>
      <c r="AD37" s="1050" t="n"/>
      <c r="AE37" s="1050" t="n"/>
      <c r="AF37" s="1050" t="n"/>
      <c r="AG37" s="1050" t="n"/>
      <c r="AH37" s="1050" t="n"/>
      <c r="AI37" s="1050" t="n"/>
      <c r="AJ37" s="1050" t="n"/>
      <c r="AK37" s="1050" t="n"/>
      <c r="AL37" s="1050" t="n"/>
      <c r="AM37" s="1050" t="n"/>
      <c r="AN37" s="1050" t="n"/>
      <c r="AO37" s="1050" t="n"/>
      <c r="AP37" s="1050" t="n"/>
      <c r="AQ37" s="1050" t="n"/>
      <c r="AR37" s="1050" t="n"/>
      <c r="AS37" s="1050" t="n"/>
      <c r="AT37" s="1050" t="n"/>
      <c r="AU37" s="1050" t="n"/>
      <c r="AV37" s="1050" t="n"/>
      <c r="AW37" s="1050" t="n"/>
      <c r="AX37" s="1050" t="n"/>
      <c r="AY37" s="1050" t="n"/>
      <c r="AZ37" s="1050" t="n"/>
      <c r="BA37" s="1050" t="n"/>
      <c r="BB37" s="1050" t="n"/>
      <c r="BC37" s="1050" t="n"/>
      <c r="BD37" s="1050" t="n"/>
      <c r="BE37" s="1050" t="n"/>
      <c r="BF37" s="1050" t="n"/>
      <c r="BG37" s="1050" t="n"/>
      <c r="BH37" s="1050" t="n"/>
      <c r="BI37" s="1050" t="n"/>
      <c r="BJ37" s="1050" t="n"/>
      <c r="BK37" s="1050" t="n"/>
      <c r="BL37" s="1050" t="n"/>
      <c r="BM37" s="1050" t="n"/>
      <c r="BN37" s="1050" t="n"/>
      <c r="BO37" s="1050" t="n"/>
      <c r="BP37" s="1050" t="n"/>
      <c r="BQ37" s="1050" t="n"/>
      <c r="BR37" s="1050" t="n"/>
      <c r="BS37" s="1050" t="n"/>
      <c r="BT37" s="1050" t="n"/>
      <c r="BU37" s="1050" t="n"/>
      <c r="BV37" s="1050" t="n"/>
    </row>
    <row r="38" ht="15" customHeight="1" s="981">
      <c r="A38" s="1050" t="inlineStr">
        <is>
          <t>DGW</t>
        </is>
      </c>
      <c r="B38" s="1050" t="inlineStr">
        <is>
          <t>Phân phối CN</t>
        </is>
      </c>
      <c r="C38" s="1050" t="inlineStr">
        <is>
          <t>HOSE</t>
        </is>
      </c>
      <c r="D38" s="1050" t="n">
        <v>0.005</v>
      </c>
      <c r="E38" s="1050" t="n">
        <v>12</v>
      </c>
      <c r="F38" s="1050" t="n">
        <v>33146</v>
      </c>
      <c r="G38" s="1050" t="n">
        <v>41600</v>
      </c>
      <c r="H38" s="1050" t="n">
        <v>499200</v>
      </c>
      <c r="I38" s="1050" t="n">
        <v>0</v>
      </c>
      <c r="J38" s="1050" t="n"/>
      <c r="K38" s="1050" t="n"/>
      <c r="L38" s="1050" t="n"/>
      <c r="M38" s="1050" t="n"/>
      <c r="N38" s="1050" t="n"/>
      <c r="O38" s="1050" t="n"/>
      <c r="P38" s="1050" t="n"/>
      <c r="Q38" s="1050" t="n"/>
      <c r="R38" s="1050" t="n"/>
      <c r="S38" s="1050" t="n"/>
      <c r="T38" s="1050" t="n"/>
      <c r="U38" s="1050" t="n"/>
      <c r="V38" s="1050" t="n"/>
      <c r="W38" s="1050" t="n"/>
      <c r="X38" s="1050" t="n"/>
      <c r="Y38" s="1050" t="n"/>
      <c r="Z38" s="1050" t="n"/>
      <c r="AA38" s="1050" t="n"/>
      <c r="AB38" s="1050" t="n"/>
      <c r="AC38" s="1050" t="n"/>
      <c r="AD38" s="1050" t="n"/>
      <c r="AE38" s="1050" t="n"/>
      <c r="AF38" s="1050" t="n"/>
      <c r="AG38" s="1050" t="n"/>
      <c r="AH38" s="1050" t="n"/>
      <c r="AI38" s="1050" t="n"/>
      <c r="AJ38" s="1050" t="n"/>
      <c r="AK38" s="1050" t="n"/>
      <c r="AL38" s="1050" t="n"/>
      <c r="AM38" s="1050" t="n"/>
      <c r="AN38" s="1050" t="n"/>
      <c r="AO38" s="1050" t="n"/>
      <c r="AP38" s="1050" t="n"/>
      <c r="AQ38" s="1050" t="n"/>
      <c r="AR38" s="1050" t="n"/>
      <c r="AS38" s="1050" t="n"/>
      <c r="AT38" s="1050" t="n"/>
      <c r="AU38" s="1050" t="n"/>
      <c r="AV38" s="1050" t="n"/>
      <c r="AW38" s="1050" t="n"/>
      <c r="AX38" s="1050" t="n"/>
      <c r="AY38" s="1050" t="n"/>
      <c r="AZ38" s="1050" t="n"/>
      <c r="BA38" s="1050" t="n"/>
      <c r="BB38" s="1050" t="n"/>
      <c r="BC38" s="1050" t="n"/>
      <c r="BD38" s="1050" t="n"/>
      <c r="BE38" s="1050" t="n"/>
      <c r="BF38" s="1050" t="n"/>
      <c r="BG38" s="1050" t="n"/>
      <c r="BH38" s="1050" t="n"/>
      <c r="BI38" s="1050" t="n"/>
      <c r="BJ38" s="1050" t="n"/>
      <c r="BK38" s="1050" t="n"/>
      <c r="BL38" s="1050" t="n"/>
      <c r="BM38" s="1050" t="n"/>
      <c r="BN38" s="1050" t="n"/>
      <c r="BO38" s="1050" t="n"/>
      <c r="BP38" s="1050" t="n"/>
      <c r="BQ38" s="1050" t="n"/>
      <c r="BR38" s="1050" t="n"/>
      <c r="BS38" s="1050" t="n"/>
      <c r="BT38" s="1050" t="n"/>
      <c r="BU38" s="1050" t="n"/>
      <c r="BV38" s="1050" t="n"/>
    </row>
    <row r="39" ht="15" customHeight="1" s="981">
      <c r="A39" s="1050" t="inlineStr">
        <is>
          <t>VCF</t>
        </is>
      </c>
      <c r="B39" s="1050" t="inlineStr">
        <is>
          <t>Thực phẩm</t>
        </is>
      </c>
      <c r="C39" s="1050" t="inlineStr">
        <is>
          <t>HOSE</t>
        </is>
      </c>
      <c r="D39" s="1050" t="n">
        <v>0.005</v>
      </c>
      <c r="E39" s="1050" t="n">
        <v>13</v>
      </c>
      <c r="F39" s="1050" t="n">
        <v>32945</v>
      </c>
      <c r="G39" s="1050" t="n">
        <v>38500</v>
      </c>
      <c r="H39" s="1050" t="n">
        <v>500500</v>
      </c>
      <c r="I39" s="1050" t="n">
        <v>0</v>
      </c>
      <c r="J39" s="1050" t="n"/>
      <c r="K39" s="1050" t="n"/>
      <c r="L39" s="1050" t="n"/>
      <c r="M39" s="1050" t="n"/>
      <c r="N39" s="1050" t="n"/>
      <c r="O39" s="1050" t="n"/>
      <c r="P39" s="1050" t="n"/>
      <c r="Q39" s="1050" t="n"/>
      <c r="R39" s="1050" t="n"/>
      <c r="S39" s="1050" t="n"/>
      <c r="T39" s="1050" t="n"/>
      <c r="U39" s="1050" t="n"/>
      <c r="V39" s="1050" t="n"/>
      <c r="W39" s="1050" t="n"/>
      <c r="X39" s="1050" t="n"/>
      <c r="Y39" s="1050" t="n"/>
      <c r="Z39" s="1050" t="n"/>
      <c r="AA39" s="1050" t="n"/>
      <c r="AB39" s="1050" t="n"/>
      <c r="AC39" s="1050" t="n"/>
      <c r="AD39" s="1050" t="n"/>
      <c r="AE39" s="1050" t="n"/>
      <c r="AF39" s="1050" t="n"/>
      <c r="AG39" s="1050" t="n"/>
      <c r="AH39" s="1050" t="n"/>
      <c r="AI39" s="1050" t="n"/>
      <c r="AJ39" s="1050" t="n"/>
      <c r="AK39" s="1050" t="n"/>
      <c r="AL39" s="1050" t="n"/>
      <c r="AM39" s="1050" t="n"/>
      <c r="AN39" s="1050" t="n"/>
      <c r="AO39" s="1050" t="n"/>
      <c r="AP39" s="1050" t="n"/>
      <c r="AQ39" s="1050" t="n"/>
      <c r="AR39" s="1050" t="n"/>
      <c r="AS39" s="1050" t="n"/>
      <c r="AT39" s="1050" t="n"/>
      <c r="AU39" s="1050" t="n"/>
      <c r="AV39" s="1050" t="n"/>
      <c r="AW39" s="1050" t="n"/>
      <c r="AX39" s="1050" t="n"/>
      <c r="AY39" s="1050" t="n"/>
      <c r="AZ39" s="1050" t="n"/>
      <c r="BA39" s="1050" t="n"/>
      <c r="BB39" s="1050" t="n"/>
      <c r="BC39" s="1050" t="n"/>
      <c r="BD39" s="1050" t="n"/>
      <c r="BE39" s="1050" t="n"/>
      <c r="BF39" s="1050" t="n"/>
      <c r="BG39" s="1050" t="n"/>
      <c r="BH39" s="1050" t="n"/>
      <c r="BI39" s="1050" t="n"/>
      <c r="BJ39" s="1050" t="n"/>
      <c r="BK39" s="1050" t="n"/>
      <c r="BL39" s="1050" t="n"/>
      <c r="BM39" s="1050" t="n"/>
      <c r="BN39" s="1050" t="n"/>
      <c r="BO39" s="1050" t="n"/>
      <c r="BP39" s="1050" t="n"/>
      <c r="BQ39" s="1050" t="n"/>
      <c r="BR39" s="1050" t="n"/>
      <c r="BS39" s="1050" t="n"/>
      <c r="BT39" s="1050" t="n"/>
      <c r="BU39" s="1050" t="n"/>
      <c r="BV39" s="1050" t="n"/>
    </row>
    <row r="40" ht="15" customHeight="1" s="981">
      <c r="A40" s="572" t="inlineStr">
        <is>
          <t>VCI</t>
        </is>
      </c>
      <c r="B40" s="572" t="inlineStr">
        <is>
          <t>Chứng khoán</t>
        </is>
      </c>
      <c r="C40" s="572" t="inlineStr">
        <is>
          <t>HNX</t>
        </is>
      </c>
      <c r="D40" s="572" t="n">
        <v>0.005</v>
      </c>
      <c r="E40" s="1050" t="n">
        <v>20</v>
      </c>
      <c r="F40" s="1050" t="n">
        <v>22190</v>
      </c>
      <c r="G40" s="1050" t="n">
        <v>25000</v>
      </c>
      <c r="H40" s="1050" t="n">
        <v>500000</v>
      </c>
      <c r="I40" s="1050" t="n">
        <v>0</v>
      </c>
      <c r="J40" s="1050" t="n"/>
      <c r="K40" s="1050" t="n"/>
      <c r="L40" s="1050" t="n"/>
      <c r="M40" s="1050" t="n"/>
      <c r="N40" s="1050" t="n"/>
      <c r="O40" s="1050" t="n"/>
      <c r="P40" s="1050" t="n"/>
      <c r="Q40" s="1050" t="n"/>
      <c r="R40" s="1050" t="n"/>
      <c r="S40" s="1050" t="n"/>
      <c r="T40" s="1050" t="n"/>
      <c r="U40" s="1050" t="n"/>
      <c r="V40" s="1050" t="n"/>
      <c r="W40" s="1050" t="n"/>
      <c r="X40" s="1050" t="n"/>
      <c r="Y40" s="1050" t="n"/>
      <c r="Z40" s="1050" t="n"/>
      <c r="AA40" s="1050" t="n"/>
      <c r="AB40" s="1050" t="n"/>
      <c r="AC40" s="1050" t="n"/>
      <c r="AD40" s="1050" t="n"/>
      <c r="AE40" s="1050" t="n"/>
      <c r="AF40" s="1050" t="n"/>
      <c r="AG40" s="1050" t="n"/>
      <c r="AH40" s="1050" t="n"/>
      <c r="AI40" s="1050" t="n"/>
      <c r="AJ40" s="1050" t="n"/>
      <c r="AK40" s="1050" t="n"/>
      <c r="AL40" s="1050" t="n"/>
      <c r="AM40" s="1050" t="n"/>
      <c r="AN40" s="1050" t="n"/>
      <c r="AO40" s="1050" t="n"/>
      <c r="AP40" s="1050" t="n"/>
      <c r="AQ40" s="1050" t="n"/>
      <c r="AR40" s="1050" t="n"/>
      <c r="AS40" s="1050" t="n"/>
      <c r="AT40" s="1050" t="n"/>
      <c r="AU40" s="1050" t="n"/>
      <c r="AV40" s="1050" t="n"/>
      <c r="AW40" s="1050" t="n"/>
      <c r="AX40" s="1050" t="n"/>
      <c r="AY40" s="1050" t="n"/>
      <c r="AZ40" s="1050" t="n"/>
      <c r="BA40" s="1050" t="n"/>
      <c r="BB40" s="1050" t="n"/>
      <c r="BC40" s="1050" t="n"/>
      <c r="BD40" s="1050" t="n"/>
      <c r="BE40" s="1050" t="n"/>
      <c r="BF40" s="1050" t="n"/>
      <c r="BG40" s="1050" t="n"/>
      <c r="BH40" s="1050" t="n"/>
      <c r="BI40" s="1050" t="n"/>
      <c r="BJ40" s="1050" t="n"/>
      <c r="BK40" s="1050" t="n"/>
      <c r="BL40" s="1050" t="n"/>
      <c r="BM40" s="1050" t="n"/>
      <c r="BN40" s="1050" t="n"/>
      <c r="BO40" s="1050" t="n"/>
      <c r="BP40" s="1050" t="n"/>
      <c r="BQ40" s="1050" t="n"/>
      <c r="BR40" s="1050" t="n"/>
      <c r="BS40" s="1050" t="n"/>
      <c r="BT40" s="1050" t="n"/>
      <c r="BU40" s="1050" t="n"/>
      <c r="BV40" s="1050" t="n"/>
    </row>
    <row r="41" ht="78" customHeight="1" s="981">
      <c r="A41" s="547" t="inlineStr">
        <is>
          <t>PGB</t>
        </is>
      </c>
      <c r="B41" s="547" t="inlineStr">
        <is>
          <t>Ngân hàng</t>
        </is>
      </c>
      <c r="C41" s="547" t="inlineStr">
        <is>
          <t>HOSE</t>
        </is>
      </c>
      <c r="D41" s="547" t="n">
        <v>0.005</v>
      </c>
      <c r="E41" s="547" t="n">
        <v>45</v>
      </c>
      <c r="F41" s="547" t="n">
        <v>10970</v>
      </c>
      <c r="G41" s="547" t="n">
        <v>11000</v>
      </c>
      <c r="H41" s="547" t="n">
        <v>495000</v>
      </c>
      <c r="I41" s="547" t="n">
        <v>0</v>
      </c>
      <c r="J41" s="547" t="inlineStr">
        <is>
          <t>Beta giả định</t>
        </is>
      </c>
      <c r="K41" s="547" t="inlineStr">
        <is>
          <t>Đóng góp beta DM</t>
        </is>
      </c>
      <c r="L41" s="547" t="inlineStr">
        <is>
          <t>Biến động năm giả định</t>
        </is>
      </c>
      <c r="M41" s="547" t="inlineStr">
        <is>
          <t>VaR 1 ngày 95%</t>
        </is>
      </c>
      <c r="N41" s="547" t="inlineStr">
        <is>
          <t>VaR 1 tháng 95%</t>
        </is>
      </c>
      <c r="O41" s="547" t="inlineStr">
        <is>
          <t>GT nếu -5%</t>
        </is>
      </c>
      <c r="P41" s="547" t="inlineStr">
        <is>
          <t>Lãi/Lỗ nếu -5%</t>
        </is>
      </c>
      <c r="Q41" s="547" t="inlineStr">
        <is>
          <t>GT nếu -10%</t>
        </is>
      </c>
      <c r="R41" s="547" t="inlineStr">
        <is>
          <t>Lãi/Lỗ nếu -10%</t>
        </is>
      </c>
      <c r="S41" s="547" t="inlineStr">
        <is>
          <t>GT nếu -20%</t>
        </is>
      </c>
      <c r="T41" s="547" t="inlineStr">
        <is>
          <t>Lãi/Lỗ nếu -20%</t>
        </is>
      </c>
      <c r="U41" s="547" t="inlineStr">
        <is>
          <t>GT nếu -30%</t>
        </is>
      </c>
      <c r="V41" s="547" t="inlineStr">
        <is>
          <t>Lãi/Lỗ nếu -30%</t>
        </is>
      </c>
      <c r="W41" s="547" t="inlineStr">
        <is>
          <t>Tỷ lệ nợ nếu -20%</t>
        </is>
      </c>
      <c r="X41" s="547" t="inlineStr">
        <is>
          <t>Tỷ lệ nợ nếu -30%</t>
        </is>
      </c>
      <c r="Y41" s="547" t="inlineStr">
        <is>
          <t>Giá gọi ký quỹ 50%</t>
        </is>
      </c>
      <c r="Z41" s="547" t="inlineStr">
        <is>
          <t>Giá nguy hiểm 70% nợ</t>
        </is>
      </c>
      <c r="AA41" s="547" t="inlineStr">
        <is>
          <t>Khoảng cách tới gọi KQ</t>
        </is>
      </c>
      <c r="AB41" s="547" t="inlineStr">
        <is>
          <t>Thuế bán 0.1%</t>
        </is>
      </c>
      <c r="AC41" s="547" t="inlineStr">
        <is>
          <t>LN ròng sau thuế/lãi vay</t>
        </is>
      </c>
      <c r="AD41" s="547" t="inlineStr">
        <is>
          <t>Dòng tiền cổ tức/tháng</t>
        </is>
      </c>
      <c r="AE41" s="547" t="inlineStr">
        <is>
          <t>Số năm hoàn vốn cổ tức</t>
        </is>
      </c>
      <c r="AF41" s="547" t="inlineStr">
        <is>
          <t>P/E mục tiêu ngành</t>
        </is>
      </c>
      <c r="AG41" s="547" t="inlineStr">
        <is>
          <t>P/B mục tiêu ngành</t>
        </is>
      </c>
      <c r="AH41" s="547" t="inlineStr">
        <is>
          <t>Giá hợp lý theo P/E</t>
        </is>
      </c>
      <c r="AI41" s="547" t="inlineStr">
        <is>
          <t>Giá hợp lý theo P/B</t>
        </is>
      </c>
      <c r="AJ41" s="547" t="inlineStr">
        <is>
          <t>Giá hợp lý hỗn hợp</t>
        </is>
      </c>
      <c r="AK41" s="547" t="inlineStr">
        <is>
          <t>Upside tới giá hợp lý</t>
        </is>
      </c>
      <c r="AL41" s="547" t="inlineStr">
        <is>
          <t>Biên an toàn giá</t>
        </is>
      </c>
      <c r="AM41" s="547" t="inlineStr">
        <is>
          <t>Vốn hóa vị thế hợp lý</t>
        </is>
      </c>
      <c r="AN41" s="547" t="inlineStr">
        <is>
          <t>Thiếu/dư so với giá hợp lý</t>
        </is>
      </c>
      <c r="AO41" s="547" t="inlineStr">
        <is>
          <t>Rủi ro định giá</t>
        </is>
      </c>
      <c r="AP41" s="547" t="inlineStr">
        <is>
          <t>Điểm cổ tức</t>
        </is>
      </c>
      <c r="AQ41" s="547" t="inlineStr">
        <is>
          <t>Điểm tăng trưởng/ROE</t>
        </is>
      </c>
      <c r="AR41" s="547" t="inlineStr">
        <is>
          <t>Điểm nợ</t>
        </is>
      </c>
      <c r="AS41" s="547" t="inlineStr">
        <is>
          <t>Điểm tập trung</t>
        </is>
      </c>
      <c r="AT41" s="547" t="inlineStr">
        <is>
          <t>Điểm ESG</t>
        </is>
      </c>
      <c r="AU41" s="547" t="inlineStr">
        <is>
          <t>Điểm rủi ro</t>
        </is>
      </c>
      <c r="AV41" s="547" t="inlineStr">
        <is>
          <t>Điểm cơ hội</t>
        </is>
      </c>
      <c r="AW41" s="547" t="inlineStr">
        <is>
          <t>Điểm nên mua</t>
        </is>
      </c>
      <c r="AX41" s="547" t="inlineStr">
        <is>
          <t>Điểm nên giữ</t>
        </is>
      </c>
      <c r="AY41" s="547" t="inlineStr">
        <is>
          <t>Điểm nên bán</t>
        </is>
      </c>
      <c r="AZ41" s="547" t="inlineStr">
        <is>
          <t>Kết luận sâu</t>
        </is>
      </c>
      <c r="BA41" s="547" t="inlineStr">
        <is>
          <t>Lý do chính</t>
        </is>
      </c>
      <c r="BB41" s="547" t="inlineStr">
        <is>
          <t>Mức ưu tiên xử lý</t>
        </is>
      </c>
      <c r="BC41" s="547" t="inlineStr">
        <is>
          <t>Tỷ lệ phân bổ tiền mới</t>
        </is>
      </c>
      <c r="BD41" s="547" t="inlineStr">
        <is>
          <t>Tiền mới gợi ý</t>
        </is>
      </c>
      <c r="BE41" s="547" t="inlineStr">
        <is>
          <t>Số CP mua bằng tiền mới</t>
        </is>
      </c>
      <c r="BF41" s="547" t="inlineStr">
        <is>
          <t>Giá cắt lỗ kỷ luật</t>
        </is>
      </c>
      <c r="BG41" s="547" t="inlineStr">
        <is>
          <t>Giá chốt lời 1</t>
        </is>
      </c>
      <c r="BH41" s="547" t="inlineStr">
        <is>
          <t>Giá chốt lời 2</t>
        </is>
      </c>
      <c r="BI41" s="547" t="inlineStr">
        <is>
          <t>Lỗ tối đa nếu cắt lỗ</t>
        </is>
      </c>
      <c r="BJ41" s="547" t="inlineStr">
        <is>
          <t>Lợi nhuận tại chốt lời 1</t>
        </is>
      </c>
      <c r="BK41" s="547" t="inlineStr">
        <is>
          <t>Lợi nhuận tại chốt lời 2</t>
        </is>
      </c>
      <c r="BL41" s="547" t="inlineStr">
        <is>
          <t>Tỷ lệ R/R chốt lời 1</t>
        </is>
      </c>
      <c r="BM41" s="547" t="inlineStr">
        <is>
          <t>Tỷ lệ R/R chốt lời 2</t>
        </is>
      </c>
      <c r="BN41" s="547" t="inlineStr">
        <is>
          <t>Chu kỳ xem xét</t>
        </is>
      </c>
      <c r="BO41" s="547" t="inlineStr">
        <is>
          <t>Mức theo dõi</t>
        </is>
      </c>
      <c r="BP41" s="547" t="inlineStr">
        <is>
          <t>Tín hiệu định lượng</t>
        </is>
      </c>
      <c r="BQ41" s="547" t="inlineStr">
        <is>
          <t>Tỷ lệ quỹ từ thiện/LN</t>
        </is>
      </c>
      <c r="BR41" s="547" t="inlineStr">
        <is>
          <t>Quỹ thiện nguyện nếu chốt</t>
        </is>
      </c>
      <c r="BS41" s="547" t="inlineStr">
        <is>
          <t>Dòng tiền sau bán toàn bộ</t>
        </is>
      </c>
      <c r="BT41" s="547" t="inlineStr">
        <is>
          <t>Tiền mặt ròng sau trả nợ</t>
        </is>
      </c>
      <c r="BU41" s="547" t="inlineStr">
        <is>
          <t>Ghi chú tự động</t>
        </is>
      </c>
      <c r="BV41" s="1050" t="n"/>
    </row>
    <row r="42" ht="13.5" customHeight="1" s="981">
      <c r="A42" s="575" t="inlineStr">
        <is>
          <t>SGN</t>
        </is>
      </c>
      <c r="B42" s="575" t="inlineStr">
        <is>
          <t>DV mặt đất</t>
        </is>
      </c>
      <c r="C42" s="575" t="inlineStr">
        <is>
          <t>HOSE</t>
        </is>
      </c>
      <c r="D42" s="575" t="n">
        <v>0.005</v>
      </c>
      <c r="E42" s="575" t="n">
        <v>10</v>
      </c>
      <c r="F42" s="575" t="n">
        <v>41637</v>
      </c>
      <c r="G42" s="575" t="n">
        <v>51900</v>
      </c>
      <c r="H42" s="575" t="n">
        <v>519000</v>
      </c>
      <c r="I42" s="575" t="n">
        <v>0</v>
      </c>
      <c r="J42" s="575" t="n"/>
      <c r="K42" s="575" t="n"/>
      <c r="L42" s="575" t="n"/>
      <c r="M42" s="575" t="n"/>
      <c r="N42" s="575" t="n"/>
      <c r="O42" s="575" t="n"/>
      <c r="P42" s="575" t="n"/>
      <c r="Q42" s="575" t="n"/>
      <c r="R42" s="575" t="n"/>
      <c r="S42" s="575" t="n"/>
      <c r="T42" s="575" t="n"/>
      <c r="U42" s="575" t="n"/>
      <c r="V42" s="575" t="n"/>
      <c r="W42" s="575" t="n"/>
      <c r="X42" s="575" t="n"/>
      <c r="Y42" s="575" t="n"/>
      <c r="Z42" s="575" t="n"/>
      <c r="AA42" s="575" t="n"/>
      <c r="AB42" s="575" t="n"/>
      <c r="AC42" s="575" t="n"/>
      <c r="AD42" s="575" t="n"/>
      <c r="AE42" s="575" t="n"/>
      <c r="AF42" s="575" t="n"/>
      <c r="AG42" s="575" t="n"/>
      <c r="AH42" s="575" t="n"/>
      <c r="AI42" s="575" t="n"/>
      <c r="AJ42" s="575" t="n"/>
      <c r="AK42" s="575" t="n"/>
      <c r="AL42" s="575" t="n"/>
      <c r="AM42" s="575" t="n"/>
      <c r="AN42" s="575" t="n"/>
      <c r="AO42" s="575" t="n"/>
      <c r="AP42" s="575" t="n"/>
      <c r="AQ42" s="575" t="n"/>
      <c r="AR42" s="575" t="n"/>
      <c r="AS42" s="575" t="n"/>
      <c r="AT42" s="575" t="n"/>
      <c r="AU42" s="575" t="n"/>
      <c r="AV42" s="575" t="n"/>
      <c r="AW42" s="575" t="n"/>
      <c r="AX42" s="575" t="n"/>
      <c r="AY42" s="575" t="n"/>
      <c r="AZ42" s="575" t="n"/>
      <c r="BA42" s="575" t="n"/>
      <c r="BB42" s="575" t="n"/>
      <c r="BC42" s="575" t="n"/>
      <c r="BD42" s="575" t="n"/>
      <c r="BE42" s="575" t="n"/>
      <c r="BF42" s="575" t="n"/>
      <c r="BG42" s="575" t="n"/>
      <c r="BH42" s="575" t="n"/>
      <c r="BI42" s="575" t="n"/>
      <c r="BJ42" s="575" t="n"/>
      <c r="BK42" s="575" t="n"/>
      <c r="BL42" s="575" t="n"/>
      <c r="BM42" s="575" t="n"/>
      <c r="BN42" s="575" t="n"/>
      <c r="BO42" s="575" t="n"/>
      <c r="BP42" s="575" t="n"/>
      <c r="BQ42" s="575" t="n"/>
      <c r="BR42" s="575" t="n"/>
      <c r="BS42" s="575" t="n"/>
      <c r="BT42" s="575" t="n"/>
      <c r="BU42" s="575" t="n"/>
      <c r="BV42" s="1050" t="n"/>
    </row>
    <row r="43" ht="13.5" customHeight="1" s="981">
      <c r="A43" s="575" t="inlineStr">
        <is>
          <t>ITD</t>
        </is>
      </c>
      <c r="B43" s="575" t="inlineStr">
        <is>
          <t>Công nghệ</t>
        </is>
      </c>
      <c r="C43" s="575" t="inlineStr">
        <is>
          <t>HNX</t>
        </is>
      </c>
      <c r="D43" s="575" t="n">
        <v>0.005</v>
      </c>
      <c r="E43" s="575" t="n">
        <v>31</v>
      </c>
      <c r="F43" s="575" t="n">
        <v>13107</v>
      </c>
      <c r="G43" s="575" t="n">
        <v>16100</v>
      </c>
      <c r="H43" s="575" t="n">
        <v>499100</v>
      </c>
      <c r="I43" s="575" t="n">
        <v>0</v>
      </c>
      <c r="J43" s="575" t="n"/>
      <c r="K43" s="575" t="n"/>
      <c r="L43" s="575" t="n"/>
      <c r="M43" s="575" t="n"/>
      <c r="N43" s="575" t="n"/>
      <c r="O43" s="575" t="n"/>
      <c r="P43" s="575" t="n"/>
      <c r="Q43" s="575" t="n"/>
      <c r="R43" s="575" t="n"/>
      <c r="S43" s="575" t="n"/>
      <c r="T43" s="575" t="n"/>
      <c r="U43" s="575" t="n"/>
      <c r="V43" s="575" t="n"/>
      <c r="W43" s="575" t="n"/>
      <c r="X43" s="575" t="n"/>
      <c r="Y43" s="575" t="n"/>
      <c r="Z43" s="575" t="n"/>
      <c r="AA43" s="575" t="n"/>
      <c r="AB43" s="575" t="n"/>
      <c r="AC43" s="575" t="n"/>
      <c r="AD43" s="575" t="n"/>
      <c r="AE43" s="575" t="n"/>
      <c r="AF43" s="575" t="n"/>
      <c r="AG43" s="575" t="n"/>
      <c r="AH43" s="575" t="n"/>
      <c r="AI43" s="575" t="n"/>
      <c r="AJ43" s="575" t="n"/>
      <c r="AK43" s="575" t="n"/>
      <c r="AL43" s="575" t="n"/>
      <c r="AM43" s="575" t="n"/>
      <c r="AN43" s="575" t="n"/>
      <c r="AO43" s="575" t="n"/>
      <c r="AP43" s="575" t="n"/>
      <c r="AQ43" s="575" t="n"/>
      <c r="AR43" s="575" t="n"/>
      <c r="AS43" s="575" t="n"/>
      <c r="AT43" s="575" t="n"/>
      <c r="AU43" s="575" t="n"/>
      <c r="AV43" s="575" t="n"/>
      <c r="AW43" s="575" t="n"/>
      <c r="AX43" s="575" t="n"/>
      <c r="AY43" s="575" t="n"/>
      <c r="AZ43" s="575" t="n"/>
      <c r="BA43" s="575" t="n"/>
      <c r="BB43" s="575" t="n"/>
      <c r="BC43" s="575" t="n"/>
      <c r="BD43" s="575" t="n"/>
      <c r="BE43" s="575" t="n"/>
      <c r="BF43" s="575" t="n"/>
      <c r="BG43" s="575" t="n"/>
      <c r="BH43" s="575" t="n"/>
      <c r="BI43" s="575" t="n"/>
      <c r="BJ43" s="575" t="n"/>
      <c r="BK43" s="575" t="n"/>
      <c r="BL43" s="575" t="n"/>
      <c r="BM43" s="575" t="n"/>
      <c r="BN43" s="575" t="n"/>
      <c r="BO43" s="575" t="n"/>
      <c r="BP43" s="575" t="n"/>
      <c r="BQ43" s="575" t="n"/>
      <c r="BR43" s="575" t="n"/>
      <c r="BS43" s="575" t="n"/>
      <c r="BT43" s="575" t="n"/>
      <c r="BU43" s="575" t="n"/>
      <c r="BV43" s="1050" t="n"/>
    </row>
    <row r="44" ht="13.5" customHeight="1" s="981">
      <c r="A44" s="575" t="inlineStr">
        <is>
          <t>PC1</t>
        </is>
      </c>
      <c r="B44" s="575" t="inlineStr">
        <is>
          <t>Xây dựng</t>
        </is>
      </c>
      <c r="C44" s="575" t="inlineStr">
        <is>
          <t>HOSE</t>
        </is>
      </c>
      <c r="D44" s="575" t="n">
        <v>0.005</v>
      </c>
      <c r="E44" s="575" t="n">
        <v>26</v>
      </c>
      <c r="F44" s="575" t="n">
        <v>18471</v>
      </c>
      <c r="G44" s="575" t="n">
        <v>19050</v>
      </c>
      <c r="H44" s="575" t="n">
        <v>495300</v>
      </c>
      <c r="I44" s="575" t="n">
        <v>0</v>
      </c>
      <c r="J44" s="575" t="n"/>
      <c r="K44" s="575" t="n"/>
      <c r="L44" s="575" t="n"/>
      <c r="M44" s="575" t="n"/>
      <c r="N44" s="575" t="n"/>
      <c r="O44" s="575" t="n"/>
      <c r="P44" s="575" t="n"/>
      <c r="Q44" s="575" t="n"/>
      <c r="R44" s="575" t="n"/>
      <c r="S44" s="575" t="n"/>
      <c r="T44" s="575" t="n"/>
      <c r="U44" s="575" t="n"/>
      <c r="V44" s="575" t="n"/>
      <c r="W44" s="575" t="n"/>
      <c r="X44" s="575" t="n"/>
      <c r="Y44" s="575" t="n"/>
      <c r="Z44" s="575" t="n"/>
      <c r="AA44" s="575" t="n"/>
      <c r="AB44" s="575" t="n"/>
      <c r="AC44" s="575" t="n"/>
      <c r="AD44" s="575" t="n"/>
      <c r="AE44" s="575" t="n"/>
      <c r="AF44" s="575" t="n"/>
      <c r="AG44" s="575" t="n"/>
      <c r="AH44" s="575" t="n"/>
      <c r="AI44" s="575" t="n"/>
      <c r="AJ44" s="575" t="n"/>
      <c r="AK44" s="575" t="n"/>
      <c r="AL44" s="575" t="n"/>
      <c r="AM44" s="575" t="n"/>
      <c r="AN44" s="575" t="n"/>
      <c r="AO44" s="575" t="n"/>
      <c r="AP44" s="575" t="n"/>
      <c r="AQ44" s="575" t="n"/>
      <c r="AR44" s="575" t="n"/>
      <c r="AS44" s="575" t="n"/>
      <c r="AT44" s="575" t="n"/>
      <c r="AU44" s="575" t="n"/>
      <c r="AV44" s="575" t="n"/>
      <c r="AW44" s="575" t="n"/>
      <c r="AX44" s="575" t="n"/>
      <c r="AY44" s="575" t="n"/>
      <c r="AZ44" s="575" t="n"/>
      <c r="BA44" s="575" t="n"/>
      <c r="BB44" s="575" t="n"/>
      <c r="BC44" s="575" t="n"/>
      <c r="BD44" s="575" t="n"/>
      <c r="BE44" s="575" t="n"/>
      <c r="BF44" s="575" t="n"/>
      <c r="BG44" s="575" t="n"/>
      <c r="BH44" s="575" t="n"/>
      <c r="BI44" s="575" t="n"/>
      <c r="BJ44" s="575" t="n"/>
      <c r="BK44" s="575" t="n"/>
      <c r="BL44" s="575" t="n"/>
      <c r="BM44" s="575" t="n"/>
      <c r="BN44" s="575" t="n"/>
      <c r="BO44" s="575" t="n"/>
      <c r="BP44" s="575" t="n"/>
      <c r="BQ44" s="575" t="n"/>
      <c r="BR44" s="575" t="n"/>
      <c r="BS44" s="575" t="n"/>
      <c r="BT44" s="575" t="n"/>
      <c r="BU44" s="575" t="n"/>
      <c r="BV44" s="1050" t="n"/>
    </row>
    <row r="45" ht="13.5" customHeight="1" s="981">
      <c r="A45" s="575" t="inlineStr">
        <is>
          <t>PVT</t>
        </is>
      </c>
      <c r="B45" s="575" t="inlineStr">
        <is>
          <t>Vận tải biển</t>
        </is>
      </c>
      <c r="C45" s="575" t="inlineStr">
        <is>
          <t>HOSE</t>
        </is>
      </c>
      <c r="D45" s="575" t="n">
        <v>0.005</v>
      </c>
      <c r="E45" s="575" t="n">
        <v>23</v>
      </c>
      <c r="F45" s="575" t="n">
        <v>17194</v>
      </c>
      <c r="G45" s="575" t="n">
        <v>21900</v>
      </c>
      <c r="H45" s="575" t="n">
        <v>503700</v>
      </c>
      <c r="I45" s="575" t="n">
        <v>0</v>
      </c>
      <c r="J45" s="575" t="n"/>
      <c r="K45" s="575" t="n"/>
      <c r="L45" s="575" t="n"/>
      <c r="M45" s="575" t="n"/>
      <c r="N45" s="575" t="n"/>
      <c r="O45" s="575" t="n"/>
      <c r="P45" s="575" t="n"/>
      <c r="Q45" s="575" t="n"/>
      <c r="R45" s="575" t="n"/>
      <c r="S45" s="575" t="n"/>
      <c r="T45" s="575" t="n"/>
      <c r="U45" s="575" t="n"/>
      <c r="V45" s="575" t="n"/>
      <c r="W45" s="575" t="n"/>
      <c r="X45" s="575" t="n"/>
      <c r="Y45" s="575" t="n"/>
      <c r="Z45" s="575" t="n"/>
      <c r="AA45" s="575" t="n"/>
      <c r="AB45" s="575" t="n"/>
      <c r="AC45" s="575" t="n"/>
      <c r="AD45" s="575" t="n"/>
      <c r="AE45" s="575" t="n"/>
      <c r="AF45" s="575" t="n"/>
      <c r="AG45" s="575" t="n"/>
      <c r="AH45" s="575" t="n"/>
      <c r="AI45" s="575" t="n"/>
      <c r="AJ45" s="575" t="n"/>
      <c r="AK45" s="575" t="n"/>
      <c r="AL45" s="575" t="n"/>
      <c r="AM45" s="575" t="n"/>
      <c r="AN45" s="575" t="n"/>
      <c r="AO45" s="575" t="n"/>
      <c r="AP45" s="575" t="n"/>
      <c r="AQ45" s="575" t="n"/>
      <c r="AR45" s="575" t="n"/>
      <c r="AS45" s="575" t="n"/>
      <c r="AT45" s="575" t="n"/>
      <c r="AU45" s="575" t="n"/>
      <c r="AV45" s="575" t="n"/>
      <c r="AW45" s="575" t="n"/>
      <c r="AX45" s="575" t="n"/>
      <c r="AY45" s="575" t="n"/>
      <c r="AZ45" s="575" t="n"/>
      <c r="BA45" s="575" t="n"/>
      <c r="BB45" s="575" t="n"/>
      <c r="BC45" s="575" t="n"/>
      <c r="BD45" s="575" t="n"/>
      <c r="BE45" s="575" t="n"/>
      <c r="BF45" s="575" t="n"/>
      <c r="BG45" s="575" t="n"/>
      <c r="BH45" s="575" t="n"/>
      <c r="BI45" s="575" t="n"/>
      <c r="BJ45" s="575" t="n"/>
      <c r="BK45" s="575" t="n"/>
      <c r="BL45" s="575" t="n"/>
      <c r="BM45" s="575" t="n"/>
      <c r="BN45" s="575" t="n"/>
      <c r="BO45" s="575" t="n"/>
      <c r="BP45" s="575" t="n"/>
      <c r="BQ45" s="575" t="n"/>
      <c r="BR45" s="575" t="n"/>
      <c r="BS45" s="575" t="n"/>
      <c r="BT45" s="575" t="n"/>
      <c r="BU45" s="575" t="n"/>
      <c r="BV45" s="1050" t="n"/>
    </row>
    <row r="46" ht="13.5" customHeight="1" s="981">
      <c r="A46" s="562" t="inlineStr">
        <is>
          <t>DRC</t>
        </is>
      </c>
      <c r="B46" s="562" t="inlineStr">
        <is>
          <t>Lốp xe</t>
        </is>
      </c>
      <c r="C46" s="562" t="inlineStr">
        <is>
          <t>HOSE</t>
        </is>
      </c>
      <c r="D46" s="562" t="n">
        <v>0.005</v>
      </c>
      <c r="E46" s="562" t="n">
        <v>17</v>
      </c>
      <c r="F46" s="562" t="n">
        <v>29800</v>
      </c>
      <c r="G46" s="562" t="n">
        <v>29840</v>
      </c>
      <c r="H46" s="562" t="n">
        <v>507280</v>
      </c>
      <c r="I46" s="562" t="n">
        <v>0</v>
      </c>
      <c r="J46" s="562" t="n"/>
      <c r="K46" s="562" t="n"/>
      <c r="L46" s="562" t="n"/>
      <c r="M46" s="562" t="n"/>
      <c r="N46" s="562" t="n"/>
      <c r="O46" s="562" t="n"/>
      <c r="P46" s="562" t="n"/>
      <c r="Q46" s="562" t="n"/>
      <c r="R46" s="562" t="n"/>
      <c r="S46" s="562" t="n"/>
      <c r="T46" s="562" t="n"/>
      <c r="U46" s="562" t="n"/>
      <c r="V46" s="562" t="n"/>
      <c r="W46" s="562" t="n"/>
      <c r="X46" s="562" t="n"/>
      <c r="Y46" s="562" t="n"/>
      <c r="Z46" s="562" t="n"/>
      <c r="AA46" s="562" t="n"/>
      <c r="AB46" s="562" t="n"/>
      <c r="AC46" s="562" t="n"/>
      <c r="AD46" s="562" t="n"/>
      <c r="AE46" s="562" t="n"/>
      <c r="AF46" s="562" t="n"/>
      <c r="AG46" s="562" t="n"/>
      <c r="AH46" s="562" t="n"/>
      <c r="AI46" s="562" t="n"/>
      <c r="AJ46" s="562" t="n"/>
      <c r="AK46" s="562" t="n"/>
      <c r="AL46" s="562" t="n"/>
      <c r="AM46" s="562" t="n"/>
      <c r="AN46" s="562" t="n"/>
      <c r="AO46" s="562" t="n"/>
      <c r="AP46" s="562" t="n"/>
      <c r="AQ46" s="562" t="n"/>
      <c r="AR46" s="562" t="n"/>
      <c r="AS46" s="562" t="n"/>
      <c r="AT46" s="562" t="n"/>
      <c r="AU46" s="562" t="n"/>
      <c r="AV46" s="562" t="n"/>
      <c r="AW46" s="562" t="n"/>
      <c r="AX46" s="562" t="n"/>
      <c r="AY46" s="562" t="n"/>
      <c r="AZ46" s="562" t="n"/>
      <c r="BA46" s="562" t="n"/>
      <c r="BB46" s="562" t="n"/>
      <c r="BC46" s="562" t="n"/>
      <c r="BD46" s="562" t="n"/>
      <c r="BE46" s="562" t="n"/>
      <c r="BF46" s="562" t="n"/>
      <c r="BG46" s="562" t="n"/>
      <c r="BH46" s="562" t="n"/>
      <c r="BI46" s="562" t="n"/>
      <c r="BJ46" s="562" t="n"/>
      <c r="BK46" s="562" t="n"/>
      <c r="BL46" s="562" t="n"/>
      <c r="BM46" s="562" t="n"/>
      <c r="BN46" s="562" t="n"/>
      <c r="BO46" s="562" t="n"/>
      <c r="BP46" s="562" t="n"/>
      <c r="BQ46" s="562" t="n"/>
      <c r="BR46" s="562" t="n"/>
      <c r="BS46" s="562" t="n"/>
      <c r="BT46" s="562" t="n"/>
      <c r="BU46" s="562" t="n"/>
      <c r="BV46" s="1050" t="n"/>
    </row>
    <row r="47" ht="13.5" customHeight="1" s="981">
      <c r="A47" s="562" t="inlineStr">
        <is>
          <t>VPB</t>
        </is>
      </c>
      <c r="B47" s="562" t="inlineStr">
        <is>
          <t>Ngân hàng</t>
        </is>
      </c>
      <c r="C47" s="562" t="inlineStr">
        <is>
          <t>HOSE</t>
        </is>
      </c>
      <c r="D47" s="562" t="n">
        <v>0.005</v>
      </c>
      <c r="E47" s="562" t="n">
        <v>18</v>
      </c>
      <c r="F47" s="562" t="n">
        <v>25051</v>
      </c>
      <c r="G47" s="562" t="n">
        <v>27300</v>
      </c>
      <c r="H47" s="562" t="n">
        <v>491400</v>
      </c>
      <c r="I47" s="562" t="n">
        <v>0</v>
      </c>
      <c r="J47" s="562" t="n"/>
      <c r="K47" s="562" t="n"/>
      <c r="L47" s="562" t="n"/>
      <c r="M47" s="562" t="n"/>
      <c r="N47" s="562" t="n"/>
      <c r="O47" s="562" t="n"/>
      <c r="P47" s="562" t="n"/>
      <c r="Q47" s="562" t="n"/>
      <c r="R47" s="562" t="n"/>
      <c r="S47" s="562" t="n"/>
      <c r="T47" s="562" t="n"/>
      <c r="U47" s="562" t="n"/>
      <c r="V47" s="562" t="n"/>
      <c r="W47" s="562" t="n"/>
      <c r="X47" s="562" t="n"/>
      <c r="Y47" s="562" t="n"/>
      <c r="Z47" s="562" t="n"/>
      <c r="AA47" s="562" t="n"/>
      <c r="AB47" s="562" t="n"/>
      <c r="AC47" s="562" t="n"/>
      <c r="AD47" s="562" t="n"/>
      <c r="AE47" s="562" t="n"/>
      <c r="AF47" s="562" t="n"/>
      <c r="AG47" s="562" t="n"/>
      <c r="AH47" s="562" t="n"/>
      <c r="AI47" s="562" t="n"/>
      <c r="AJ47" s="562" t="n"/>
      <c r="AK47" s="562" t="n"/>
      <c r="AL47" s="562" t="n"/>
      <c r="AM47" s="562" t="n"/>
      <c r="AN47" s="562" t="n"/>
      <c r="AO47" s="562" t="n"/>
      <c r="AP47" s="562" t="n"/>
      <c r="AQ47" s="562" t="n"/>
      <c r="AR47" s="562" t="n"/>
      <c r="AS47" s="562" t="n"/>
      <c r="AT47" s="562" t="n"/>
      <c r="AU47" s="562" t="n"/>
      <c r="AV47" s="562" t="n"/>
      <c r="AW47" s="562" t="n"/>
      <c r="AX47" s="562" t="n"/>
      <c r="AY47" s="562" t="n"/>
      <c r="AZ47" s="562" t="n"/>
      <c r="BA47" s="562" t="n"/>
      <c r="BB47" s="562" t="n"/>
      <c r="BC47" s="562" t="n"/>
      <c r="BD47" s="562" t="n"/>
      <c r="BE47" s="562" t="n"/>
      <c r="BF47" s="562" t="n"/>
      <c r="BG47" s="562" t="n"/>
      <c r="BH47" s="562" t="n"/>
      <c r="BI47" s="562" t="n"/>
      <c r="BJ47" s="562" t="n"/>
      <c r="BK47" s="562" t="n"/>
      <c r="BL47" s="562" t="n"/>
      <c r="BM47" s="562" t="n"/>
      <c r="BN47" s="562" t="n"/>
      <c r="BO47" s="562" t="n"/>
      <c r="BP47" s="562" t="n"/>
      <c r="BQ47" s="562" t="n"/>
      <c r="BR47" s="562" t="n"/>
      <c r="BS47" s="562" t="n"/>
      <c r="BT47" s="562" t="n"/>
      <c r="BU47" s="562" t="n"/>
      <c r="BV47" s="1050" t="n"/>
    </row>
    <row r="48" ht="13.5" customHeight="1" s="981">
      <c r="A48" s="562" t="inlineStr">
        <is>
          <t>KBC</t>
        </is>
      </c>
      <c r="B48" s="562" t="inlineStr">
        <is>
          <t>BĐS KCN</t>
        </is>
      </c>
      <c r="C48" s="562" t="inlineStr">
        <is>
          <t>HOSE</t>
        </is>
      </c>
      <c r="D48" s="562" t="n">
        <v>0.005</v>
      </c>
      <c r="E48" s="562" t="n">
        <v>16</v>
      </c>
      <c r="F48" s="562" t="n">
        <v>26576</v>
      </c>
      <c r="G48" s="562" t="n">
        <v>31500</v>
      </c>
      <c r="H48" s="562" t="n">
        <v>504000</v>
      </c>
      <c r="I48" s="562" t="n">
        <v>0</v>
      </c>
      <c r="J48" s="562" t="n"/>
      <c r="K48" s="562" t="n"/>
      <c r="L48" s="562" t="n"/>
      <c r="M48" s="562" t="n"/>
      <c r="N48" s="562" t="n"/>
      <c r="O48" s="562" t="n"/>
      <c r="P48" s="562" t="n"/>
      <c r="Q48" s="562" t="n"/>
      <c r="R48" s="562" t="n"/>
      <c r="S48" s="562" t="n"/>
      <c r="T48" s="562" t="n"/>
      <c r="U48" s="562" t="n"/>
      <c r="V48" s="562" t="n"/>
      <c r="W48" s="562" t="n"/>
      <c r="X48" s="562" t="n"/>
      <c r="Y48" s="562" t="n"/>
      <c r="Z48" s="562" t="n"/>
      <c r="AA48" s="562" t="n"/>
      <c r="AB48" s="562" t="n"/>
      <c r="AC48" s="562" t="n"/>
      <c r="AD48" s="562" t="n"/>
      <c r="AE48" s="562" t="n"/>
      <c r="AF48" s="562" t="n"/>
      <c r="AG48" s="562" t="n"/>
      <c r="AH48" s="562" t="n"/>
      <c r="AI48" s="562" t="n"/>
      <c r="AJ48" s="562" t="n"/>
      <c r="AK48" s="562" t="n"/>
      <c r="AL48" s="562" t="n"/>
      <c r="AM48" s="562" t="n"/>
      <c r="AN48" s="562" t="n"/>
      <c r="AO48" s="562" t="n"/>
      <c r="AP48" s="562" t="n"/>
      <c r="AQ48" s="562" t="n"/>
      <c r="AR48" s="562" t="n"/>
      <c r="AS48" s="562" t="n"/>
      <c r="AT48" s="562" t="n"/>
      <c r="AU48" s="562" t="n"/>
      <c r="AV48" s="562" t="n"/>
      <c r="AW48" s="562" t="n"/>
      <c r="AX48" s="562" t="n"/>
      <c r="AY48" s="562" t="n"/>
      <c r="AZ48" s="562" t="n"/>
      <c r="BA48" s="562" t="n"/>
      <c r="BB48" s="562" t="n"/>
      <c r="BC48" s="562" t="n"/>
      <c r="BD48" s="562" t="n"/>
      <c r="BE48" s="562" t="n"/>
      <c r="BF48" s="562" t="n"/>
      <c r="BG48" s="562" t="n"/>
      <c r="BH48" s="562" t="n"/>
      <c r="BI48" s="562" t="n"/>
      <c r="BJ48" s="562" t="n"/>
      <c r="BK48" s="562" t="n"/>
      <c r="BL48" s="562" t="n"/>
      <c r="BM48" s="562" t="n"/>
      <c r="BN48" s="562" t="n"/>
      <c r="BO48" s="562" t="n"/>
      <c r="BP48" s="562" t="n"/>
      <c r="BQ48" s="562" t="n"/>
      <c r="BR48" s="562" t="n"/>
      <c r="BS48" s="562" t="n"/>
      <c r="BT48" s="562" t="n"/>
      <c r="BU48" s="562" t="n"/>
      <c r="BV48" s="1050" t="n"/>
    </row>
    <row r="49" ht="13.5" customHeight="1" s="981">
      <c r="A49" s="576" t="inlineStr">
        <is>
          <t>TNG</t>
        </is>
      </c>
      <c r="B49" s="576" t="inlineStr">
        <is>
          <t>Dệt may</t>
        </is>
      </c>
      <c r="C49" s="576" t="inlineStr">
        <is>
          <t>HNX</t>
        </is>
      </c>
      <c r="D49" s="576" t="n">
        <v>0.005</v>
      </c>
      <c r="E49" s="576" t="n">
        <v>26</v>
      </c>
      <c r="F49" s="576" t="n">
        <v>18542</v>
      </c>
      <c r="G49" s="576" t="n">
        <v>18900</v>
      </c>
      <c r="H49" s="576" t="n">
        <v>491400</v>
      </c>
      <c r="I49" s="1050" t="n">
        <v>0</v>
      </c>
      <c r="J49" s="1050" t="n"/>
      <c r="K49" s="1050" t="n"/>
      <c r="L49" s="1050" t="n"/>
      <c r="M49" s="1050" t="n"/>
      <c r="N49" s="1050" t="n"/>
      <c r="O49" s="1050" t="n"/>
      <c r="P49" s="1050" t="n"/>
      <c r="Q49" s="1050" t="n"/>
      <c r="R49" s="1050" t="n"/>
      <c r="S49" s="1050" t="n"/>
      <c r="T49" s="1050" t="n"/>
      <c r="U49" s="1050" t="n"/>
      <c r="V49" s="1050" t="n"/>
      <c r="W49" s="1050" t="n"/>
      <c r="X49" s="1050" t="n"/>
      <c r="Y49" s="1050" t="n"/>
      <c r="Z49" s="1050" t="n"/>
      <c r="AA49" s="1050" t="n"/>
      <c r="AB49" s="1050" t="n"/>
      <c r="AC49" s="1050" t="n"/>
      <c r="AD49" s="1050" t="n"/>
      <c r="AE49" s="1050" t="n"/>
      <c r="AF49" s="1050" t="n"/>
      <c r="AG49" s="1050" t="n"/>
      <c r="AH49" s="1050" t="n"/>
      <c r="AI49" s="1050" t="n"/>
      <c r="AJ49" s="1050" t="n"/>
      <c r="AK49" s="1050" t="n"/>
      <c r="AL49" s="1050" t="n"/>
      <c r="AM49" s="1050" t="n"/>
      <c r="AN49" s="1050" t="n"/>
      <c r="AO49" s="1050" t="n"/>
      <c r="AP49" s="1050" t="n"/>
      <c r="AQ49" s="1050" t="n"/>
      <c r="AR49" s="1050" t="n"/>
      <c r="AS49" s="1050" t="n"/>
      <c r="AT49" s="1050" t="n"/>
      <c r="AU49" s="1050" t="n"/>
      <c r="AV49" s="1050" t="n"/>
      <c r="AW49" s="1050" t="n"/>
      <c r="AX49" s="1050" t="n"/>
      <c r="AY49" s="1050" t="n"/>
      <c r="AZ49" s="1050" t="n"/>
      <c r="BA49" s="1050" t="n"/>
      <c r="BB49" s="1050" t="n"/>
      <c r="BC49" s="1050" t="n"/>
      <c r="BD49" s="1050" t="n"/>
      <c r="BE49" s="1050" t="n"/>
      <c r="BF49" s="1050" t="n"/>
      <c r="BG49" s="1050" t="n"/>
      <c r="BH49" s="1050" t="n"/>
      <c r="BI49" s="1050" t="n"/>
      <c r="BJ49" s="1050" t="n"/>
      <c r="BK49" s="1050" t="n"/>
      <c r="BL49" s="1050" t="n"/>
      <c r="BM49" s="1050" t="n"/>
      <c r="BN49" s="1050" t="n"/>
      <c r="BO49" s="1050" t="n"/>
      <c r="BP49" s="1050" t="n"/>
      <c r="BQ49" s="1050" t="n"/>
      <c r="BR49" s="1050" t="n"/>
      <c r="BS49" s="1050" t="n"/>
      <c r="BT49" s="1050" t="n"/>
      <c r="BU49" s="1050" t="n"/>
      <c r="BV49" s="1050" t="n"/>
    </row>
    <row r="50">
      <c r="A50" t="inlineStr">
        <is>
          <t>IDI</t>
        </is>
      </c>
      <c r="B50" t="inlineStr">
        <is>
          <t>Thủy sản</t>
        </is>
      </c>
      <c r="C50" t="inlineStr">
        <is>
          <t>HOSE</t>
        </is>
      </c>
      <c r="D50" t="n">
        <v>0.005</v>
      </c>
      <c r="E50" t="n">
        <v>87</v>
      </c>
      <c r="F50" t="n">
        <v>5546</v>
      </c>
      <c r="G50" t="n">
        <v>5750</v>
      </c>
      <c r="H50" t="n">
        <v>500250</v>
      </c>
      <c r="I50" t="n">
        <v>0</v>
      </c>
    </row>
    <row r="51">
      <c r="A51" t="inlineStr">
        <is>
          <t>DHT</t>
        </is>
      </c>
      <c r="B51" t="inlineStr">
        <is>
          <t>Y tế</t>
        </is>
      </c>
      <c r="C51" t="inlineStr">
        <is>
          <t>HNX</t>
        </is>
      </c>
      <c r="D51" t="n">
        <v>0.005</v>
      </c>
      <c r="E51" t="n">
        <v>93</v>
      </c>
      <c r="F51" t="n">
        <v>4657</v>
      </c>
      <c r="G51" t="n">
        <v>5400</v>
      </c>
      <c r="H51" t="n">
        <v>502200</v>
      </c>
      <c r="I51" t="n">
        <v>0</v>
      </c>
    </row>
    <row r="52">
      <c r="A52" t="inlineStr">
        <is>
          <t>DXG</t>
        </is>
      </c>
      <c r="B52" t="inlineStr">
        <is>
          <t>Bất động sản</t>
        </is>
      </c>
      <c r="C52" t="inlineStr">
        <is>
          <t>HOSE</t>
        </is>
      </c>
      <c r="D52" t="n">
        <v>0.005</v>
      </c>
      <c r="E52" t="n">
        <v>37</v>
      </c>
      <c r="F52" t="n">
        <v>12981</v>
      </c>
      <c r="G52" t="n">
        <v>13350</v>
      </c>
      <c r="H52" t="n">
        <v>493950</v>
      </c>
      <c r="I52" t="n">
        <v>0</v>
      </c>
    </row>
    <row r="53">
      <c r="A53" t="inlineStr">
        <is>
          <t>VOS</t>
        </is>
      </c>
      <c r="B53" t="inlineStr">
        <is>
          <t>Vận tải biển</t>
        </is>
      </c>
      <c r="C53" t="inlineStr">
        <is>
          <t>HOSE</t>
        </is>
      </c>
      <c r="D53" t="n">
        <v>0.005</v>
      </c>
      <c r="E53" t="n">
        <v>40</v>
      </c>
      <c r="F53" t="n">
        <v>10329</v>
      </c>
      <c r="G53" t="n">
        <v>12450</v>
      </c>
      <c r="H53" t="n">
        <v>498000</v>
      </c>
      <c r="I53" t="n">
        <v>0</v>
      </c>
    </row>
    <row r="54">
      <c r="A54" t="inlineStr">
        <is>
          <t>FTS</t>
        </is>
      </c>
      <c r="B54" t="inlineStr">
        <is>
          <t>Chứng khoán</t>
        </is>
      </c>
      <c r="C54" t="inlineStr">
        <is>
          <t>HOSE</t>
        </is>
      </c>
      <c r="D54" t="n">
        <v>0.005</v>
      </c>
      <c r="E54" t="n">
        <v>21</v>
      </c>
      <c r="F54" t="n">
        <v>22042</v>
      </c>
      <c r="G54" t="n">
        <v>23800</v>
      </c>
      <c r="H54" t="n">
        <v>499800</v>
      </c>
      <c r="I54" t="n">
        <v>0</v>
      </c>
    </row>
    <row r="55">
      <c r="A55" t="inlineStr">
        <is>
          <t>SCG</t>
        </is>
      </c>
      <c r="B55" t="inlineStr">
        <is>
          <t>Đa ngành</t>
        </is>
      </c>
      <c r="C55" t="inlineStr">
        <is>
          <t>HOSE</t>
        </is>
      </c>
      <c r="D55" t="n">
        <v>0.005</v>
      </c>
      <c r="E55" t="n">
        <v>32</v>
      </c>
      <c r="F55" t="n">
        <v>14323</v>
      </c>
      <c r="G55" t="n">
        <v>15800</v>
      </c>
      <c r="H55" t="n">
        <v>505600</v>
      </c>
      <c r="I55" t="n">
        <v>0</v>
      </c>
    </row>
    <row r="56">
      <c r="A56" t="inlineStr">
        <is>
          <t>VGI</t>
        </is>
      </c>
      <c r="B56" t="inlineStr">
        <is>
          <t>CNTT</t>
        </is>
      </c>
      <c r="C56" t="inlineStr">
        <is>
          <t>HOSE</t>
        </is>
      </c>
      <c r="D56" t="n">
        <v>0.005</v>
      </c>
      <c r="E56" t="n">
        <v>5</v>
      </c>
      <c r="F56" t="n">
        <v>91774</v>
      </c>
      <c r="G56" t="n">
        <v>94200</v>
      </c>
      <c r="H56" t="n">
        <v>471000</v>
      </c>
      <c r="I56" t="n">
        <v>0</v>
      </c>
    </row>
    <row r="57">
      <c r="A57" t="inlineStr">
        <is>
          <t>FMC</t>
        </is>
      </c>
      <c r="B57" t="inlineStr">
        <is>
          <t>Thủy sản</t>
        </is>
      </c>
      <c r="C57" t="inlineStr">
        <is>
          <t>HOSE</t>
        </is>
      </c>
      <c r="D57" t="n">
        <v>0.005</v>
      </c>
      <c r="E57" t="n">
        <v>14</v>
      </c>
      <c r="F57" t="n">
        <v>30761</v>
      </c>
      <c r="G57" t="n">
        <v>35950</v>
      </c>
      <c r="H57" t="n">
        <v>503300</v>
      </c>
      <c r="I57" t="n">
        <v>0</v>
      </c>
    </row>
    <row r="58">
      <c r="A58" t="inlineStr">
        <is>
          <t>STG</t>
        </is>
      </c>
      <c r="B58" t="inlineStr">
        <is>
          <t>Logistics</t>
        </is>
      </c>
      <c r="C58" t="inlineStr">
        <is>
          <t>HOSE</t>
        </is>
      </c>
      <c r="D58" t="n">
        <v>0.005</v>
      </c>
      <c r="E58" t="n">
        <v>15</v>
      </c>
      <c r="F58" t="n">
        <v>28588</v>
      </c>
      <c r="G58" t="n">
        <v>32650</v>
      </c>
      <c r="H58" t="n">
        <v>489750</v>
      </c>
      <c r="I58" t="n">
        <v>0</v>
      </c>
    </row>
    <row r="59">
      <c r="A59" t="inlineStr">
        <is>
          <t>HAP</t>
        </is>
      </c>
      <c r="B59" t="inlineStr">
        <is>
          <t>Thương mại</t>
        </is>
      </c>
      <c r="C59" t="inlineStr">
        <is>
          <t>HNX</t>
        </is>
      </c>
      <c r="D59" t="n">
        <v>0.005</v>
      </c>
      <c r="E59" t="n">
        <v>23</v>
      </c>
      <c r="F59" t="n">
        <v>20932</v>
      </c>
      <c r="G59" t="n">
        <v>21700</v>
      </c>
      <c r="H59" t="n">
        <v>499100</v>
      </c>
      <c r="I59" t="n">
        <v>0</v>
      </c>
    </row>
    <row r="60">
      <c r="A60" t="inlineStr">
        <is>
          <t>GEG</t>
        </is>
      </c>
      <c r="B60" t="inlineStr">
        <is>
          <t>Điện</t>
        </is>
      </c>
      <c r="C60" t="inlineStr">
        <is>
          <t>UPCoM</t>
        </is>
      </c>
      <c r="D60" t="n">
        <v>0.005</v>
      </c>
      <c r="E60" t="n">
        <v>35</v>
      </c>
      <c r="F60" t="n">
        <v>12823</v>
      </c>
      <c r="G60" t="n">
        <v>14200</v>
      </c>
      <c r="H60" t="n">
        <v>497000</v>
      </c>
      <c r="I60" t="n">
        <v>0</v>
      </c>
    </row>
    <row r="61">
      <c r="A61" t="inlineStr">
        <is>
          <t>MPC</t>
        </is>
      </c>
      <c r="B61" t="inlineStr">
        <is>
          <t>Thủy sản</t>
        </is>
      </c>
      <c r="C61" t="inlineStr">
        <is>
          <t>HOSE</t>
        </is>
      </c>
      <c r="D61" t="n">
        <v>0.005</v>
      </c>
      <c r="E61" t="n">
        <v>32</v>
      </c>
      <c r="F61" t="n">
        <v>14921</v>
      </c>
      <c r="G61" t="n">
        <v>15800</v>
      </c>
      <c r="H61" t="n">
        <v>505600</v>
      </c>
      <c r="I61" t="n">
        <v>0</v>
      </c>
    </row>
    <row r="62">
      <c r="A62" t="inlineStr">
        <is>
          <t>PVI</t>
        </is>
      </c>
      <c r="B62" t="inlineStr">
        <is>
          <t>Bảo hiểm</t>
        </is>
      </c>
      <c r="C62" t="inlineStr">
        <is>
          <t>HOSE</t>
        </is>
      </c>
      <c r="D62" t="n">
        <v>0.005</v>
      </c>
      <c r="E62" t="n">
        <v>6</v>
      </c>
      <c r="F62" t="n">
        <v>72790</v>
      </c>
      <c r="G62" t="n">
        <v>78000</v>
      </c>
      <c r="H62" t="n">
        <v>468000</v>
      </c>
      <c r="I62" t="n">
        <v>0</v>
      </c>
    </row>
    <row r="63">
      <c r="A63" t="inlineStr">
        <is>
          <t>BAB</t>
        </is>
      </c>
      <c r="B63" t="inlineStr">
        <is>
          <t>Ngân hàng</t>
        </is>
      </c>
      <c r="C63" t="inlineStr">
        <is>
          <t>HNX</t>
        </is>
      </c>
      <c r="D63" t="n">
        <v>0.005</v>
      </c>
      <c r="E63" t="n">
        <v>45</v>
      </c>
      <c r="F63" t="n">
        <v>10434</v>
      </c>
      <c r="G63" t="n">
        <v>11100</v>
      </c>
      <c r="H63" t="n">
        <v>499500</v>
      </c>
      <c r="I63" t="n">
        <v>0</v>
      </c>
    </row>
    <row r="64">
      <c r="A64" t="inlineStr">
        <is>
          <t>HOM</t>
        </is>
      </c>
      <c r="B64" t="inlineStr">
        <is>
          <t>Xi măng</t>
        </is>
      </c>
      <c r="C64" t="inlineStr">
        <is>
          <t>HOSE</t>
        </is>
      </c>
      <c r="D64" t="n">
        <v>0.005</v>
      </c>
      <c r="E64" t="n">
        <v>20</v>
      </c>
      <c r="F64" t="n">
        <v>24572</v>
      </c>
      <c r="G64" t="n">
        <v>24730</v>
      </c>
      <c r="H64" t="n">
        <v>494600</v>
      </c>
      <c r="I64" t="n">
        <v>0</v>
      </c>
    </row>
    <row r="65">
      <c r="A65" t="inlineStr">
        <is>
          <t>MSB</t>
        </is>
      </c>
      <c r="B65" t="inlineStr">
        <is>
          <t>Ngân hàng</t>
        </is>
      </c>
      <c r="C65" t="inlineStr">
        <is>
          <t>HOSE</t>
        </is>
      </c>
      <c r="D65" t="n">
        <v>0.005</v>
      </c>
      <c r="E65" t="n">
        <v>33</v>
      </c>
      <c r="F65" t="n">
        <v>13540</v>
      </c>
      <c r="G65" t="n">
        <v>15100</v>
      </c>
      <c r="H65" t="n">
        <v>498300</v>
      </c>
      <c r="I65" t="n">
        <v>0</v>
      </c>
    </row>
    <row r="66">
      <c r="A66" t="inlineStr">
        <is>
          <t>VRE</t>
        </is>
      </c>
      <c r="B66" t="inlineStr">
        <is>
          <t>Bất động sản</t>
        </is>
      </c>
      <c r="C66" t="inlineStr">
        <is>
          <t>HOSE</t>
        </is>
      </c>
      <c r="D66" t="n">
        <v>0.005</v>
      </c>
      <c r="E66" t="n">
        <v>16</v>
      </c>
      <c r="F66" t="n">
        <v>30329</v>
      </c>
      <c r="G66" t="n">
        <v>32250</v>
      </c>
      <c r="H66" t="n">
        <v>516000</v>
      </c>
      <c r="I66" t="n">
        <v>0</v>
      </c>
    </row>
    <row r="67">
      <c r="A67" t="inlineStr">
        <is>
          <t>ROS</t>
        </is>
      </c>
      <c r="B67" t="inlineStr">
        <is>
          <t>Xây dựng</t>
        </is>
      </c>
      <c r="C67" t="inlineStr">
        <is>
          <t>HOSE</t>
        </is>
      </c>
      <c r="D67" t="n">
        <v>0.005</v>
      </c>
      <c r="E67" t="n">
        <v>199</v>
      </c>
      <c r="F67" t="n">
        <v>2183</v>
      </c>
      <c r="G67" t="n">
        <v>2510</v>
      </c>
      <c r="H67" t="n">
        <v>499490</v>
      </c>
      <c r="I67" t="n">
        <v>0</v>
      </c>
    </row>
    <row r="68">
      <c r="A68" t="inlineStr">
        <is>
          <t>DCM</t>
        </is>
      </c>
      <c r="B68" t="inlineStr">
        <is>
          <t>Phân bón</t>
        </is>
      </c>
      <c r="C68" t="inlineStr">
        <is>
          <t>HOSE</t>
        </is>
      </c>
      <c r="D68" t="n">
        <v>0.005</v>
      </c>
      <c r="E68" t="n">
        <v>12</v>
      </c>
      <c r="F68" t="n">
        <v>31663</v>
      </c>
      <c r="G68" t="n">
        <v>40200</v>
      </c>
      <c r="H68" t="n">
        <v>482400</v>
      </c>
      <c r="I68" t="n">
        <v>0</v>
      </c>
    </row>
    <row r="69">
      <c r="A69" t="inlineStr">
        <is>
          <t>HDC</t>
        </is>
      </c>
      <c r="B69" t="inlineStr">
        <is>
          <t>BĐS</t>
        </is>
      </c>
      <c r="C69" t="inlineStr">
        <is>
          <t>HOSE</t>
        </is>
      </c>
      <c r="D69" t="n">
        <v>0.005</v>
      </c>
      <c r="E69" t="n">
        <v>28</v>
      </c>
      <c r="F69" t="n">
        <v>17298</v>
      </c>
      <c r="G69" t="n">
        <v>18000</v>
      </c>
      <c r="H69" t="n">
        <v>504000</v>
      </c>
      <c r="I69" t="n">
        <v>0</v>
      </c>
    </row>
    <row r="70">
      <c r="A70" t="inlineStr">
        <is>
          <t>LHG</t>
        </is>
      </c>
      <c r="B70" t="inlineStr">
        <is>
          <t>BĐS KCN</t>
        </is>
      </c>
      <c r="C70" t="inlineStr">
        <is>
          <t>HOSE</t>
        </is>
      </c>
      <c r="D70" t="n">
        <v>0.005</v>
      </c>
      <c r="E70" t="n">
        <v>18</v>
      </c>
      <c r="F70" t="n">
        <v>22483</v>
      </c>
      <c r="G70" t="n">
        <v>27300</v>
      </c>
      <c r="H70" t="n">
        <v>491400</v>
      </c>
      <c r="I70" t="n">
        <v>0</v>
      </c>
    </row>
    <row r="71">
      <c r="A71" t="inlineStr">
        <is>
          <t>KSB</t>
        </is>
      </c>
      <c r="B71" t="inlineStr">
        <is>
          <t>Khoáng sản</t>
        </is>
      </c>
      <c r="C71" t="inlineStr">
        <is>
          <t>HOSE</t>
        </is>
      </c>
      <c r="D71" t="n">
        <v>0.005</v>
      </c>
      <c r="E71" t="n">
        <v>32</v>
      </c>
      <c r="F71" t="n">
        <v>15092</v>
      </c>
      <c r="G71" t="n">
        <v>15450</v>
      </c>
      <c r="H71" t="n">
        <v>494400</v>
      </c>
      <c r="I71" t="n">
        <v>0</v>
      </c>
    </row>
    <row r="72">
      <c r="A72" t="inlineStr">
        <is>
          <t>ACV</t>
        </is>
      </c>
      <c r="B72" t="inlineStr">
        <is>
          <t>Hàng không</t>
        </is>
      </c>
      <c r="C72" t="inlineStr">
        <is>
          <t>UPCoM</t>
        </is>
      </c>
      <c r="D72" t="n">
        <v>0.005</v>
      </c>
      <c r="E72" t="n">
        <v>11</v>
      </c>
      <c r="F72" t="n">
        <v>43868</v>
      </c>
      <c r="G72" t="n">
        <v>43900</v>
      </c>
      <c r="H72" t="n">
        <v>482900</v>
      </c>
      <c r="I72" t="n">
        <v>0</v>
      </c>
    </row>
    <row r="73">
      <c r="A73" t="inlineStr">
        <is>
          <t>CSM</t>
        </is>
      </c>
      <c r="B73" t="inlineStr">
        <is>
          <t>Cao su</t>
        </is>
      </c>
      <c r="C73" t="inlineStr">
        <is>
          <t>HOSE</t>
        </is>
      </c>
      <c r="D73" t="n">
        <v>0.005</v>
      </c>
      <c r="E73" t="n">
        <v>30</v>
      </c>
      <c r="F73" t="n">
        <v>15664</v>
      </c>
      <c r="G73" t="n">
        <v>16700</v>
      </c>
      <c r="H73" t="n">
        <v>501000</v>
      </c>
      <c r="I73" t="n">
        <v>0</v>
      </c>
    </row>
    <row r="74">
      <c r="A74" t="inlineStr">
        <is>
          <t>VJC</t>
        </is>
      </c>
      <c r="B74" t="inlineStr">
        <is>
          <t>Hàng không</t>
        </is>
      </c>
      <c r="C74" t="inlineStr">
        <is>
          <t>HOSE</t>
        </is>
      </c>
      <c r="D74" t="n">
        <v>0.005</v>
      </c>
      <c r="E74" t="n">
        <v>3</v>
      </c>
      <c r="F74" t="n">
        <v>139870</v>
      </c>
      <c r="G74" t="n">
        <v>170400</v>
      </c>
      <c r="H74" t="n">
        <v>511200</v>
      </c>
      <c r="I74" t="n">
        <v>0</v>
      </c>
    </row>
    <row r="75">
      <c r="A75" t="inlineStr">
        <is>
          <t>VNS</t>
        </is>
      </c>
      <c r="B75" t="inlineStr">
        <is>
          <t>Vận tải</t>
        </is>
      </c>
      <c r="C75" t="inlineStr">
        <is>
          <t>UPCoM</t>
        </is>
      </c>
      <c r="D75" t="n">
        <v>0.005</v>
      </c>
      <c r="E75" t="n">
        <v>32</v>
      </c>
      <c r="F75" t="n">
        <v>13343</v>
      </c>
      <c r="G75" t="n">
        <v>15500</v>
      </c>
      <c r="H75" t="n">
        <v>496000</v>
      </c>
      <c r="I75" t="n">
        <v>0</v>
      </c>
    </row>
    <row r="76">
      <c r="A76" t="inlineStr">
        <is>
          <t>NTP</t>
        </is>
      </c>
      <c r="B76" t="inlineStr">
        <is>
          <t>Nhựa</t>
        </is>
      </c>
      <c r="C76" t="inlineStr">
        <is>
          <t>HNX</t>
        </is>
      </c>
      <c r="D76" t="n">
        <v>0.005</v>
      </c>
      <c r="E76" t="n">
        <v>166</v>
      </c>
      <c r="F76" t="n">
        <v>2639</v>
      </c>
      <c r="G76" t="n">
        <v>3020</v>
      </c>
      <c r="H76" t="n">
        <v>501320</v>
      </c>
      <c r="I76" t="n">
        <v>0</v>
      </c>
    </row>
    <row r="77">
      <c r="A77" t="inlineStr">
        <is>
          <t>KDH</t>
        </is>
      </c>
      <c r="B77" t="inlineStr">
        <is>
          <t>Bất động sản</t>
        </is>
      </c>
      <c r="C77" t="inlineStr">
        <is>
          <t>HOSE</t>
        </is>
      </c>
      <c r="D77" t="n">
        <v>0.005</v>
      </c>
      <c r="E77" t="n">
        <v>22</v>
      </c>
      <c r="F77" t="n">
        <v>18345</v>
      </c>
      <c r="G77" t="n">
        <v>23000</v>
      </c>
      <c r="H77" t="n">
        <v>506000</v>
      </c>
      <c r="I77" t="n">
        <v>0</v>
      </c>
    </row>
    <row r="78">
      <c r="A78" t="inlineStr">
        <is>
          <t>VEC</t>
        </is>
      </c>
      <c r="B78" t="inlineStr">
        <is>
          <t>Hạ tầng</t>
        </is>
      </c>
      <c r="C78" t="inlineStr">
        <is>
          <t>UPCoM</t>
        </is>
      </c>
      <c r="D78" t="n">
        <v>0.005</v>
      </c>
      <c r="E78" t="n">
        <v>9</v>
      </c>
      <c r="F78" t="n">
        <v>50886</v>
      </c>
      <c r="G78" t="n">
        <v>57200</v>
      </c>
      <c r="H78" t="n">
        <v>514800</v>
      </c>
      <c r="I78" t="n">
        <v>0</v>
      </c>
    </row>
    <row r="79">
      <c r="A79" t="inlineStr">
        <is>
          <t>SGB</t>
        </is>
      </c>
      <c r="B79" t="inlineStr">
        <is>
          <t>Ngân hàng</t>
        </is>
      </c>
      <c r="C79" t="inlineStr">
        <is>
          <t>HNX</t>
        </is>
      </c>
      <c r="D79" t="n">
        <v>0.005</v>
      </c>
      <c r="E79" t="n">
        <v>41</v>
      </c>
      <c r="F79" t="n">
        <v>11194</v>
      </c>
      <c r="G79" t="n">
        <v>12200</v>
      </c>
      <c r="H79" t="n">
        <v>500200</v>
      </c>
      <c r="I79" t="n">
        <v>0</v>
      </c>
    </row>
    <row r="80">
      <c r="A80" t="inlineStr">
        <is>
          <t>BWE</t>
        </is>
      </c>
      <c r="B80" t="inlineStr">
        <is>
          <t>Cấp nước</t>
        </is>
      </c>
      <c r="C80" t="inlineStr">
        <is>
          <t>HOSE</t>
        </is>
      </c>
      <c r="D80" t="n">
        <v>0.005</v>
      </c>
      <c r="E80" t="n">
        <v>11</v>
      </c>
      <c r="F80" t="n">
        <v>37869</v>
      </c>
      <c r="G80" t="n">
        <v>44000</v>
      </c>
      <c r="H80" t="n">
        <v>484000</v>
      </c>
      <c r="I80" t="n">
        <v>0</v>
      </c>
    </row>
    <row r="81">
      <c r="A81" t="inlineStr">
        <is>
          <t>BID</t>
        </is>
      </c>
      <c r="B81" t="inlineStr">
        <is>
          <t>Ngân hàng</t>
        </is>
      </c>
      <c r="C81" t="inlineStr">
        <is>
          <t>HOSE</t>
        </is>
      </c>
      <c r="D81" t="n">
        <v>0.005</v>
      </c>
      <c r="E81" t="n">
        <v>12</v>
      </c>
      <c r="F81" t="n">
        <v>35078</v>
      </c>
      <c r="G81" t="n">
        <v>42500</v>
      </c>
      <c r="H81" t="n">
        <v>510000</v>
      </c>
      <c r="I81" t="n">
        <v>0</v>
      </c>
    </row>
    <row r="82">
      <c r="A82" t="inlineStr">
        <is>
          <t>TIG</t>
        </is>
      </c>
      <c r="B82" t="inlineStr">
        <is>
          <t>Đa ngành</t>
        </is>
      </c>
      <c r="C82" t="inlineStr">
        <is>
          <t>HNX</t>
        </is>
      </c>
      <c r="D82" t="n">
        <v>0.005</v>
      </c>
      <c r="E82" t="n">
        <v>70</v>
      </c>
      <c r="F82" t="n">
        <v>5688</v>
      </c>
      <c r="G82" t="n">
        <v>7100</v>
      </c>
      <c r="H82" t="n">
        <v>497000</v>
      </c>
      <c r="I82" t="n">
        <v>0</v>
      </c>
    </row>
    <row r="83">
      <c r="A83" t="inlineStr">
        <is>
          <t>OCB</t>
        </is>
      </c>
      <c r="B83" t="inlineStr">
        <is>
          <t>Ngân hàng</t>
        </is>
      </c>
      <c r="C83" t="inlineStr">
        <is>
          <t>HOSE</t>
        </is>
      </c>
      <c r="D83" t="n">
        <v>0.005</v>
      </c>
      <c r="E83" t="n">
        <v>43</v>
      </c>
      <c r="F83" t="n">
        <v>10937</v>
      </c>
      <c r="G83" t="n">
        <v>11750</v>
      </c>
      <c r="H83" t="n">
        <v>505250</v>
      </c>
      <c r="I83" t="n">
        <v>0</v>
      </c>
    </row>
    <row r="84">
      <c r="A84" t="inlineStr">
        <is>
          <t>SSB</t>
        </is>
      </c>
      <c r="B84" t="inlineStr">
        <is>
          <t>Ngân hàng</t>
        </is>
      </c>
      <c r="C84" t="inlineStr">
        <is>
          <t>HOSE</t>
        </is>
      </c>
      <c r="D84" t="n">
        <v>0.005</v>
      </c>
      <c r="E84" t="n">
        <v>30</v>
      </c>
      <c r="F84" t="n">
        <v>13077</v>
      </c>
      <c r="G84" t="n">
        <v>16700</v>
      </c>
      <c r="H84" t="n">
        <v>501000</v>
      </c>
      <c r="I84" t="n">
        <v>0</v>
      </c>
    </row>
    <row r="85">
      <c r="A85" t="inlineStr">
        <is>
          <t>REE</t>
        </is>
      </c>
      <c r="B85" t="inlineStr">
        <is>
          <t>Cơ điện</t>
        </is>
      </c>
      <c r="C85" t="inlineStr">
        <is>
          <t>HOSE</t>
        </is>
      </c>
      <c r="D85" t="n">
        <v>0.005</v>
      </c>
      <c r="E85" t="n">
        <v>9</v>
      </c>
      <c r="F85" t="n">
        <v>45816</v>
      </c>
      <c r="G85" t="n">
        <v>53000</v>
      </c>
      <c r="H85" t="n">
        <v>477000</v>
      </c>
      <c r="I85" t="n">
        <v>0</v>
      </c>
    </row>
    <row r="86">
      <c r="A86" t="inlineStr">
        <is>
          <t>VAB</t>
        </is>
      </c>
      <c r="B86" t="inlineStr">
        <is>
          <t>Ngân hàng</t>
        </is>
      </c>
      <c r="C86" t="inlineStr">
        <is>
          <t>HOSE</t>
        </is>
      </c>
      <c r="D86" t="n">
        <v>0.005</v>
      </c>
      <c r="E86" t="n">
        <v>50</v>
      </c>
      <c r="F86" t="n">
        <v>8433</v>
      </c>
      <c r="G86" t="n">
        <v>10100</v>
      </c>
      <c r="H86" t="n">
        <v>505000</v>
      </c>
      <c r="I86" t="n">
        <v>0</v>
      </c>
    </row>
    <row r="87">
      <c r="A87" t="inlineStr">
        <is>
          <t>KLB</t>
        </is>
      </c>
      <c r="B87" t="inlineStr">
        <is>
          <t>Ngân hàng</t>
        </is>
      </c>
      <c r="C87" t="inlineStr">
        <is>
          <t>HOSE</t>
        </is>
      </c>
      <c r="D87" t="n">
        <v>0.005</v>
      </c>
      <c r="E87" t="n">
        <v>36</v>
      </c>
      <c r="F87" t="n">
        <v>12753</v>
      </c>
      <c r="G87" t="n">
        <v>14050</v>
      </c>
      <c r="H87" t="n">
        <v>505800</v>
      </c>
      <c r="I87" t="n">
        <v>0</v>
      </c>
    </row>
    <row r="88">
      <c r="A88" t="inlineStr">
        <is>
          <t>BSI</t>
        </is>
      </c>
      <c r="B88" t="inlineStr">
        <is>
          <t>Chứng khoán</t>
        </is>
      </c>
      <c r="C88" t="inlineStr">
        <is>
          <t>HOSE</t>
        </is>
      </c>
      <c r="D88" t="n">
        <v>0.005</v>
      </c>
      <c r="E88" t="n">
        <v>14</v>
      </c>
      <c r="F88" t="n">
        <v>33522</v>
      </c>
      <c r="G88" t="n">
        <v>35150</v>
      </c>
      <c r="H88" t="n">
        <v>492100</v>
      </c>
      <c r="I88" t="n">
        <v>0</v>
      </c>
    </row>
    <row r="89">
      <c r="A89" t="inlineStr">
        <is>
          <t>TDC</t>
        </is>
      </c>
      <c r="B89" t="inlineStr">
        <is>
          <t>BĐS</t>
        </is>
      </c>
      <c r="C89" t="inlineStr">
        <is>
          <t>HOSE</t>
        </is>
      </c>
      <c r="D89" t="n">
        <v>0.005</v>
      </c>
      <c r="E89" t="n">
        <v>46</v>
      </c>
      <c r="F89" t="n">
        <v>10830</v>
      </c>
      <c r="G89" t="n">
        <v>10850</v>
      </c>
      <c r="H89" t="n">
        <v>499100</v>
      </c>
      <c r="I89" t="n">
        <v>0</v>
      </c>
    </row>
    <row r="90">
      <c r="A90" t="inlineStr">
        <is>
          <t>ASM</t>
        </is>
      </c>
      <c r="B90" t="inlineStr">
        <is>
          <t>Thủy sản</t>
        </is>
      </c>
      <c r="C90" t="inlineStr">
        <is>
          <t>HOSE</t>
        </is>
      </c>
      <c r="D90" t="n">
        <v>0.005</v>
      </c>
      <c r="E90" t="n">
        <v>85</v>
      </c>
      <c r="F90" t="n">
        <v>5460</v>
      </c>
      <c r="G90" t="n">
        <v>5850</v>
      </c>
      <c r="H90" t="n">
        <v>497250</v>
      </c>
      <c r="I90" t="n">
        <v>0</v>
      </c>
    </row>
    <row r="91">
      <c r="A91" t="inlineStr">
        <is>
          <t>NBB</t>
        </is>
      </c>
      <c r="B91" t="inlineStr">
        <is>
          <t>BĐS</t>
        </is>
      </c>
      <c r="C91" t="inlineStr">
        <is>
          <t>HOSE</t>
        </is>
      </c>
      <c r="D91" t="n">
        <v>0.005</v>
      </c>
      <c r="E91" t="n">
        <v>37</v>
      </c>
      <c r="F91" t="n">
        <v>13794</v>
      </c>
      <c r="G91" t="n">
        <v>13550</v>
      </c>
      <c r="H91" t="n">
        <v>501350</v>
      </c>
      <c r="I91" t="n">
        <v>0</v>
      </c>
    </row>
    <row r="92">
      <c r="A92" t="inlineStr">
        <is>
          <t>QNS</t>
        </is>
      </c>
      <c r="B92" t="inlineStr">
        <is>
          <t>Thực phẩm</t>
        </is>
      </c>
      <c r="C92" t="inlineStr">
        <is>
          <t>UPCoM</t>
        </is>
      </c>
      <c r="D92" t="n">
        <v>0.005</v>
      </c>
      <c r="E92" t="n">
        <v>13</v>
      </c>
      <c r="F92" t="n">
        <v>38432</v>
      </c>
      <c r="G92" t="n">
        <v>38000</v>
      </c>
      <c r="H92" t="n">
        <v>494000</v>
      </c>
      <c r="I92" t="n">
        <v>0</v>
      </c>
    </row>
    <row r="93">
      <c r="A93" t="inlineStr">
        <is>
          <t>CTD</t>
        </is>
      </c>
      <c r="B93" t="inlineStr">
        <is>
          <t>Xây dựng</t>
        </is>
      </c>
      <c r="C93" t="inlineStr">
        <is>
          <t>HOSE</t>
        </is>
      </c>
      <c r="D93" t="n">
        <v>0.005</v>
      </c>
      <c r="E93" t="n">
        <v>7</v>
      </c>
      <c r="F93" t="n">
        <v>67232</v>
      </c>
      <c r="G93" t="n">
        <v>72200</v>
      </c>
      <c r="H93" t="n">
        <v>505400</v>
      </c>
      <c r="I93" t="n">
        <v>0</v>
      </c>
    </row>
    <row r="94">
      <c r="A94" t="inlineStr">
        <is>
          <t>HND</t>
        </is>
      </c>
      <c r="B94" t="inlineStr">
        <is>
          <t>Điện gió</t>
        </is>
      </c>
      <c r="C94" t="inlineStr">
        <is>
          <t>HNX</t>
        </is>
      </c>
      <c r="D94" t="n">
        <v>0.005</v>
      </c>
      <c r="E94" t="n">
        <v>47</v>
      </c>
      <c r="F94" t="n">
        <v>8945</v>
      </c>
      <c r="G94" t="n">
        <v>10700</v>
      </c>
      <c r="H94" t="n">
        <v>502900</v>
      </c>
      <c r="I94" t="n">
        <v>0</v>
      </c>
    </row>
    <row r="95">
      <c r="A95" t="inlineStr">
        <is>
          <t>VLA</t>
        </is>
      </c>
      <c r="B95" t="inlineStr">
        <is>
          <t>CN viễn thông</t>
        </is>
      </c>
      <c r="C95" t="inlineStr">
        <is>
          <t>HOSE</t>
        </is>
      </c>
      <c r="D95" t="n">
        <v>0.005</v>
      </c>
      <c r="E95" t="n">
        <v>14</v>
      </c>
      <c r="F95" t="n">
        <v>31185</v>
      </c>
      <c r="G95" t="n">
        <v>34800</v>
      </c>
      <c r="H95" t="n">
        <v>487200</v>
      </c>
      <c r="I95" t="n">
        <v>0</v>
      </c>
    </row>
    <row r="96">
      <c r="A96" t="inlineStr">
        <is>
          <t>TVN</t>
        </is>
      </c>
      <c r="B96" t="inlineStr">
        <is>
          <t>Thép</t>
        </is>
      </c>
      <c r="C96" t="inlineStr">
        <is>
          <t>HOSE</t>
        </is>
      </c>
      <c r="D96" t="n">
        <v>0.005</v>
      </c>
      <c r="E96" t="n">
        <v>42</v>
      </c>
      <c r="F96" t="n">
        <v>9789</v>
      </c>
      <c r="G96" t="n">
        <v>11900</v>
      </c>
      <c r="H96" t="n">
        <v>499800</v>
      </c>
      <c r="I96" t="n">
        <v>0</v>
      </c>
    </row>
    <row r="97">
      <c r="A97" t="inlineStr">
        <is>
          <t>API</t>
        </is>
      </c>
      <c r="B97" t="inlineStr">
        <is>
          <t>Nông nghiệp</t>
        </is>
      </c>
      <c r="C97" t="inlineStr">
        <is>
          <t>HNX</t>
        </is>
      </c>
      <c r="D97" t="n">
        <v>0.005</v>
      </c>
      <c r="E97" t="n">
        <v>10</v>
      </c>
      <c r="F97" t="n">
        <v>49682</v>
      </c>
      <c r="G97" t="n">
        <v>48800</v>
      </c>
      <c r="H97" t="n">
        <v>488000</v>
      </c>
      <c r="I97" t="n">
        <v>0</v>
      </c>
    </row>
    <row r="98">
      <c r="A98" t="inlineStr">
        <is>
          <t>LDG</t>
        </is>
      </c>
      <c r="B98" t="inlineStr">
        <is>
          <t>Đa ngành</t>
        </is>
      </c>
      <c r="C98" t="inlineStr">
        <is>
          <t>HOSE</t>
        </is>
      </c>
      <c r="D98" t="n">
        <v>0.005</v>
      </c>
      <c r="E98" t="n">
        <v>166</v>
      </c>
      <c r="F98" t="n">
        <v>2678</v>
      </c>
      <c r="G98" t="n">
        <v>3020</v>
      </c>
      <c r="H98" t="n">
        <v>501320</v>
      </c>
      <c r="I98" t="n">
        <v>0</v>
      </c>
    </row>
    <row r="99">
      <c r="A99" t="inlineStr">
        <is>
          <t>GMD</t>
        </is>
      </c>
      <c r="B99" t="inlineStr">
        <is>
          <t>Cảng</t>
        </is>
      </c>
      <c r="C99" t="inlineStr">
        <is>
          <t>HOSE</t>
        </is>
      </c>
      <c r="D99" t="n">
        <v>0.005</v>
      </c>
      <c r="E99" t="n">
        <v>7</v>
      </c>
      <c r="F99" t="n">
        <v>69629</v>
      </c>
      <c r="G99" t="n">
        <v>72500</v>
      </c>
      <c r="H99" t="n">
        <v>507500</v>
      </c>
      <c r="I99" t="n">
        <v>0</v>
      </c>
    </row>
    <row r="100">
      <c r="A100" t="inlineStr">
        <is>
          <t>SD5</t>
        </is>
      </c>
      <c r="B100" t="inlineStr">
        <is>
          <t>Xây dựng</t>
        </is>
      </c>
      <c r="C100" t="inlineStr">
        <is>
          <t>HNX</t>
        </is>
      </c>
      <c r="D100" t="n">
        <v>0.005</v>
      </c>
      <c r="E100" t="n">
        <v>31</v>
      </c>
      <c r="F100" t="n">
        <v>12729</v>
      </c>
      <c r="G100" t="n">
        <v>16100</v>
      </c>
      <c r="H100" t="n">
        <v>499100</v>
      </c>
      <c r="I100" t="n">
        <v>0</v>
      </c>
    </row>
    <row r="101">
      <c r="A101" t="inlineStr">
        <is>
          <t>TYA</t>
        </is>
      </c>
      <c r="B101" t="inlineStr">
        <is>
          <t>CN viễn thông</t>
        </is>
      </c>
      <c r="C101" t="inlineStr">
        <is>
          <t>HNX</t>
        </is>
      </c>
      <c r="D101" t="n">
        <v>0.005</v>
      </c>
      <c r="E101" t="n">
        <v>9</v>
      </c>
      <c r="F101" t="n">
        <v>44678</v>
      </c>
      <c r="G101" t="n">
        <v>55000</v>
      </c>
      <c r="H101" t="n">
        <v>495000</v>
      </c>
      <c r="I101" t="n">
        <v>0</v>
      </c>
    </row>
    <row r="102">
      <c r="A102" t="inlineStr">
        <is>
          <t>VTP</t>
        </is>
      </c>
      <c r="B102" t="inlineStr">
        <is>
          <t>Logistics</t>
        </is>
      </c>
      <c r="C102" t="inlineStr">
        <is>
          <t>HOSE</t>
        </is>
      </c>
      <c r="D102" t="n">
        <v>0.005</v>
      </c>
      <c r="E102" t="n">
        <v>8</v>
      </c>
      <c r="F102" t="n">
        <v>53879</v>
      </c>
      <c r="G102" t="n">
        <v>65200</v>
      </c>
      <c r="H102" t="n">
        <v>521600</v>
      </c>
      <c r="I102" t="n">
        <v>0</v>
      </c>
    </row>
    <row r="103">
      <c r="A103" t="inlineStr">
        <is>
          <t>IJC</t>
        </is>
      </c>
      <c r="B103" t="inlineStr">
        <is>
          <t>Bất động sản</t>
        </is>
      </c>
      <c r="C103" t="inlineStr">
        <is>
          <t>HOSE</t>
        </is>
      </c>
      <c r="D103" t="n">
        <v>0.005</v>
      </c>
      <c r="E103" t="n">
        <v>52</v>
      </c>
      <c r="F103" t="n">
        <v>8146</v>
      </c>
      <c r="G103" t="n">
        <v>9680</v>
      </c>
      <c r="H103" t="n">
        <v>503360</v>
      </c>
      <c r="I103" t="n">
        <v>0</v>
      </c>
    </row>
    <row r="104">
      <c r="A104" t="inlineStr">
        <is>
          <t>PDR</t>
        </is>
      </c>
      <c r="B104" t="inlineStr">
        <is>
          <t>Bất động sản</t>
        </is>
      </c>
      <c r="C104" t="inlineStr">
        <is>
          <t>HOSE</t>
        </is>
      </c>
      <c r="D104" t="n">
        <v>0.005</v>
      </c>
      <c r="E104" t="n">
        <v>30</v>
      </c>
      <c r="F104" t="n">
        <v>14264</v>
      </c>
      <c r="G104" t="n">
        <v>16500</v>
      </c>
      <c r="H104" t="n">
        <v>495000</v>
      </c>
      <c r="I104" t="n">
        <v>0</v>
      </c>
    </row>
    <row r="105">
      <c r="A105" t="inlineStr">
        <is>
          <t>CMC</t>
        </is>
      </c>
      <c r="B105" t="inlineStr">
        <is>
          <t>CNTT</t>
        </is>
      </c>
      <c r="C105" t="inlineStr">
        <is>
          <t>HNX</t>
        </is>
      </c>
      <c r="D105" t="n">
        <v>0.005</v>
      </c>
      <c r="E105" t="n">
        <v>71</v>
      </c>
      <c r="F105" t="n">
        <v>5917</v>
      </c>
      <c r="G105" t="n">
        <v>7000</v>
      </c>
      <c r="H105" t="n">
        <v>497000</v>
      </c>
      <c r="I105" t="n">
        <v>0</v>
      </c>
    </row>
    <row r="106">
      <c r="A106" t="inlineStr">
        <is>
          <t>VEA</t>
        </is>
      </c>
      <c r="B106" t="inlineStr">
        <is>
          <t>Cơ khí</t>
        </is>
      </c>
      <c r="C106" t="inlineStr">
        <is>
          <t>UPCoM</t>
        </is>
      </c>
      <c r="D106" t="n">
        <v>0.005</v>
      </c>
      <c r="E106" t="n">
        <v>20</v>
      </c>
      <c r="F106" t="n">
        <v>21929</v>
      </c>
      <c r="G106" t="n">
        <v>24800</v>
      </c>
      <c r="H106" t="n">
        <v>496000</v>
      </c>
      <c r="I106" t="n">
        <v>0</v>
      </c>
    </row>
    <row r="107">
      <c r="A107" t="inlineStr">
        <is>
          <t>TIP</t>
        </is>
      </c>
      <c r="B107" t="inlineStr">
        <is>
          <t>BĐS KCN</t>
        </is>
      </c>
      <c r="C107" t="inlineStr">
        <is>
          <t>HNX</t>
        </is>
      </c>
      <c r="D107" t="n">
        <v>0.005</v>
      </c>
      <c r="E107" t="n">
        <v>27</v>
      </c>
      <c r="F107" t="n">
        <v>16120</v>
      </c>
      <c r="G107" t="n">
        <v>18300</v>
      </c>
      <c r="H107" t="n">
        <v>494100</v>
      </c>
      <c r="I107" t="n">
        <v>0</v>
      </c>
    </row>
    <row r="108">
      <c r="A108" t="inlineStr">
        <is>
          <t>SHS</t>
        </is>
      </c>
      <c r="B108" t="inlineStr">
        <is>
          <t>Chứng khoán</t>
        </is>
      </c>
      <c r="C108" t="inlineStr">
        <is>
          <t>HNX</t>
        </is>
      </c>
      <c r="D108" t="n">
        <v>0.005</v>
      </c>
      <c r="E108" t="n">
        <v>28</v>
      </c>
      <c r="F108" t="n">
        <v>14509</v>
      </c>
      <c r="G108" t="n">
        <v>18000</v>
      </c>
      <c r="H108" t="n">
        <v>504000</v>
      </c>
      <c r="I108" t="n">
        <v>0</v>
      </c>
    </row>
    <row r="109">
      <c r="A109" t="inlineStr">
        <is>
          <t>GVR</t>
        </is>
      </c>
      <c r="B109" t="inlineStr">
        <is>
          <t>Cao su</t>
        </is>
      </c>
      <c r="C109" t="inlineStr">
        <is>
          <t>HOSE</t>
        </is>
      </c>
      <c r="D109" t="n">
        <v>0.005</v>
      </c>
      <c r="E109" t="n">
        <v>14</v>
      </c>
      <c r="F109" t="n">
        <v>28064</v>
      </c>
      <c r="G109" t="n">
        <v>35300</v>
      </c>
      <c r="H109" t="n">
        <v>494200</v>
      </c>
      <c r="I109" t="n">
        <v>0</v>
      </c>
    </row>
    <row r="110">
      <c r="A110" t="inlineStr">
        <is>
          <t>DBC</t>
        </is>
      </c>
      <c r="B110" t="inlineStr">
        <is>
          <t>Nông nghiệp</t>
        </is>
      </c>
      <c r="C110" t="inlineStr">
        <is>
          <t>UPCoM</t>
        </is>
      </c>
      <c r="D110" t="n">
        <v>0.005</v>
      </c>
      <c r="E110" t="n">
        <v>23</v>
      </c>
      <c r="F110" t="n">
        <v>18775</v>
      </c>
      <c r="G110" t="n">
        <v>21700</v>
      </c>
      <c r="H110" t="n">
        <v>499100</v>
      </c>
      <c r="I110" t="n">
        <v>0</v>
      </c>
    </row>
    <row r="111">
      <c r="A111" t="inlineStr">
        <is>
          <t>HSG</t>
        </is>
      </c>
      <c r="B111" t="inlineStr">
        <is>
          <t>Thép</t>
        </is>
      </c>
      <c r="C111" t="inlineStr">
        <is>
          <t>HOSE</t>
        </is>
      </c>
      <c r="D111" t="n">
        <v>0.005</v>
      </c>
      <c r="E111" t="n">
        <v>40</v>
      </c>
      <c r="F111" t="n">
        <v>10056</v>
      </c>
      <c r="G111" t="n">
        <v>12550</v>
      </c>
      <c r="H111" t="n">
        <v>502000</v>
      </c>
      <c r="I111" t="n">
        <v>0</v>
      </c>
    </row>
    <row r="112">
      <c r="A112" t="inlineStr">
        <is>
          <t>HNG</t>
        </is>
      </c>
      <c r="B112" t="inlineStr">
        <is>
          <t>Nông nghiệp</t>
        </is>
      </c>
      <c r="C112" t="inlineStr">
        <is>
          <t>HOSE</t>
        </is>
      </c>
      <c r="D112" t="n">
        <v>0.005</v>
      </c>
      <c r="E112" t="n">
        <v>69</v>
      </c>
      <c r="F112" t="n">
        <v>6365</v>
      </c>
      <c r="G112" t="n">
        <v>7200</v>
      </c>
      <c r="H112" t="n">
        <v>496800</v>
      </c>
      <c r="I112" t="n">
        <v>0</v>
      </c>
    </row>
    <row r="113">
      <c r="A113" t="inlineStr">
        <is>
          <t>BHN</t>
        </is>
      </c>
      <c r="B113" t="inlineStr">
        <is>
          <t>Bia</t>
        </is>
      </c>
      <c r="C113" t="inlineStr">
        <is>
          <t>HOSE</t>
        </is>
      </c>
      <c r="D113" t="n">
        <v>0.005</v>
      </c>
      <c r="E113" t="n">
        <v>17</v>
      </c>
      <c r="F113" t="n">
        <v>22875</v>
      </c>
      <c r="G113" t="n">
        <v>29250</v>
      </c>
      <c r="H113" t="n">
        <v>497250</v>
      </c>
      <c r="I113" t="n">
        <v>0</v>
      </c>
    </row>
    <row r="114">
      <c r="A114" t="inlineStr">
        <is>
          <t>VHE</t>
        </is>
      </c>
      <c r="B114" t="inlineStr">
        <is>
          <t>Hóa chất</t>
        </is>
      </c>
      <c r="C114" t="inlineStr">
        <is>
          <t>HNX</t>
        </is>
      </c>
      <c r="D114" t="n">
        <v>0.005</v>
      </c>
      <c r="E114" t="n">
        <v>156</v>
      </c>
      <c r="F114" t="n">
        <v>2907</v>
      </c>
      <c r="G114" t="n">
        <v>3200</v>
      </c>
      <c r="H114" t="n">
        <v>499200</v>
      </c>
      <c r="I114" t="n">
        <v>0</v>
      </c>
    </row>
    <row r="115">
      <c r="A115" t="inlineStr">
        <is>
          <t>VTV</t>
        </is>
      </c>
      <c r="B115" t="inlineStr">
        <is>
          <t>Truyền thông</t>
        </is>
      </c>
      <c r="C115" t="inlineStr">
        <is>
          <t>HOSE</t>
        </is>
      </c>
      <c r="D115" t="n">
        <v>0.005</v>
      </c>
      <c r="E115" t="n">
        <v>46</v>
      </c>
      <c r="F115" t="n">
        <v>8654</v>
      </c>
      <c r="G115" t="n">
        <v>10850</v>
      </c>
      <c r="H115" t="n">
        <v>499100</v>
      </c>
      <c r="I115" t="n">
        <v>0</v>
      </c>
    </row>
    <row r="116">
      <c r="A116" t="inlineStr">
        <is>
          <t>VHL</t>
        </is>
      </c>
      <c r="B116" t="inlineStr">
        <is>
          <t>Vật liệu xd</t>
        </is>
      </c>
      <c r="C116" t="inlineStr">
        <is>
          <t>HNX</t>
        </is>
      </c>
      <c r="D116" t="n">
        <v>0.005</v>
      </c>
      <c r="E116" t="n">
        <v>11</v>
      </c>
      <c r="F116" t="n">
        <v>41272</v>
      </c>
      <c r="G116" t="n">
        <v>43600</v>
      </c>
      <c r="H116" t="n">
        <v>479600</v>
      </c>
      <c r="I116" t="n">
        <v>0</v>
      </c>
    </row>
    <row r="117">
      <c r="A117" t="inlineStr">
        <is>
          <t>SBT</t>
        </is>
      </c>
      <c r="B117" t="inlineStr">
        <is>
          <t>Đường</t>
        </is>
      </c>
      <c r="C117" t="inlineStr">
        <is>
          <t>HOSE</t>
        </is>
      </c>
      <c r="D117" t="n">
        <v>0.005</v>
      </c>
      <c r="E117" t="n">
        <v>24</v>
      </c>
      <c r="F117" t="n">
        <v>18549</v>
      </c>
      <c r="G117" t="n">
        <v>21150</v>
      </c>
      <c r="H117" t="n">
        <v>507600</v>
      </c>
      <c r="I117" t="n">
        <v>0</v>
      </c>
    </row>
    <row r="118">
      <c r="A118" t="inlineStr">
        <is>
          <t>VGT</t>
        </is>
      </c>
      <c r="B118" t="inlineStr">
        <is>
          <t>Dệt may</t>
        </is>
      </c>
      <c r="C118" t="inlineStr">
        <is>
          <t>UPCoM</t>
        </is>
      </c>
      <c r="D118" t="n">
        <v>0.005</v>
      </c>
      <c r="E118" t="n">
        <v>43</v>
      </c>
      <c r="F118" t="n">
        <v>11893</v>
      </c>
      <c r="G118" t="n">
        <v>11700</v>
      </c>
      <c r="H118" t="n">
        <v>503100</v>
      </c>
      <c r="I118" t="n">
        <v>0</v>
      </c>
    </row>
    <row r="119">
      <c r="A119" t="inlineStr">
        <is>
          <t>OPC</t>
        </is>
      </c>
      <c r="B119" t="inlineStr">
        <is>
          <t>Dược</t>
        </is>
      </c>
      <c r="C119" t="inlineStr">
        <is>
          <t>HOSE</t>
        </is>
      </c>
      <c r="D119" t="n">
        <v>0.005</v>
      </c>
      <c r="E119" t="n">
        <v>21</v>
      </c>
      <c r="F119" t="n">
        <v>19811</v>
      </c>
      <c r="G119" t="n">
        <v>23500</v>
      </c>
      <c r="H119" t="n">
        <v>493500</v>
      </c>
      <c r="I119" t="n">
        <v>0</v>
      </c>
    </row>
    <row r="120">
      <c r="A120" t="inlineStr">
        <is>
          <t>TDM</t>
        </is>
      </c>
      <c r="B120" t="inlineStr">
        <is>
          <t>Cấp nước</t>
        </is>
      </c>
      <c r="C120" t="inlineStr">
        <is>
          <t>HOSE</t>
        </is>
      </c>
      <c r="D120" t="n">
        <v>0.005</v>
      </c>
      <c r="E120" t="n">
        <v>17</v>
      </c>
      <c r="F120" t="n">
        <v>25819</v>
      </c>
      <c r="G120" t="n">
        <v>28900</v>
      </c>
      <c r="H120" t="n">
        <v>491300</v>
      </c>
      <c r="I120" t="n">
        <v>0</v>
      </c>
    </row>
    <row r="121">
      <c r="A121" t="inlineStr">
        <is>
          <t>PLC</t>
        </is>
      </c>
      <c r="B121" t="inlineStr">
        <is>
          <t>Dầu khí</t>
        </is>
      </c>
      <c r="C121" t="inlineStr">
        <is>
          <t>HOSE</t>
        </is>
      </c>
      <c r="D121" t="n">
        <v>0.005</v>
      </c>
      <c r="E121" t="n">
        <v>41</v>
      </c>
      <c r="F121" t="n">
        <v>11618</v>
      </c>
      <c r="G121" t="n">
        <v>12100</v>
      </c>
      <c r="H121" t="n">
        <v>496100</v>
      </c>
      <c r="I121" t="n">
        <v>0</v>
      </c>
    </row>
    <row r="122">
      <c r="A122" t="inlineStr">
        <is>
          <t>VCG</t>
        </is>
      </c>
      <c r="B122" t="inlineStr">
        <is>
          <t>Xây dựng</t>
        </is>
      </c>
      <c r="C122" t="inlineStr">
        <is>
          <t>HOSE</t>
        </is>
      </c>
      <c r="D122" t="n">
        <v>0.005</v>
      </c>
      <c r="E122" t="n">
        <v>24</v>
      </c>
      <c r="F122" t="n">
        <v>17723</v>
      </c>
      <c r="G122" t="n">
        <v>20600</v>
      </c>
      <c r="H122" t="n">
        <v>494400</v>
      </c>
      <c r="I122" t="n">
        <v>0</v>
      </c>
    </row>
    <row r="123">
      <c r="A123" t="inlineStr">
        <is>
          <t>VBB</t>
        </is>
      </c>
      <c r="B123" t="inlineStr">
        <is>
          <t>Ngân hàng</t>
        </is>
      </c>
      <c r="C123" t="inlineStr">
        <is>
          <t>HNX</t>
        </is>
      </c>
      <c r="D123" t="n">
        <v>0.005</v>
      </c>
      <c r="E123" t="n">
        <v>38</v>
      </c>
      <c r="F123" t="n">
        <v>11227</v>
      </c>
      <c r="G123" t="n">
        <v>13000</v>
      </c>
      <c r="H123" t="n">
        <v>494000</v>
      </c>
      <c r="I123" t="n">
        <v>0</v>
      </c>
    </row>
    <row r="124">
      <c r="A124" t="inlineStr">
        <is>
          <t>TIN</t>
        </is>
      </c>
      <c r="B124" t="inlineStr">
        <is>
          <t>Tài chính</t>
        </is>
      </c>
      <c r="C124" t="inlineStr">
        <is>
          <t>HNX</t>
        </is>
      </c>
      <c r="D124" t="n">
        <v>0.005</v>
      </c>
      <c r="E124" t="n">
        <v>34</v>
      </c>
      <c r="F124" t="n">
        <v>13721</v>
      </c>
      <c r="G124" t="n">
        <v>14700</v>
      </c>
      <c r="H124" t="n">
        <v>499800</v>
      </c>
      <c r="I124" t="n">
        <v>0</v>
      </c>
    </row>
    <row r="125">
      <c r="A125" t="inlineStr">
        <is>
          <t>SCS</t>
        </is>
      </c>
      <c r="B125" t="inlineStr">
        <is>
          <t>Cargo</t>
        </is>
      </c>
      <c r="C125" t="inlineStr">
        <is>
          <t>HOSE</t>
        </is>
      </c>
      <c r="D125" t="n">
        <v>0.005</v>
      </c>
      <c r="E125" t="n">
        <v>10</v>
      </c>
      <c r="F125" t="n">
        <v>52257</v>
      </c>
      <c r="G125" t="n">
        <v>51600</v>
      </c>
      <c r="H125" t="n">
        <v>516000</v>
      </c>
      <c r="I125" t="n">
        <v>0</v>
      </c>
    </row>
    <row r="126">
      <c r="A126" t="inlineStr">
        <is>
          <t>TAC</t>
        </is>
      </c>
      <c r="B126" t="inlineStr">
        <is>
          <t>Thực phẩm</t>
        </is>
      </c>
      <c r="C126" t="inlineStr">
        <is>
          <t>HOSE</t>
        </is>
      </c>
      <c r="D126" t="n">
        <v>0.005</v>
      </c>
      <c r="E126" t="n">
        <v>4</v>
      </c>
      <c r="F126" t="n">
        <v>136815</v>
      </c>
      <c r="G126" t="n">
        <v>137900</v>
      </c>
      <c r="H126" t="n">
        <v>551600</v>
      </c>
      <c r="I126" t="n">
        <v>0</v>
      </c>
    </row>
    <row r="127">
      <c r="A127" t="inlineStr">
        <is>
          <t>HCM</t>
        </is>
      </c>
      <c r="B127" t="inlineStr">
        <is>
          <t>Chứng khoán</t>
        </is>
      </c>
      <c r="C127" t="inlineStr">
        <is>
          <t>HOSE</t>
        </is>
      </c>
      <c r="D127" t="n">
        <v>0.005</v>
      </c>
      <c r="E127" t="n">
        <v>18</v>
      </c>
      <c r="F127" t="n">
        <v>24260</v>
      </c>
      <c r="G127" t="n">
        <v>27550</v>
      </c>
      <c r="H127" t="n">
        <v>495900</v>
      </c>
      <c r="I127" t="n">
        <v>0</v>
      </c>
    </row>
    <row r="128">
      <c r="A128" t="inlineStr">
        <is>
          <t>NCT</t>
        </is>
      </c>
      <c r="B128" t="inlineStr">
        <is>
          <t>Cargo</t>
        </is>
      </c>
      <c r="C128" t="inlineStr">
        <is>
          <t>HOSE</t>
        </is>
      </c>
      <c r="D128" t="n">
        <v>0.005</v>
      </c>
      <c r="E128" t="n">
        <v>5</v>
      </c>
      <c r="F128" t="n">
        <v>86655</v>
      </c>
      <c r="G128" t="n">
        <v>91000</v>
      </c>
      <c r="H128" t="n">
        <v>455000</v>
      </c>
      <c r="I128" t="n">
        <v>0</v>
      </c>
    </row>
    <row r="129">
      <c r="A129" t="inlineStr">
        <is>
          <t>CII</t>
        </is>
      </c>
      <c r="B129" t="inlineStr">
        <is>
          <t>Hạ tầng</t>
        </is>
      </c>
      <c r="C129" t="inlineStr">
        <is>
          <t>HOSE</t>
        </is>
      </c>
      <c r="D129" t="n">
        <v>0.005</v>
      </c>
      <c r="E129" t="n">
        <v>28</v>
      </c>
      <c r="F129" t="n">
        <v>16974</v>
      </c>
      <c r="G129" t="n">
        <v>18000</v>
      </c>
      <c r="H129" t="n">
        <v>504000</v>
      </c>
      <c r="I129" t="n">
        <v>0</v>
      </c>
    </row>
    <row r="130">
      <c r="A130" t="inlineStr">
        <is>
          <t>D2D</t>
        </is>
      </c>
      <c r="B130" t="inlineStr">
        <is>
          <t>BĐS</t>
        </is>
      </c>
      <c r="C130" t="inlineStr">
        <is>
          <t>HOSE</t>
        </is>
      </c>
      <c r="D130" t="n">
        <v>0.005</v>
      </c>
      <c r="E130" t="n">
        <v>15</v>
      </c>
      <c r="F130" t="n">
        <v>28904</v>
      </c>
      <c r="G130" t="n">
        <v>33250</v>
      </c>
      <c r="H130" t="n">
        <v>498750</v>
      </c>
      <c r="I130" t="n">
        <v>0</v>
      </c>
    </row>
    <row r="131">
      <c r="A131" t="inlineStr">
        <is>
          <t>VNG</t>
        </is>
      </c>
      <c r="B131" t="inlineStr">
        <is>
          <t>CN giải trí</t>
        </is>
      </c>
      <c r="C131" t="inlineStr">
        <is>
          <t>HOSE</t>
        </is>
      </c>
      <c r="D131" t="n">
        <v>0.005</v>
      </c>
      <c r="E131" t="n">
        <v>41</v>
      </c>
      <c r="F131" t="n">
        <v>10079</v>
      </c>
      <c r="G131" t="n">
        <v>12050</v>
      </c>
      <c r="H131" t="n">
        <v>494050</v>
      </c>
      <c r="I131" t="n">
        <v>0</v>
      </c>
    </row>
    <row r="132">
      <c r="A132" t="inlineStr">
        <is>
          <t>BMI</t>
        </is>
      </c>
      <c r="B132" t="inlineStr">
        <is>
          <t>Bảo hiểm</t>
        </is>
      </c>
      <c r="C132" t="inlineStr">
        <is>
          <t>HOSE</t>
        </is>
      </c>
      <c r="D132" t="n">
        <v>0.005</v>
      </c>
      <c r="E132" t="n">
        <v>34</v>
      </c>
      <c r="F132" t="n">
        <v>11822</v>
      </c>
      <c r="G132" t="n">
        <v>14800</v>
      </c>
      <c r="H132" t="n">
        <v>503200</v>
      </c>
      <c r="I132" t="n">
        <v>0</v>
      </c>
    </row>
    <row r="133">
      <c r="A133" t="inlineStr">
        <is>
          <t>FOX</t>
        </is>
      </c>
      <c r="B133" t="inlineStr">
        <is>
          <t>Internet</t>
        </is>
      </c>
      <c r="C133" t="inlineStr">
        <is>
          <t>HNX</t>
        </is>
      </c>
      <c r="D133" t="n">
        <v>0.005</v>
      </c>
      <c r="E133" t="n">
        <v>6</v>
      </c>
      <c r="F133" t="n">
        <v>79473</v>
      </c>
      <c r="G133" t="n">
        <v>80200</v>
      </c>
      <c r="H133" t="n">
        <v>481200</v>
      </c>
      <c r="I133" t="n">
        <v>0</v>
      </c>
    </row>
    <row r="134">
      <c r="A134" t="inlineStr">
        <is>
          <t>HUT</t>
        </is>
      </c>
      <c r="B134" t="inlineStr">
        <is>
          <t>Xây dựng</t>
        </is>
      </c>
      <c r="C134" t="inlineStr">
        <is>
          <t>HNX</t>
        </is>
      </c>
      <c r="D134" t="n">
        <v>0.005</v>
      </c>
      <c r="E134" t="n">
        <v>32</v>
      </c>
      <c r="F134" t="n">
        <v>12382</v>
      </c>
      <c r="G134" t="n">
        <v>15600</v>
      </c>
      <c r="H134" t="n">
        <v>499200</v>
      </c>
      <c r="I134" t="n">
        <v>0</v>
      </c>
    </row>
    <row r="135">
      <c r="A135" t="inlineStr">
        <is>
          <t>HHV</t>
        </is>
      </c>
      <c r="B135" t="inlineStr">
        <is>
          <t>Hạ tầng</t>
        </is>
      </c>
      <c r="C135" t="inlineStr">
        <is>
          <t>HOSE</t>
        </is>
      </c>
      <c r="D135" t="n">
        <v>0.005</v>
      </c>
      <c r="E135" t="n">
        <v>42</v>
      </c>
      <c r="F135" t="n">
        <v>10673</v>
      </c>
      <c r="G135" t="n">
        <v>11800</v>
      </c>
      <c r="H135" t="n">
        <v>495600</v>
      </c>
      <c r="I135" t="n">
        <v>0</v>
      </c>
    </row>
    <row r="136">
      <c r="A136" t="inlineStr">
        <is>
          <t>DPM</t>
        </is>
      </c>
      <c r="B136" t="inlineStr">
        <is>
          <t>Phân bón</t>
        </is>
      </c>
      <c r="C136" t="inlineStr">
        <is>
          <t>HOSE</t>
        </is>
      </c>
      <c r="D136" t="n">
        <v>0.005</v>
      </c>
      <c r="E136" t="n">
        <v>19</v>
      </c>
      <c r="F136" t="n">
        <v>23498</v>
      </c>
      <c r="G136" t="n">
        <v>25850</v>
      </c>
      <c r="H136" t="n">
        <v>491150</v>
      </c>
      <c r="I136" t="n">
        <v>0</v>
      </c>
    </row>
    <row r="137">
      <c r="A137" t="inlineStr">
        <is>
          <t>SCR</t>
        </is>
      </c>
      <c r="B137" t="inlineStr">
        <is>
          <t>BĐS</t>
        </is>
      </c>
      <c r="C137" t="inlineStr">
        <is>
          <t>HOSE</t>
        </is>
      </c>
      <c r="D137" t="n">
        <v>0.005</v>
      </c>
      <c r="E137" t="n">
        <v>93</v>
      </c>
      <c r="F137" t="n">
        <v>4361</v>
      </c>
      <c r="G137" t="n">
        <v>5350</v>
      </c>
      <c r="H137" t="n">
        <v>497550</v>
      </c>
      <c r="I137" t="n">
        <v>0</v>
      </c>
    </row>
    <row r="138">
      <c r="A138" t="inlineStr">
        <is>
          <t>IDC</t>
        </is>
      </c>
      <c r="B138" t="inlineStr">
        <is>
          <t>BĐS KCN</t>
        </is>
      </c>
      <c r="C138" t="inlineStr">
        <is>
          <t>HOSE</t>
        </is>
      </c>
      <c r="D138" t="n">
        <v>0.005</v>
      </c>
      <c r="E138" t="n">
        <v>11</v>
      </c>
      <c r="F138" t="n">
        <v>40872</v>
      </c>
      <c r="G138" t="n">
        <v>43600</v>
      </c>
      <c r="H138" t="n">
        <v>479600</v>
      </c>
      <c r="I138" t="n">
        <v>0</v>
      </c>
    </row>
    <row r="139">
      <c r="A139" t="inlineStr">
        <is>
          <t>STB</t>
        </is>
      </c>
      <c r="B139" t="inlineStr">
        <is>
          <t>Ngân hàng</t>
        </is>
      </c>
      <c r="C139" t="inlineStr">
        <is>
          <t>HOSE</t>
        </is>
      </c>
      <c r="D139" t="n">
        <v>0.005</v>
      </c>
      <c r="E139" t="n">
        <v>7</v>
      </c>
      <c r="F139" t="n">
        <v>67986</v>
      </c>
      <c r="G139" t="n">
        <v>68000</v>
      </c>
      <c r="H139" t="n">
        <v>476000</v>
      </c>
      <c r="I139" t="n">
        <v>0</v>
      </c>
    </row>
    <row r="140">
      <c r="A140" t="inlineStr">
        <is>
          <t>SZC</t>
        </is>
      </c>
      <c r="B140" t="inlineStr">
        <is>
          <t>BĐS KCN</t>
        </is>
      </c>
      <c r="C140" t="inlineStr">
        <is>
          <t>HOSE</t>
        </is>
      </c>
      <c r="D140" t="n">
        <v>0.005</v>
      </c>
      <c r="E140" t="n">
        <v>20</v>
      </c>
      <c r="F140" t="n">
        <v>23867</v>
      </c>
      <c r="G140" t="n">
        <v>24700</v>
      </c>
      <c r="H140" t="n">
        <v>494000</v>
      </c>
      <c r="I140" t="n">
        <v>0</v>
      </c>
    </row>
    <row r="141">
      <c r="A141" t="inlineStr">
        <is>
          <t>ELC</t>
        </is>
      </c>
      <c r="B141" t="inlineStr">
        <is>
          <t>CN viễn thông</t>
        </is>
      </c>
      <c r="C141" t="inlineStr">
        <is>
          <t>HOSE</t>
        </is>
      </c>
      <c r="D141" t="n">
        <v>0.005</v>
      </c>
      <c r="E141" t="n">
        <v>31</v>
      </c>
      <c r="F141" t="n">
        <v>13931</v>
      </c>
      <c r="G141" t="n">
        <v>15950</v>
      </c>
      <c r="H141" t="n">
        <v>494450</v>
      </c>
      <c r="I141" t="n">
        <v>0</v>
      </c>
    </row>
    <row r="142">
      <c r="A142" t="inlineStr">
        <is>
          <t>PVC</t>
        </is>
      </c>
      <c r="B142" t="inlineStr">
        <is>
          <t>Dầu khí</t>
        </is>
      </c>
      <c r="C142" t="inlineStr">
        <is>
          <t>HNX</t>
        </is>
      </c>
      <c r="D142" t="n">
        <v>0.005</v>
      </c>
      <c r="E142" t="n">
        <v>14</v>
      </c>
      <c r="F142" t="n">
        <v>29497</v>
      </c>
      <c r="G142" t="n">
        <v>36400</v>
      </c>
      <c r="H142" t="n">
        <v>509600</v>
      </c>
      <c r="I142" t="n">
        <v>0</v>
      </c>
    </row>
    <row r="143">
      <c r="A143" t="inlineStr">
        <is>
          <t>TRC</t>
        </is>
      </c>
      <c r="B143" t="inlineStr">
        <is>
          <t>Cao su</t>
        </is>
      </c>
      <c r="C143" t="inlineStr">
        <is>
          <t>HOSE</t>
        </is>
      </c>
      <c r="D143" t="n">
        <v>0.005</v>
      </c>
      <c r="E143" t="n">
        <v>49</v>
      </c>
      <c r="F143" t="n">
        <v>10444</v>
      </c>
      <c r="G143" t="n">
        <v>10300</v>
      </c>
      <c r="H143" t="n">
        <v>504700</v>
      </c>
      <c r="I143" t="n">
        <v>0</v>
      </c>
    </row>
    <row r="144">
      <c r="A144" t="inlineStr">
        <is>
          <t>DPR</t>
        </is>
      </c>
      <c r="B144" t="inlineStr">
        <is>
          <t>Cao su</t>
        </is>
      </c>
      <c r="C144" t="inlineStr">
        <is>
          <t>HOSE</t>
        </is>
      </c>
      <c r="D144" t="n">
        <v>0.005</v>
      </c>
      <c r="E144" t="n">
        <v>14</v>
      </c>
      <c r="F144" t="n">
        <v>31915</v>
      </c>
      <c r="G144" t="n">
        <v>35300</v>
      </c>
      <c r="H144" t="n">
        <v>494200</v>
      </c>
      <c r="I144" t="n">
        <v>0</v>
      </c>
    </row>
    <row r="145">
      <c r="A145" t="inlineStr">
        <is>
          <t>VDS</t>
        </is>
      </c>
      <c r="B145" t="inlineStr">
        <is>
          <t>Chứng khoán</t>
        </is>
      </c>
      <c r="C145" t="inlineStr">
        <is>
          <t>HOSE</t>
        </is>
      </c>
      <c r="D145" t="n">
        <v>0.005</v>
      </c>
      <c r="E145" t="n">
        <v>37</v>
      </c>
      <c r="F145" t="n">
        <v>12617</v>
      </c>
      <c r="G145" t="n">
        <v>13550</v>
      </c>
      <c r="H145" t="n">
        <v>501350</v>
      </c>
      <c r="I145" t="n">
        <v>0</v>
      </c>
    </row>
    <row r="146">
      <c r="A146" t="inlineStr">
        <is>
          <t>NAB</t>
        </is>
      </c>
      <c r="B146" t="inlineStr">
        <is>
          <t>Ngân hàng</t>
        </is>
      </c>
      <c r="C146" t="inlineStr">
        <is>
          <t>HOSE</t>
        </is>
      </c>
      <c r="D146" t="n">
        <v>0.005</v>
      </c>
      <c r="E146" t="n">
        <v>41</v>
      </c>
      <c r="F146" t="n">
        <v>11962</v>
      </c>
      <c r="G146" t="n">
        <v>12300</v>
      </c>
      <c r="H146" t="n">
        <v>504300</v>
      </c>
      <c r="I146" t="n">
        <v>0</v>
      </c>
    </row>
    <row r="147">
      <c r="A147" t="inlineStr">
        <is>
          <t>HQC</t>
        </is>
      </c>
      <c r="B147" t="inlineStr">
        <is>
          <t>BĐS</t>
        </is>
      </c>
      <c r="C147" t="inlineStr">
        <is>
          <t>HOSE</t>
        </is>
      </c>
      <c r="D147" t="n">
        <v>0.005</v>
      </c>
      <c r="E147" t="n">
        <v>206</v>
      </c>
      <c r="F147" t="n">
        <v>2121</v>
      </c>
      <c r="G147" t="n">
        <v>2430</v>
      </c>
      <c r="H147" t="n">
        <v>500580</v>
      </c>
      <c r="I147" t="n">
        <v>0</v>
      </c>
    </row>
    <row r="148">
      <c r="A148" t="inlineStr">
        <is>
          <t>APG</t>
        </is>
      </c>
      <c r="B148" t="inlineStr">
        <is>
          <t>Chứng khoán</t>
        </is>
      </c>
      <c r="C148" t="inlineStr">
        <is>
          <t>HOSE</t>
        </is>
      </c>
      <c r="D148" t="n">
        <v>0.005</v>
      </c>
      <c r="E148" t="n">
        <v>9</v>
      </c>
      <c r="F148" t="n">
        <v>45309</v>
      </c>
      <c r="G148" t="n">
        <v>57000</v>
      </c>
      <c r="H148" t="n">
        <v>513000</v>
      </c>
      <c r="I148" t="n">
        <v>0</v>
      </c>
    </row>
    <row r="149">
      <c r="A149" t="inlineStr">
        <is>
          <t>VFS</t>
        </is>
      </c>
      <c r="B149" t="inlineStr">
        <is>
          <t>Chứng khoán</t>
        </is>
      </c>
      <c r="C149" t="inlineStr">
        <is>
          <t>HOSE</t>
        </is>
      </c>
      <c r="D149" t="n">
        <v>0.005</v>
      </c>
      <c r="E149" t="n">
        <v>41</v>
      </c>
      <c r="F149" t="n">
        <v>9833</v>
      </c>
      <c r="G149" t="n">
        <v>12100</v>
      </c>
      <c r="H149" t="n">
        <v>496100</v>
      </c>
      <c r="I149" t="n">
        <v>0</v>
      </c>
    </row>
    <row r="150">
      <c r="A150" t="inlineStr">
        <is>
          <t>SFI</t>
        </is>
      </c>
      <c r="B150" t="inlineStr">
        <is>
          <t>Logistics</t>
        </is>
      </c>
      <c r="C150" t="inlineStr">
        <is>
          <t>HNX</t>
        </is>
      </c>
      <c r="D150" t="n">
        <v>0.005</v>
      </c>
      <c r="E150" t="n">
        <v>4</v>
      </c>
      <c r="F150" t="n">
        <v>122632</v>
      </c>
      <c r="G150" t="n">
        <v>130400</v>
      </c>
      <c r="H150" t="n">
        <v>521600</v>
      </c>
      <c r="I150" t="n">
        <v>0</v>
      </c>
    </row>
    <row r="151">
      <c r="A151" t="inlineStr">
        <is>
          <t>TCH</t>
        </is>
      </c>
      <c r="B151" t="inlineStr">
        <is>
          <t>BĐS</t>
        </is>
      </c>
      <c r="C151" t="inlineStr">
        <is>
          <t>HOSE</t>
        </is>
      </c>
      <c r="D151" t="n">
        <v>0.005</v>
      </c>
      <c r="E151" t="n">
        <v>32</v>
      </c>
      <c r="F151" t="n">
        <v>13520</v>
      </c>
      <c r="G151" t="n">
        <v>15650</v>
      </c>
      <c r="H151" t="n">
        <v>500800</v>
      </c>
      <c r="I151" t="n">
        <v>0</v>
      </c>
    </row>
    <row r="152">
      <c r="A152" t="inlineStr">
        <is>
          <t>SAF</t>
        </is>
      </c>
      <c r="B152" t="inlineStr">
        <is>
          <t>Thực phẩm</t>
        </is>
      </c>
      <c r="C152" t="inlineStr">
        <is>
          <t>HOSE</t>
        </is>
      </c>
      <c r="D152" t="n">
        <v>0.005</v>
      </c>
      <c r="E152" t="n">
        <v>5</v>
      </c>
      <c r="F152" t="n">
        <v>93169</v>
      </c>
      <c r="G152" t="n">
        <v>94200</v>
      </c>
      <c r="H152" t="n">
        <v>471000</v>
      </c>
      <c r="I152" t="n">
        <v>0</v>
      </c>
    </row>
    <row r="153">
      <c r="A153" t="inlineStr">
        <is>
          <t>POT</t>
        </is>
      </c>
      <c r="B153" t="inlineStr">
        <is>
          <t>CNTT</t>
        </is>
      </c>
      <c r="C153" t="inlineStr">
        <is>
          <t>HNX</t>
        </is>
      </c>
      <c r="D153" t="n">
        <v>0.005</v>
      </c>
      <c r="E153" t="n">
        <v>65</v>
      </c>
      <c r="F153" t="n">
        <v>7422</v>
      </c>
      <c r="G153" t="n">
        <v>7750</v>
      </c>
      <c r="H153" t="n">
        <v>503750</v>
      </c>
      <c r="I153" t="n">
        <v>0</v>
      </c>
    </row>
    <row r="154">
      <c r="A154" t="inlineStr">
        <is>
          <t>BSR</t>
        </is>
      </c>
      <c r="B154" t="inlineStr">
        <is>
          <t>Lọc dầu</t>
        </is>
      </c>
      <c r="C154" t="inlineStr">
        <is>
          <t>UPCoM</t>
        </is>
      </c>
      <c r="D154" t="n">
        <v>0.005</v>
      </c>
      <c r="E154" t="n">
        <v>18</v>
      </c>
      <c r="F154" t="n">
        <v>28936</v>
      </c>
      <c r="G154" t="n">
        <v>28500</v>
      </c>
      <c r="H154" t="n">
        <v>513000</v>
      </c>
      <c r="I154" t="n">
        <v>0</v>
      </c>
    </row>
    <row r="155">
      <c r="A155" t="inlineStr">
        <is>
          <t>HDG</t>
        </is>
      </c>
      <c r="B155" t="inlineStr">
        <is>
          <t>Bất động sản</t>
        </is>
      </c>
      <c r="C155" t="inlineStr">
        <is>
          <t>HOSE</t>
        </is>
      </c>
      <c r="D155" t="n">
        <v>0.005</v>
      </c>
      <c r="E155" t="n">
        <v>21</v>
      </c>
      <c r="F155" t="n">
        <v>22384</v>
      </c>
      <c r="G155" t="n">
        <v>23800</v>
      </c>
      <c r="H155" t="n">
        <v>499800</v>
      </c>
      <c r="I155" t="n">
        <v>0</v>
      </c>
    </row>
    <row r="156">
      <c r="A156" t="inlineStr">
        <is>
          <t>CTS</t>
        </is>
      </c>
      <c r="B156" t="inlineStr">
        <is>
          <t>Chứng khoán</t>
        </is>
      </c>
      <c r="C156" t="inlineStr">
        <is>
          <t>HNX</t>
        </is>
      </c>
      <c r="D156" t="n">
        <v>0.005</v>
      </c>
      <c r="E156" t="n">
        <v>18</v>
      </c>
      <c r="F156" t="n">
        <v>23540</v>
      </c>
      <c r="G156" t="n">
        <v>27600</v>
      </c>
      <c r="H156" t="n">
        <v>496800</v>
      </c>
      <c r="I156" t="n">
        <v>0</v>
      </c>
    </row>
    <row r="157">
      <c r="A157" t="inlineStr">
        <is>
          <t>LAS</t>
        </is>
      </c>
      <c r="B157" t="inlineStr">
        <is>
          <t>Hóa chất</t>
        </is>
      </c>
      <c r="C157" t="inlineStr">
        <is>
          <t>HNX</t>
        </is>
      </c>
      <c r="D157" t="n">
        <v>0.005</v>
      </c>
      <c r="E157" t="n">
        <v>33</v>
      </c>
      <c r="F157" t="n">
        <v>14839</v>
      </c>
      <c r="G157" t="n">
        <v>15300</v>
      </c>
      <c r="H157" t="n">
        <v>504900</v>
      </c>
      <c r="I157" t="n">
        <v>0</v>
      </c>
    </row>
    <row r="158">
      <c r="A158" t="inlineStr">
        <is>
          <t>GIL</t>
        </is>
      </c>
      <c r="B158" t="inlineStr">
        <is>
          <t>Dệt may</t>
        </is>
      </c>
      <c r="C158" t="inlineStr">
        <is>
          <t>HNX</t>
        </is>
      </c>
      <c r="D158" t="n">
        <v>0.005</v>
      </c>
      <c r="E158" t="n">
        <v>40</v>
      </c>
      <c r="F158" t="n">
        <v>9717</v>
      </c>
      <c r="G158" t="n">
        <v>12350</v>
      </c>
      <c r="H158" t="n">
        <v>494000</v>
      </c>
      <c r="I158" t="n">
        <v>0</v>
      </c>
    </row>
    <row r="159">
      <c r="A159" t="inlineStr">
        <is>
          <t>DBD</t>
        </is>
      </c>
      <c r="B159" t="inlineStr">
        <is>
          <t>Dược</t>
        </is>
      </c>
      <c r="C159" t="inlineStr">
        <is>
          <t>HOSE</t>
        </is>
      </c>
      <c r="D159" t="n">
        <v>0.005</v>
      </c>
      <c r="E159" t="n">
        <v>10</v>
      </c>
      <c r="F159" t="n">
        <v>45531</v>
      </c>
      <c r="G159" t="n">
        <v>50300</v>
      </c>
      <c r="H159" t="n">
        <v>503000</v>
      </c>
      <c r="I159" t="n">
        <v>0</v>
      </c>
    </row>
    <row r="160">
      <c r="A160" t="inlineStr">
        <is>
          <t>PVD</t>
        </is>
      </c>
      <c r="B160" t="inlineStr">
        <is>
          <t>Dầu khí</t>
        </is>
      </c>
      <c r="C160" t="inlineStr">
        <is>
          <t>HOSE</t>
        </is>
      </c>
      <c r="D160" t="n">
        <v>0.005</v>
      </c>
      <c r="E160" t="n">
        <v>17</v>
      </c>
      <c r="F160" t="n">
        <v>29674</v>
      </c>
      <c r="G160" t="n">
        <v>30000</v>
      </c>
      <c r="H160" t="n">
        <v>510000</v>
      </c>
      <c r="I160" t="n">
        <v>0</v>
      </c>
    </row>
    <row r="161">
      <c r="A161" t="inlineStr">
        <is>
          <t>TRA</t>
        </is>
      </c>
      <c r="B161" t="inlineStr">
        <is>
          <t>Dược</t>
        </is>
      </c>
      <c r="C161" t="inlineStr">
        <is>
          <t>HOSE</t>
        </is>
      </c>
      <c r="D161" t="n">
        <v>0.005</v>
      </c>
      <c r="E161" t="n">
        <v>6</v>
      </c>
      <c r="F161" t="n">
        <v>71379</v>
      </c>
      <c r="G161" t="n">
        <v>79000</v>
      </c>
      <c r="H161" t="n">
        <v>474000</v>
      </c>
      <c r="I161" t="n">
        <v>0</v>
      </c>
    </row>
    <row r="162">
      <c r="A162" t="inlineStr">
        <is>
          <t>DXS</t>
        </is>
      </c>
      <c r="B162" t="inlineStr">
        <is>
          <t>BĐS</t>
        </is>
      </c>
      <c r="C162" t="inlineStr">
        <is>
          <t>HOSE</t>
        </is>
      </c>
      <c r="D162" t="n">
        <v>0.005</v>
      </c>
      <c r="E162" t="n">
        <v>32</v>
      </c>
      <c r="F162" t="n">
        <v>12723</v>
      </c>
      <c r="G162" t="n">
        <v>15650</v>
      </c>
      <c r="H162" t="n">
        <v>500800</v>
      </c>
      <c r="I162" t="n">
        <v>0</v>
      </c>
    </row>
    <row r="163">
      <c r="A163" t="inlineStr">
        <is>
          <t>VCS</t>
        </is>
      </c>
      <c r="B163" t="inlineStr">
        <is>
          <t>VL Xây dựng</t>
        </is>
      </c>
      <c r="C163" t="inlineStr">
        <is>
          <t>HNX</t>
        </is>
      </c>
      <c r="D163" t="n">
        <v>0.005</v>
      </c>
      <c r="E163" t="n">
        <v>13</v>
      </c>
      <c r="F163" t="n">
        <v>34561</v>
      </c>
      <c r="G163" t="n">
        <v>38400</v>
      </c>
      <c r="H163" t="n">
        <v>499200</v>
      </c>
      <c r="I163" t="n">
        <v>0</v>
      </c>
    </row>
    <row r="164">
      <c r="A164" t="inlineStr">
        <is>
          <t>BCC</t>
        </is>
      </c>
      <c r="B164" t="inlineStr">
        <is>
          <t>Xi măng</t>
        </is>
      </c>
      <c r="C164" t="inlineStr">
        <is>
          <t>HNX</t>
        </is>
      </c>
      <c r="D164" t="n">
        <v>0.005</v>
      </c>
      <c r="E164" t="n">
        <v>14</v>
      </c>
      <c r="F164" t="n">
        <v>32793</v>
      </c>
      <c r="G164" t="n">
        <v>36000</v>
      </c>
      <c r="H164" t="n">
        <v>504000</v>
      </c>
      <c r="I164" t="n">
        <v>0</v>
      </c>
    </row>
    <row r="165">
      <c r="A165" t="inlineStr">
        <is>
          <t>MML</t>
        </is>
      </c>
      <c r="B165" t="inlineStr">
        <is>
          <t>Thực phẩm</t>
        </is>
      </c>
      <c r="C165" t="inlineStr">
        <is>
          <t>HOSE</t>
        </is>
      </c>
      <c r="D165" t="n">
        <v>0.005</v>
      </c>
      <c r="E165" t="n">
        <v>16</v>
      </c>
      <c r="F165" t="n">
        <v>26752</v>
      </c>
      <c r="G165" t="n">
        <v>30800</v>
      </c>
      <c r="H165" t="n">
        <v>492800</v>
      </c>
      <c r="I165" t="n">
        <v>0</v>
      </c>
    </row>
    <row r="166">
      <c r="A166" t="inlineStr">
        <is>
          <t>PMC</t>
        </is>
      </c>
      <c r="B166" t="inlineStr">
        <is>
          <t>Y tế</t>
        </is>
      </c>
      <c r="C166" t="inlineStr">
        <is>
          <t>HOSE</t>
        </is>
      </c>
      <c r="D166" t="n">
        <v>0.005</v>
      </c>
      <c r="E166" t="n">
        <v>122</v>
      </c>
      <c r="F166" t="n">
        <v>4077</v>
      </c>
      <c r="G166" t="n">
        <v>4100</v>
      </c>
      <c r="H166" t="n">
        <v>500200</v>
      </c>
      <c r="I166" t="n">
        <v>0</v>
      </c>
    </row>
    <row r="167">
      <c r="A167" t="inlineStr">
        <is>
          <t>NDN</t>
        </is>
      </c>
      <c r="B167" t="inlineStr">
        <is>
          <t>BĐS</t>
        </is>
      </c>
      <c r="C167" t="inlineStr">
        <is>
          <t>HOSE</t>
        </is>
      </c>
      <c r="D167" t="n">
        <v>0.005</v>
      </c>
      <c r="E167" t="n">
        <v>25</v>
      </c>
      <c r="F167" t="n">
        <v>17232</v>
      </c>
      <c r="G167" t="n">
        <v>20000</v>
      </c>
      <c r="H167" t="n">
        <v>500000</v>
      </c>
      <c r="I167" t="n">
        <v>0</v>
      </c>
    </row>
    <row r="168">
      <c r="A168" t="inlineStr">
        <is>
          <t>PGI</t>
        </is>
      </c>
      <c r="B168" t="inlineStr">
        <is>
          <t>Bảo hiểm</t>
        </is>
      </c>
      <c r="C168" t="inlineStr">
        <is>
          <t>HNX</t>
        </is>
      </c>
      <c r="D168" t="n">
        <v>0.005</v>
      </c>
      <c r="E168" t="n">
        <v>28</v>
      </c>
      <c r="F168" t="n">
        <v>15298</v>
      </c>
      <c r="G168" t="n">
        <v>18100</v>
      </c>
      <c r="H168" t="n">
        <v>506800</v>
      </c>
      <c r="I168" t="n">
        <v>0</v>
      </c>
    </row>
    <row r="169">
      <c r="A169" t="inlineStr">
        <is>
          <t>VSH</t>
        </is>
      </c>
      <c r="B169" t="inlineStr">
        <is>
          <t>Điện</t>
        </is>
      </c>
      <c r="C169" t="inlineStr">
        <is>
          <t>HOSE</t>
        </is>
      </c>
      <c r="D169" t="n">
        <v>0.005</v>
      </c>
      <c r="E169" t="n">
        <v>12</v>
      </c>
      <c r="F169" t="n">
        <v>38585</v>
      </c>
      <c r="G169" t="n">
        <v>42800</v>
      </c>
      <c r="H169" t="n">
        <v>513600</v>
      </c>
      <c r="I169" t="n">
        <v>0</v>
      </c>
    </row>
    <row r="170">
      <c r="A170" t="inlineStr">
        <is>
          <t>NTW</t>
        </is>
      </c>
      <c r="B170" t="inlineStr">
        <is>
          <t>Cấp nước</t>
        </is>
      </c>
      <c r="C170" t="inlineStr">
        <is>
          <t>HNX</t>
        </is>
      </c>
      <c r="D170" t="n">
        <v>0.005</v>
      </c>
      <c r="E170" t="n">
        <v>36</v>
      </c>
      <c r="F170" t="n">
        <v>11437</v>
      </c>
      <c r="G170" t="n">
        <v>13800</v>
      </c>
      <c r="H170" t="n">
        <v>496800</v>
      </c>
      <c r="I170" t="n">
        <v>0</v>
      </c>
    </row>
    <row r="171">
      <c r="A171" t="inlineStr">
        <is>
          <t>NLG</t>
        </is>
      </c>
      <c r="B171" t="inlineStr">
        <is>
          <t>Bất động sản</t>
        </is>
      </c>
      <c r="C171" t="inlineStr">
        <is>
          <t>HOSE</t>
        </is>
      </c>
      <c r="D171" t="n">
        <v>0.005</v>
      </c>
      <c r="E171" t="n">
        <v>19</v>
      </c>
      <c r="F171" t="n">
        <v>22761</v>
      </c>
      <c r="G171" t="n">
        <v>26550</v>
      </c>
      <c r="H171" t="n">
        <v>504450</v>
      </c>
      <c r="I171" t="n">
        <v>0</v>
      </c>
    </row>
    <row r="172">
      <c r="A172" t="inlineStr">
        <is>
          <t>SMC</t>
        </is>
      </c>
      <c r="B172" t="inlineStr">
        <is>
          <t>Thép</t>
        </is>
      </c>
      <c r="C172" t="inlineStr">
        <is>
          <t>HOSE</t>
        </is>
      </c>
      <c r="D172" t="n">
        <v>0.005</v>
      </c>
      <c r="E172" t="n">
        <v>44</v>
      </c>
      <c r="F172" t="n">
        <v>9850</v>
      </c>
      <c r="G172" t="n">
        <v>11250</v>
      </c>
      <c r="H172" t="n">
        <v>495000</v>
      </c>
      <c r="I172" t="n">
        <v>0</v>
      </c>
    </row>
    <row r="173">
      <c r="A173" t="inlineStr">
        <is>
          <t>VFC</t>
        </is>
      </c>
      <c r="B173" t="inlineStr">
        <is>
          <t>Tài chính</t>
        </is>
      </c>
      <c r="C173" t="inlineStr">
        <is>
          <t>HOSE</t>
        </is>
      </c>
      <c r="D173" t="n">
        <v>0.005</v>
      </c>
      <c r="E173" t="n">
        <v>5</v>
      </c>
      <c r="F173" t="n">
        <v>104539</v>
      </c>
      <c r="G173" t="n">
        <v>104000</v>
      </c>
      <c r="H173" t="n">
        <v>520000</v>
      </c>
      <c r="I173" t="n">
        <v>0</v>
      </c>
    </row>
    <row r="174">
      <c r="A174" t="inlineStr">
        <is>
          <t>IMP</t>
        </is>
      </c>
      <c r="B174" t="inlineStr">
        <is>
          <t>Dược</t>
        </is>
      </c>
      <c r="C174" t="inlineStr">
        <is>
          <t>HOSE</t>
        </is>
      </c>
      <c r="D174" t="n">
        <v>0.005</v>
      </c>
      <c r="E174" t="n">
        <v>11</v>
      </c>
      <c r="F174" t="n">
        <v>37287</v>
      </c>
      <c r="G174" t="n">
        <v>46650</v>
      </c>
      <c r="H174" t="n">
        <v>513150</v>
      </c>
      <c r="I174" t="n">
        <v>0</v>
      </c>
    </row>
    <row r="175">
      <c r="A175" t="inlineStr">
        <is>
          <t>MIG</t>
        </is>
      </c>
      <c r="B175" t="inlineStr">
        <is>
          <t>Bảo hiểm</t>
        </is>
      </c>
      <c r="C175" t="inlineStr">
        <is>
          <t>HOSE</t>
        </is>
      </c>
      <c r="D175" t="n">
        <v>0.005</v>
      </c>
      <c r="E175" t="n">
        <v>27</v>
      </c>
      <c r="F175" t="n">
        <v>15388</v>
      </c>
      <c r="G175" t="n">
        <v>18600</v>
      </c>
      <c r="H175" t="n">
        <v>502200</v>
      </c>
      <c r="I175" t="n">
        <v>0</v>
      </c>
    </row>
    <row r="176">
      <c r="A176" t="inlineStr">
        <is>
          <t>GMC</t>
        </is>
      </c>
      <c r="B176" t="inlineStr">
        <is>
          <t>Dệt may</t>
        </is>
      </c>
      <c r="C176" t="inlineStr">
        <is>
          <t>HNX</t>
        </is>
      </c>
      <c r="D176" t="n">
        <v>0.005</v>
      </c>
      <c r="E176" t="n">
        <v>104</v>
      </c>
      <c r="F176" t="n">
        <v>3974</v>
      </c>
      <c r="G176" t="n">
        <v>4800</v>
      </c>
      <c r="H176" t="n">
        <v>499200</v>
      </c>
      <c r="I176" t="n">
        <v>0</v>
      </c>
    </row>
    <row r="177">
      <c r="A177" t="inlineStr">
        <is>
          <t>SAB</t>
        </is>
      </c>
      <c r="B177" t="inlineStr">
        <is>
          <t>Tiêu dùng</t>
        </is>
      </c>
      <c r="C177" t="inlineStr">
        <is>
          <t>HOSE</t>
        </is>
      </c>
      <c r="D177" t="n">
        <v>0.005</v>
      </c>
      <c r="E177" t="n">
        <v>11</v>
      </c>
      <c r="F177" t="n">
        <v>48090</v>
      </c>
      <c r="G177" t="n">
        <v>47200</v>
      </c>
      <c r="H177" t="n">
        <v>519200</v>
      </c>
      <c r="I177" t="n">
        <v>0</v>
      </c>
    </row>
    <row r="178">
      <c r="A178" t="inlineStr">
        <is>
          <t>DBM</t>
        </is>
      </c>
      <c r="B178" t="inlineStr">
        <is>
          <t>Dược</t>
        </is>
      </c>
      <c r="C178" t="inlineStr">
        <is>
          <t>HNX</t>
        </is>
      </c>
      <c r="D178" t="n">
        <v>0.005</v>
      </c>
      <c r="E178" t="n">
        <v>12</v>
      </c>
      <c r="F178" t="n">
        <v>41242</v>
      </c>
      <c r="G178" t="n">
        <v>41500</v>
      </c>
      <c r="H178" t="n">
        <v>498000</v>
      </c>
      <c r="I178" t="n">
        <v>0</v>
      </c>
    </row>
    <row r="179">
      <c r="A179" t="inlineStr">
        <is>
          <t>HBC</t>
        </is>
      </c>
      <c r="B179" t="inlineStr">
        <is>
          <t>Xây dựng</t>
        </is>
      </c>
      <c r="C179" t="inlineStr">
        <is>
          <t>HOSE</t>
        </is>
      </c>
      <c r="D179" t="n">
        <v>0.005</v>
      </c>
      <c r="E179" t="n">
        <v>100</v>
      </c>
      <c r="F179" t="n">
        <v>4133</v>
      </c>
      <c r="G179" t="n">
        <v>5000</v>
      </c>
      <c r="H179" t="n">
        <v>500000</v>
      </c>
      <c r="I179" t="n">
        <v>0</v>
      </c>
    </row>
    <row r="180">
      <c r="A180" t="inlineStr">
        <is>
          <t>LSS</t>
        </is>
      </c>
      <c r="B180" t="inlineStr">
        <is>
          <t>Đường</t>
        </is>
      </c>
      <c r="C180" t="inlineStr">
        <is>
          <t>HNX</t>
        </is>
      </c>
      <c r="D180" t="n">
        <v>0.005</v>
      </c>
      <c r="E180" t="n">
        <v>61</v>
      </c>
      <c r="F180" t="n">
        <v>7562</v>
      </c>
      <c r="G180" t="n">
        <v>8260</v>
      </c>
      <c r="H180" t="n">
        <v>503860</v>
      </c>
      <c r="I180" t="n">
        <v>0</v>
      </c>
    </row>
    <row r="181">
      <c r="A181" t="inlineStr">
        <is>
          <t>CEO</t>
        </is>
      </c>
      <c r="B181" t="inlineStr">
        <is>
          <t>BĐS</t>
        </is>
      </c>
      <c r="C181" t="inlineStr">
        <is>
          <t>HOSE</t>
        </is>
      </c>
      <c r="D181" t="n">
        <v>0.005</v>
      </c>
      <c r="E181" t="n">
        <v>30</v>
      </c>
      <c r="F181" t="n">
        <v>13367</v>
      </c>
      <c r="G181" t="n">
        <v>16700</v>
      </c>
      <c r="H181" t="n">
        <v>501000</v>
      </c>
      <c r="I181" t="n">
        <v>0</v>
      </c>
    </row>
    <row r="182">
      <c r="A182" t="inlineStr">
        <is>
          <t>LPB</t>
        </is>
      </c>
      <c r="B182" t="inlineStr">
        <is>
          <t>Ngân hàng</t>
        </is>
      </c>
      <c r="C182" t="inlineStr">
        <is>
          <t>HOSE</t>
        </is>
      </c>
      <c r="D182" t="n">
        <v>0.005</v>
      </c>
      <c r="E182" t="n">
        <v>9</v>
      </c>
      <c r="F182" t="n">
        <v>45373</v>
      </c>
      <c r="G182" t="n">
        <v>53000</v>
      </c>
      <c r="H182" t="n">
        <v>477000</v>
      </c>
      <c r="I182" t="n">
        <v>0</v>
      </c>
    </row>
    <row r="183">
      <c r="A183" t="inlineStr">
        <is>
          <t>MBS</t>
        </is>
      </c>
      <c r="B183" t="inlineStr">
        <is>
          <t>Chứng khoán</t>
        </is>
      </c>
      <c r="C183" t="inlineStr">
        <is>
          <t>HNX</t>
        </is>
      </c>
      <c r="D183" t="n">
        <v>0.005</v>
      </c>
      <c r="E183" t="n">
        <v>25</v>
      </c>
      <c r="F183" t="n">
        <v>17151</v>
      </c>
      <c r="G183" t="n">
        <v>19900</v>
      </c>
      <c r="H183" t="n">
        <v>497500</v>
      </c>
      <c r="I183" t="n">
        <v>0</v>
      </c>
    </row>
    <row r="184">
      <c r="A184" t="inlineStr">
        <is>
          <t>TMS</t>
        </is>
      </c>
      <c r="B184" t="inlineStr">
        <is>
          <t>Logistics</t>
        </is>
      </c>
      <c r="C184" t="inlineStr">
        <is>
          <t>HOSE</t>
        </is>
      </c>
      <c r="D184" t="n">
        <v>0.005</v>
      </c>
      <c r="E184" t="n">
        <v>34</v>
      </c>
      <c r="F184" t="n">
        <v>13363</v>
      </c>
      <c r="G184" t="n">
        <v>14700</v>
      </c>
      <c r="H184" t="n">
        <v>499800</v>
      </c>
      <c r="I184" t="n">
        <v>0</v>
      </c>
    </row>
    <row r="185">
      <c r="A185" t="inlineStr">
        <is>
          <t>MSH</t>
        </is>
      </c>
      <c r="B185" t="inlineStr">
        <is>
          <t>Dệt may</t>
        </is>
      </c>
      <c r="C185" t="inlineStr">
        <is>
          <t>HOSE</t>
        </is>
      </c>
      <c r="D185" t="n">
        <v>0.005</v>
      </c>
      <c r="E185" t="n">
        <v>40</v>
      </c>
      <c r="F185" t="n">
        <v>12388</v>
      </c>
      <c r="G185" t="n">
        <v>12350</v>
      </c>
      <c r="H185" t="n">
        <v>494000</v>
      </c>
      <c r="I185" t="n">
        <v>0</v>
      </c>
    </row>
    <row r="186">
      <c r="A186" t="inlineStr">
        <is>
          <t>DHG</t>
        </is>
      </c>
      <c r="B186" t="inlineStr">
        <is>
          <t>Dược</t>
        </is>
      </c>
      <c r="C186" t="inlineStr">
        <is>
          <t>HNX</t>
        </is>
      </c>
      <c r="D186" t="n">
        <v>0.005</v>
      </c>
      <c r="E186" t="n">
        <v>5</v>
      </c>
      <c r="F186" t="n">
        <v>91961</v>
      </c>
      <c r="G186" t="n">
        <v>94400</v>
      </c>
      <c r="H186" t="n">
        <v>472000</v>
      </c>
      <c r="I186" t="n">
        <v>0</v>
      </c>
    </row>
    <row r="187">
      <c r="A187" t="inlineStr">
        <is>
          <t>ANV</t>
        </is>
      </c>
      <c r="B187" t="inlineStr">
        <is>
          <t>Thực phẩm</t>
        </is>
      </c>
      <c r="C187" t="inlineStr">
        <is>
          <t>HOSE</t>
        </is>
      </c>
      <c r="D187" t="n">
        <v>0.005</v>
      </c>
      <c r="E187" t="n">
        <v>23</v>
      </c>
      <c r="F187" t="n">
        <v>20026</v>
      </c>
      <c r="G187" t="n">
        <v>22050</v>
      </c>
      <c r="H187" t="n">
        <v>507150</v>
      </c>
      <c r="I187" t="n">
        <v>0</v>
      </c>
    </row>
    <row r="188">
      <c r="A188" t="inlineStr">
        <is>
          <t>PHR</t>
        </is>
      </c>
      <c r="B188" t="inlineStr">
        <is>
          <t>Cao su</t>
        </is>
      </c>
      <c r="C188" t="inlineStr">
        <is>
          <t>UPCoM</t>
        </is>
      </c>
      <c r="D188" t="n">
        <v>0.005</v>
      </c>
      <c r="E188" t="n">
        <v>7</v>
      </c>
      <c r="F188" t="n">
        <v>64900</v>
      </c>
      <c r="G188" t="n">
        <v>67000</v>
      </c>
      <c r="H188" t="n">
        <v>469000</v>
      </c>
      <c r="I188" t="n">
        <v>0</v>
      </c>
    </row>
    <row r="189">
      <c r="A189" t="inlineStr">
        <is>
          <t>ACL</t>
        </is>
      </c>
      <c r="B189" t="inlineStr">
        <is>
          <t>Thủy sản</t>
        </is>
      </c>
      <c r="C189" t="inlineStr">
        <is>
          <t>HOSE</t>
        </is>
      </c>
      <c r="D189" t="n">
        <v>0.005</v>
      </c>
      <c r="E189" t="n">
        <v>38</v>
      </c>
      <c r="F189" t="n">
        <v>11874</v>
      </c>
      <c r="G189" t="n">
        <v>13250</v>
      </c>
      <c r="H189" t="n">
        <v>503500</v>
      </c>
      <c r="I189" t="n">
        <v>0</v>
      </c>
    </row>
    <row r="190">
      <c r="A190" t="inlineStr">
        <is>
          <t>PGS</t>
        </is>
      </c>
      <c r="B190" t="inlineStr">
        <is>
          <t>Dầu khí</t>
        </is>
      </c>
      <c r="C190" t="inlineStr">
        <is>
          <t>HNX</t>
        </is>
      </c>
      <c r="D190" t="n">
        <v>0.005</v>
      </c>
      <c r="E190" t="n">
        <v>10</v>
      </c>
      <c r="F190" t="n">
        <v>46334</v>
      </c>
      <c r="G190" t="n">
        <v>48500</v>
      </c>
      <c r="H190" t="n">
        <v>485000</v>
      </c>
      <c r="I190" t="n">
        <v>0</v>
      </c>
    </row>
    <row r="191">
      <c r="A191" t="inlineStr">
        <is>
          <t>TCM</t>
        </is>
      </c>
      <c r="B191" t="inlineStr">
        <is>
          <t>Dệt may</t>
        </is>
      </c>
      <c r="C191" t="inlineStr">
        <is>
          <t>HOSE</t>
        </is>
      </c>
      <c r="D191" t="n">
        <v>0.005</v>
      </c>
      <c r="E191" t="n">
        <v>15</v>
      </c>
      <c r="F191" t="n">
        <v>33247</v>
      </c>
      <c r="G191" t="n">
        <v>34400</v>
      </c>
      <c r="H191" t="n">
        <v>516000</v>
      </c>
      <c r="I191" t="n">
        <v>0</v>
      </c>
    </row>
    <row r="192">
      <c r="A192" t="inlineStr">
        <is>
          <t>VMD</t>
        </is>
      </c>
      <c r="B192" t="inlineStr">
        <is>
          <t>Y tế</t>
        </is>
      </c>
      <c r="C192" t="inlineStr">
        <is>
          <t>HOSE</t>
        </is>
      </c>
      <c r="D192" t="n">
        <v>0.005</v>
      </c>
      <c r="E192" t="n">
        <v>82</v>
      </c>
      <c r="F192" t="n">
        <v>5134</v>
      </c>
      <c r="G192" t="n">
        <v>6100</v>
      </c>
      <c r="H192" t="n">
        <v>500200</v>
      </c>
      <c r="I192" t="n">
        <v>0</v>
      </c>
    </row>
    <row r="193">
      <c r="A193" t="inlineStr">
        <is>
          <t>GAS</t>
        </is>
      </c>
      <c r="B193" t="inlineStr">
        <is>
          <t>Dầu khí</t>
        </is>
      </c>
      <c r="C193" t="inlineStr">
        <is>
          <t>HOSE</t>
        </is>
      </c>
      <c r="D193" t="n">
        <v>0.005</v>
      </c>
      <c r="E193" t="n">
        <v>6</v>
      </c>
      <c r="F193" t="n">
        <v>80055</v>
      </c>
      <c r="G193" t="n">
        <v>81700</v>
      </c>
      <c r="H193" t="n">
        <v>490200</v>
      </c>
      <c r="I193" t="n">
        <v>0</v>
      </c>
    </row>
    <row r="194">
      <c r="A194" t="inlineStr">
        <is>
          <t>TDH</t>
        </is>
      </c>
      <c r="B194" t="inlineStr">
        <is>
          <t>BĐS</t>
        </is>
      </c>
      <c r="C194" t="inlineStr">
        <is>
          <t>HOSE</t>
        </is>
      </c>
      <c r="D194" t="n">
        <v>0.005</v>
      </c>
      <c r="E194" t="n">
        <v>22</v>
      </c>
      <c r="F194" t="n">
        <v>20671</v>
      </c>
      <c r="G194" t="n">
        <v>22500</v>
      </c>
      <c r="H194" t="n">
        <v>495000</v>
      </c>
      <c r="I194" t="n">
        <v>0</v>
      </c>
    </row>
    <row r="195">
      <c r="A195" t="inlineStr">
        <is>
          <t>STK</t>
        </is>
      </c>
      <c r="B195" t="inlineStr">
        <is>
          <t>Dệt may</t>
        </is>
      </c>
      <c r="C195" t="inlineStr">
        <is>
          <t>HOSE</t>
        </is>
      </c>
      <c r="D195" t="n">
        <v>0.005</v>
      </c>
      <c r="E195" t="n">
        <v>26</v>
      </c>
      <c r="F195" t="n">
        <v>16947</v>
      </c>
      <c r="G195" t="n">
        <v>18900</v>
      </c>
      <c r="H195" t="n">
        <v>491400</v>
      </c>
      <c r="I195" t="n">
        <v>0</v>
      </c>
    </row>
    <row r="196">
      <c r="A196" t="inlineStr">
        <is>
          <t>HBS</t>
        </is>
      </c>
      <c r="B196" t="inlineStr">
        <is>
          <t>Chứng khoán</t>
        </is>
      </c>
      <c r="C196" t="inlineStr">
        <is>
          <t>HNX</t>
        </is>
      </c>
      <c r="D196" t="n">
        <v>0.005</v>
      </c>
      <c r="E196" t="n">
        <v>13</v>
      </c>
      <c r="F196" t="n">
        <v>33600</v>
      </c>
      <c r="G196" t="n">
        <v>38400</v>
      </c>
      <c r="H196" t="n">
        <v>499200</v>
      </c>
      <c r="I196" t="n">
        <v>0</v>
      </c>
    </row>
    <row r="197">
      <c r="A197" t="inlineStr">
        <is>
          <t>PLX</t>
        </is>
      </c>
      <c r="B197" t="inlineStr">
        <is>
          <t>Dầu khí</t>
        </is>
      </c>
      <c r="C197" t="inlineStr">
        <is>
          <t>HOSE</t>
        </is>
      </c>
      <c r="D197" t="n">
        <v>0.005</v>
      </c>
      <c r="E197" t="n">
        <v>13</v>
      </c>
      <c r="F197" t="n">
        <v>32893</v>
      </c>
      <c r="G197" t="n">
        <v>39450</v>
      </c>
      <c r="H197" t="n">
        <v>512850</v>
      </c>
      <c r="I197" t="n">
        <v>0</v>
      </c>
    </row>
    <row r="198">
      <c r="A198" t="inlineStr">
        <is>
          <t>ACB</t>
        </is>
      </c>
      <c r="B198" t="inlineStr">
        <is>
          <t>Ngân hàng</t>
        </is>
      </c>
      <c r="C198" t="inlineStr">
        <is>
          <t>HOSE</t>
        </is>
      </c>
      <c r="D198" t="n">
        <v>0.005</v>
      </c>
      <c r="E198" t="n">
        <v>20</v>
      </c>
      <c r="F198" t="n">
        <v>22192</v>
      </c>
      <c r="G198" t="n">
        <v>24650</v>
      </c>
      <c r="H198" t="n">
        <v>493000</v>
      </c>
      <c r="I198" t="n">
        <v>0</v>
      </c>
    </row>
    <row r="199">
      <c r="A199" t="inlineStr">
        <is>
          <t>BVH</t>
        </is>
      </c>
      <c r="B199" t="inlineStr">
        <is>
          <t>Bảo hiểm</t>
        </is>
      </c>
      <c r="C199" t="inlineStr">
        <is>
          <t>HOSE</t>
        </is>
      </c>
      <c r="D199" t="n">
        <v>0.005</v>
      </c>
      <c r="E199" t="n">
        <v>7</v>
      </c>
      <c r="F199" t="n">
        <v>54288</v>
      </c>
      <c r="G199" t="n">
        <v>67000</v>
      </c>
      <c r="H199" t="n">
        <v>469000</v>
      </c>
      <c r="I199" t="n">
        <v>0</v>
      </c>
    </row>
    <row r="200">
      <c r="A200" t="inlineStr">
        <is>
          <t>PHN</t>
        </is>
      </c>
      <c r="B200" t="inlineStr">
        <is>
          <t>Cơ khí</t>
        </is>
      </c>
      <c r="C200" t="inlineStr">
        <is>
          <t>HNX</t>
        </is>
      </c>
      <c r="D200" t="n">
        <v>0.005</v>
      </c>
      <c r="E200" t="n">
        <v>12</v>
      </c>
      <c r="F200" t="n">
        <v>40091</v>
      </c>
      <c r="G200" t="n">
        <v>43000</v>
      </c>
      <c r="H200" t="n">
        <v>516000</v>
      </c>
      <c r="I200" t="n">
        <v>0</v>
      </c>
    </row>
    <row r="201">
      <c r="A201" t="inlineStr">
        <is>
          <t>HAG</t>
        </is>
      </c>
      <c r="B201" t="inlineStr">
        <is>
          <t>Đa ngành</t>
        </is>
      </c>
      <c r="C201" t="inlineStr">
        <is>
          <t>HOSE</t>
        </is>
      </c>
      <c r="D201" t="n">
        <v>0.005</v>
      </c>
      <c r="E201" t="n">
        <v>32</v>
      </c>
      <c r="F201" t="n">
        <v>15382</v>
      </c>
      <c r="G201" t="n">
        <v>15450</v>
      </c>
      <c r="H201" t="n">
        <v>494400</v>
      </c>
      <c r="I201" t="n">
        <v>0</v>
      </c>
    </row>
    <row r="202">
      <c r="A202" t="inlineStr">
        <is>
          <t>PPC</t>
        </is>
      </c>
      <c r="B202" t="inlineStr">
        <is>
          <t>Điện</t>
        </is>
      </c>
      <c r="C202" t="inlineStr">
        <is>
          <t>HOSE</t>
        </is>
      </c>
      <c r="D202" t="n">
        <v>0.005</v>
      </c>
      <c r="E202" t="n">
        <v>51</v>
      </c>
      <c r="F202" t="n">
        <v>9532</v>
      </c>
      <c r="G202" t="n">
        <v>9830</v>
      </c>
      <c r="H202" t="n">
        <v>501330</v>
      </c>
      <c r="I202" t="n">
        <v>0</v>
      </c>
    </row>
    <row r="203">
      <c r="A203" t="inlineStr">
        <is>
          <t>NTC</t>
        </is>
      </c>
      <c r="B203" t="inlineStr">
        <is>
          <t>BĐS KCN</t>
        </is>
      </c>
      <c r="C203" t="inlineStr">
        <is>
          <t>HNX</t>
        </is>
      </c>
      <c r="D203" t="n">
        <v>0.005</v>
      </c>
      <c r="E203" t="n">
        <v>32</v>
      </c>
      <c r="F203" t="n">
        <v>14310</v>
      </c>
      <c r="G203" t="n">
        <v>15450</v>
      </c>
      <c r="H203" t="n">
        <v>494400</v>
      </c>
      <c r="I203" t="n">
        <v>0</v>
      </c>
    </row>
    <row r="204">
      <c r="A204" t="inlineStr">
        <is>
          <t>DHC</t>
        </is>
      </c>
      <c r="B204" t="inlineStr">
        <is>
          <t>VL Xây dựng</t>
        </is>
      </c>
      <c r="C204" t="inlineStr">
        <is>
          <t>HNX</t>
        </is>
      </c>
      <c r="D204" t="n">
        <v>0.005</v>
      </c>
      <c r="E204" t="n">
        <v>7</v>
      </c>
      <c r="F204" t="n">
        <v>60211</v>
      </c>
      <c r="G204" t="n">
        <v>67000</v>
      </c>
      <c r="H204" t="n">
        <v>469000</v>
      </c>
      <c r="I204" t="n">
        <v>0</v>
      </c>
    </row>
  </sheetData>
  <mergeCells count="3">
    <mergeCell ref="A3:W3"/>
    <mergeCell ref="A2:W2"/>
    <mergeCell ref="A1:W1"/>
  </mergeCell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6" customWidth="1" style="981" min="1" max="1"/>
    <col width="22.77734375" customWidth="1" style="981" min="2" max="2"/>
    <col width="10.77734375" customWidth="1" style="981" min="4" max="4"/>
    <col width="12.33203125" customWidth="1" style="981" min="5" max="5"/>
    <col width="20.33203125" customWidth="1" style="981" min="6" max="6"/>
    <col width="13.21875" customWidth="1" style="981" min="8" max="8"/>
    <col width="19.21875" customWidth="1" style="981" min="9" max="9"/>
    <col width="12" customWidth="1" style="981" min="10" max="10"/>
    <col width="12.6640625" customWidth="1" style="981" min="11" max="11"/>
    <col width="12" customWidth="1" style="981" min="17" max="17"/>
    <col width="12" customWidth="1" style="981" min="19" max="19"/>
    <col width="12" customWidth="1" style="981" min="21" max="21"/>
  </cols>
  <sheetData>
    <row r="1" ht="39.75" customHeight="1" s="981">
      <c r="A1" s="1144" t="inlineStr">
        <is>
          <t>? DASHBOARD KPI - Q2 2026 - BCTC Q1/2026 - 29/05/2026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5" t="n"/>
      <c r="Q1" s="965" t="n"/>
      <c r="R1" s="966" t="n"/>
      <c r="S1" s="1050" t="n"/>
      <c r="T1" s="1050" t="n"/>
      <c r="U1" s="1050" t="n"/>
    </row>
    <row r="2" ht="13.5" customHeight="1" s="981">
      <c r="A2" s="1050" t="n"/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  <c r="M2" s="1050" t="n"/>
      <c r="N2" s="1050" t="n"/>
      <c r="O2" s="1050" t="n"/>
      <c r="P2" s="1050" t="n"/>
      <c r="Q2" s="1050" t="n"/>
      <c r="R2" s="1050" t="n"/>
      <c r="S2" s="1050" t="n"/>
      <c r="T2" s="1050" t="n"/>
      <c r="U2" s="1050" t="n"/>
    </row>
    <row r="3" ht="39.75" customHeight="1" s="981">
      <c r="A3" s="1151" t="n"/>
      <c r="B3" s="966" t="n"/>
      <c r="C3" s="1146" t="n"/>
      <c r="D3" s="966" t="n"/>
      <c r="E3" s="1148" t="n"/>
      <c r="F3" s="966" t="n"/>
      <c r="G3" s="1150" t="n"/>
      <c r="H3" s="966" t="n"/>
      <c r="I3" s="1152" t="n"/>
      <c r="J3" s="966" t="n"/>
      <c r="K3" s="1149" t="n"/>
      <c r="L3" s="966" t="n"/>
      <c r="M3" s="1153" t="n"/>
      <c r="N3" s="966" t="n"/>
      <c r="O3" s="1150" t="n"/>
      <c r="P3" s="966" t="n"/>
      <c r="Q3" s="1151" t="n"/>
      <c r="R3" s="1050" t="n"/>
      <c r="S3" s="1151" t="n"/>
      <c r="T3" s="1050" t="n"/>
      <c r="U3" s="1151" t="n"/>
    </row>
    <row r="4" ht="19.5" customHeight="1" s="981">
      <c r="A4" s="1158" t="inlineStr">
        <is>
          <t>Tổng GT
Danh mục</t>
        </is>
      </c>
      <c r="B4" s="966" t="n"/>
      <c r="C4" s="1155" t="inlineStr">
        <is>
          <t>Tổng
Lãi/Lỗ</t>
        </is>
      </c>
      <c r="D4" s="966" t="n"/>
      <c r="E4" s="1147" t="inlineStr">
        <is>
          <t>% Return
Toàn DM</t>
        </is>
      </c>
      <c r="F4" s="966" t="n"/>
      <c r="G4" s="1158" t="inlineStr">
        <is>
          <t>Cổ tức
Dự kiến/năm</t>
        </is>
      </c>
      <c r="H4" s="966" t="n"/>
      <c r="I4" s="1155" t="inlineStr">
        <is>
          <t>CT/Tháng
Thụ động</t>
        </is>
      </c>
      <c r="J4" s="966" t="n"/>
      <c r="K4" s="1145" t="inlineStr">
        <is>
          <t>Tổng nợ
Margin</t>
        </is>
      </c>
      <c r="L4" s="966" t="n"/>
      <c r="M4" s="1147" t="inlineStr">
        <is>
          <t>Beta
Danh mục</t>
        </is>
      </c>
      <c r="N4" s="966" t="n"/>
      <c r="O4" s="1158" t="inlineStr">
        <is>
          <t>Tổng
Vốn tự có</t>
        </is>
      </c>
      <c r="P4" s="966" t="n"/>
      <c r="Q4" s="578" t="inlineStr">
        <is>
          <t>Jensen's
Alpha (α)</t>
        </is>
      </c>
      <c r="R4" s="1050" t="n"/>
      <c r="S4" s="578" t="inlineStr">
        <is>
          <t>Sharpe
Ratio</t>
        </is>
      </c>
      <c r="T4" s="1050" t="n"/>
      <c r="U4" s="578" t="inlineStr">
        <is>
          <t>ESG Score
Trung bình</t>
        </is>
      </c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  <c r="M5" s="1050" t="n"/>
      <c r="N5" s="1050" t="n"/>
      <c r="O5" s="1050" t="n"/>
      <c r="P5" s="1050" t="n"/>
      <c r="Q5" s="1050" t="n"/>
      <c r="R5" s="1050" t="n"/>
      <c r="S5" s="1050" t="n"/>
      <c r="T5" s="1050" t="n"/>
      <c r="U5" s="1050" t="n"/>
    </row>
    <row r="6" ht="24" customHeight="1" s="981">
      <c r="A6" s="1157" t="inlineStr">
        <is>
          <t>🎯  SCORECARD TÓM TẮT — Tất cả 7 mã trong 1 bảng</t>
        </is>
      </c>
      <c r="B6" s="965" t="n"/>
      <c r="C6" s="965" t="n"/>
      <c r="D6" s="965" t="n"/>
      <c r="E6" s="965" t="n"/>
      <c r="F6" s="965" t="n"/>
      <c r="G6" s="965" t="n"/>
      <c r="H6" s="965" t="n"/>
      <c r="I6" s="965" t="n"/>
      <c r="J6" s="965" t="n"/>
      <c r="K6" s="965" t="n"/>
      <c r="L6" s="965" t="n"/>
      <c r="M6" s="965" t="n"/>
      <c r="N6" s="965" t="n"/>
      <c r="O6" s="965" t="n"/>
      <c r="P6" s="965" t="n"/>
      <c r="Q6" s="965" t="n"/>
      <c r="R6" s="966" t="n"/>
      <c r="S6" s="1050" t="n"/>
      <c r="T6" s="1050" t="n"/>
      <c r="U6" s="1050" t="n"/>
    </row>
    <row r="7" ht="39.75" customHeight="1" s="981">
      <c r="A7" s="579" t="inlineStr">
        <is>
          <t>Mã CP</t>
        </is>
      </c>
      <c r="B7" s="579" t="inlineStr">
        <is>
          <t>Ngành</t>
        </is>
      </c>
      <c r="C7" s="579" t="inlineStr">
        <is>
          <t>Giá hiện
tại</t>
        </is>
      </c>
      <c r="D7" s="579" t="inlineStr">
        <is>
          <t>% Lãi/Lỗ</t>
        </is>
      </c>
      <c r="E7" s="579" t="inlineStr">
        <is>
          <t>ROE</t>
        </is>
      </c>
      <c r="F7" s="579" t="inlineStr">
        <is>
          <t>P/E</t>
        </is>
      </c>
      <c r="G7" s="579" t="inlineStr">
        <is>
          <t>Upside
hợp lý</t>
        </is>
      </c>
      <c r="H7" s="579" t="inlineStr">
        <is>
          <t>Điểm
Mua</t>
        </is>
      </c>
      <c r="I7" s="579" t="inlineStr">
        <is>
          <t>Điểm
Bán</t>
        </is>
      </c>
      <c r="J7" s="579" t="inlineStr">
        <is>
          <t>Kết luận</t>
        </is>
      </c>
      <c r="K7" s="579" t="inlineStr">
        <is>
          <t>Hành
động</t>
        </is>
      </c>
      <c r="L7" s="579" t="inlineStr">
        <is>
          <t>Tỷ trọng
hiện tại</t>
        </is>
      </c>
      <c r="M7" s="579" t="inlineStr">
        <is>
          <t>Tỷ trọng
mục tiêu</t>
        </is>
      </c>
      <c r="N7" s="579" t="inlineStr">
        <is>
          <t>Chênh
lệch</t>
        </is>
      </c>
      <c r="O7" s="579" t="inlineStr">
        <is>
          <t>Beta</t>
        </is>
      </c>
      <c r="P7" s="579" t="inlineStr">
        <is>
          <t>VaR 1
ngày</t>
        </is>
      </c>
      <c r="Q7" s="579" t="inlineStr">
        <is>
          <t>Cổ tức</t>
        </is>
      </c>
      <c r="R7" s="579" t="inlineStr">
        <is>
          <t>🚦 Trạng thái</t>
        </is>
      </c>
      <c r="S7" s="1050" t="n"/>
      <c r="T7" s="1050" t="n"/>
      <c r="U7" s="1050" t="n"/>
    </row>
    <row r="8" ht="24" customHeight="1" s="981">
      <c r="A8" s="580" t="inlineStr">
        <is>
          <t>FPT</t>
        </is>
      </c>
      <c r="B8" s="581" t="inlineStr">
        <is>
          <t>Cong nghe</t>
        </is>
      </c>
      <c r="C8" s="581" t="n">
        <v>71900</v>
      </c>
      <c r="D8" s="581" t="n">
        <v>0.1504</v>
      </c>
      <c r="E8" s="581" t="n">
        <v>0.242</v>
      </c>
      <c r="F8" s="581" t="n">
        <v>16</v>
      </c>
      <c r="G8" s="581" t="n">
        <v>49000</v>
      </c>
      <c r="H8" s="581" t="n">
        <v>85</v>
      </c>
      <c r="I8" s="581" t="n">
        <v>15</v>
      </c>
      <c r="J8" s="581" t="inlineStr">
        <is>
          <t>MUA</t>
        </is>
      </c>
      <c r="K8" s="581" t="inlineStr">
        <is>
          <t>Giu nguyen</t>
        </is>
      </c>
      <c r="L8" s="581" t="n">
        <v>0.1445</v>
      </c>
      <c r="M8" s="581" t="n">
        <v>0.125</v>
      </c>
      <c r="N8" s="581" t="n">
        <v>0.0195</v>
      </c>
      <c r="O8" s="581" t="n">
        <v>1.05</v>
      </c>
      <c r="P8" s="581" t="n">
        <v>1294</v>
      </c>
      <c r="Q8" s="581" t="n">
        <v>1000</v>
      </c>
      <c r="R8" s="582" t="inlineStr">
        <is>
          <t>OK</t>
        </is>
      </c>
      <c r="S8" s="1050" t="n"/>
      <c r="T8" s="1050" t="n"/>
      <c r="U8" s="1050" t="n"/>
    </row>
    <row r="9" ht="24" customHeight="1" s="981">
      <c r="A9" s="583" t="inlineStr">
        <is>
          <t>MBB</t>
        </is>
      </c>
      <c r="B9" s="584" t="inlineStr">
        <is>
          <t>Ngan hang</t>
        </is>
      </c>
      <c r="C9" s="584" t="n">
        <v>25000</v>
      </c>
      <c r="D9" s="584" t="n">
        <v>0.136</v>
      </c>
      <c r="E9" s="584" t="n">
        <v>0.221</v>
      </c>
      <c r="F9" s="584" t="n">
        <v>6.4</v>
      </c>
      <c r="G9" s="584" t="n">
        <v>35000</v>
      </c>
      <c r="H9" s="584" t="n">
        <v>90</v>
      </c>
      <c r="I9" s="584" t="n">
        <v>10</v>
      </c>
      <c r="J9" s="584" t="inlineStr">
        <is>
          <t>MUA MANH</t>
        </is>
      </c>
      <c r="K9" s="584" t="inlineStr">
        <is>
          <t>Mua them</t>
        </is>
      </c>
      <c r="L9" s="584" t="n">
        <v>0.1314</v>
      </c>
      <c r="M9" s="584" t="n">
        <v>0.15</v>
      </c>
      <c r="N9" s="584" t="n">
        <v>-0.0186</v>
      </c>
      <c r="O9" s="584" t="n">
        <v>1.15</v>
      </c>
      <c r="P9" s="584" t="n">
        <v>549</v>
      </c>
      <c r="Q9" s="584" t="n">
        <v>300</v>
      </c>
      <c r="R9" s="585" t="inlineStr">
        <is>
          <t>OK</t>
        </is>
      </c>
      <c r="S9" s="1050" t="n"/>
      <c r="T9" s="1050" t="n"/>
      <c r="U9" s="1050" t="n"/>
    </row>
    <row r="10" ht="24" customHeight="1" s="981">
      <c r="A10" s="580" t="inlineStr">
        <is>
          <t>VCB</t>
        </is>
      </c>
      <c r="B10" s="581" t="inlineStr">
        <is>
          <t>Ngan hang</t>
        </is>
      </c>
      <c r="C10" s="581" t="n">
        <v>62800</v>
      </c>
      <c r="D10" s="581" t="n">
        <v>0.142</v>
      </c>
      <c r="E10" s="581" t="n">
        <v>0.187</v>
      </c>
      <c r="F10" s="581" t="n">
        <v>14</v>
      </c>
      <c r="G10" s="581" t="n">
        <v>10000</v>
      </c>
      <c r="H10" s="581" t="n">
        <v>72</v>
      </c>
      <c r="I10" s="581" t="n">
        <v>28</v>
      </c>
      <c r="J10" s="581" t="inlineStr">
        <is>
          <t>GIU</t>
        </is>
      </c>
      <c r="K10" s="581" t="inlineStr">
        <is>
          <t>Giu nguyen</t>
        </is>
      </c>
      <c r="L10" s="581" t="n">
        <v>0.061</v>
      </c>
      <c r="M10" s="581" t="n">
        <v>0.125</v>
      </c>
      <c r="N10" s="581" t="n">
        <v>-0.064</v>
      </c>
      <c r="O10" s="581" t="n">
        <v>1</v>
      </c>
      <c r="P10" s="581" t="n">
        <v>850</v>
      </c>
      <c r="Q10" s="581" t="n">
        <v>1100</v>
      </c>
      <c r="R10" s="582" t="inlineStr">
        <is>
          <t>OK</t>
        </is>
      </c>
      <c r="S10" s="1050" t="n"/>
      <c r="T10" s="1050" t="n"/>
      <c r="U10" s="1050" t="n"/>
    </row>
    <row r="11" ht="24" customHeight="1" s="981">
      <c r="A11" s="583" t="inlineStr">
        <is>
          <t>CTR</t>
        </is>
      </c>
      <c r="B11" s="584" t="inlineStr">
        <is>
          <t>Ha tang so</t>
        </is>
      </c>
      <c r="C11" s="584" t="n">
        <v>90000</v>
      </c>
      <c r="D11" s="584" t="n">
        <v>0.324</v>
      </c>
      <c r="E11" s="584" t="n">
        <v>0.25</v>
      </c>
      <c r="F11" s="584" t="n">
        <v>16.4</v>
      </c>
      <c r="G11" s="584" t="n">
        <v>15000</v>
      </c>
      <c r="H11" s="584" t="n">
        <v>79</v>
      </c>
      <c r="I11" s="584" t="n">
        <v>21</v>
      </c>
      <c r="J11" s="584" t="inlineStr">
        <is>
          <t>MUA</t>
        </is>
      </c>
      <c r="K11" s="584" t="inlineStr">
        <is>
          <t>Giu nguyen</t>
        </is>
      </c>
      <c r="L11" s="584" t="n">
        <v>0.1006</v>
      </c>
      <c r="M11" s="584" t="n">
        <v>0.125</v>
      </c>
      <c r="N11" s="584" t="n">
        <v>-0.0244</v>
      </c>
      <c r="O11" s="584" t="n">
        <v>0.95</v>
      </c>
      <c r="P11" s="584" t="n">
        <v>1835</v>
      </c>
      <c r="Q11" s="584" t="n">
        <v>2400</v>
      </c>
      <c r="R11" s="585" t="inlineStr">
        <is>
          <t>OK</t>
        </is>
      </c>
      <c r="S11" s="1050" t="n"/>
      <c r="T11" s="1050" t="n"/>
      <c r="U11" s="1050" t="n"/>
    </row>
    <row r="12" ht="24" customHeight="1" s="981">
      <c r="A12" s="580" t="inlineStr">
        <is>
          <t>MWG</t>
        </is>
      </c>
      <c r="B12" s="581" t="inlineStr">
        <is>
          <t>Ban le</t>
        </is>
      </c>
      <c r="C12" s="581" t="n">
        <v>77700</v>
      </c>
      <c r="D12" s="581" t="n">
        <v>0.036</v>
      </c>
      <c r="E12" s="581" t="n">
        <v>0.22</v>
      </c>
      <c r="F12" s="581" t="n">
        <v>17.5</v>
      </c>
      <c r="G12" s="581" t="n">
        <v>20000</v>
      </c>
      <c r="H12" s="581" t="n">
        <v>70</v>
      </c>
      <c r="I12" s="581" t="n">
        <v>30</v>
      </c>
      <c r="J12" s="581" t="inlineStr">
        <is>
          <t>GIU</t>
        </is>
      </c>
      <c r="K12" s="581" t="inlineStr">
        <is>
          <t>Cho them</t>
        </is>
      </c>
      <c r="L12" s="581" t="n">
        <v>0.08500000000000001</v>
      </c>
      <c r="M12" s="581" t="n">
        <v>0.125</v>
      </c>
      <c r="N12" s="581" t="n">
        <v>-0.04</v>
      </c>
      <c r="O12" s="581" t="n">
        <v>1.25</v>
      </c>
      <c r="P12" s="581" t="n">
        <v>2115</v>
      </c>
      <c r="Q12" s="581" t="n">
        <v>1000</v>
      </c>
      <c r="R12" s="582" t="inlineStr">
        <is>
          <t>OK</t>
        </is>
      </c>
      <c r="S12" s="1050" t="n"/>
      <c r="T12" s="1050" t="n"/>
      <c r="U12" s="1050" t="n"/>
    </row>
    <row r="13" ht="24" customHeight="1" s="981">
      <c r="A13" s="583" t="inlineStr">
        <is>
          <t>HPG</t>
        </is>
      </c>
      <c r="B13" s="584" t="inlineStr">
        <is>
          <t>Thep</t>
        </is>
      </c>
      <c r="C13" s="584" t="n">
        <v>24000</v>
      </c>
      <c r="D13" s="584" t="n">
        <v>0</v>
      </c>
      <c r="E13" s="584" t="n">
        <v>0.14</v>
      </c>
      <c r="F13" s="584" t="n">
        <v>12</v>
      </c>
      <c r="G13" s="584" t="n">
        <v>8000</v>
      </c>
      <c r="H13" s="584" t="n">
        <v>64</v>
      </c>
      <c r="I13" s="584" t="n">
        <v>36</v>
      </c>
      <c r="J13" s="584" t="inlineStr">
        <is>
          <t>GIU</t>
        </is>
      </c>
      <c r="K13" s="584" t="inlineStr">
        <is>
          <t>Cho BK thep phuc hoi</t>
        </is>
      </c>
      <c r="L13" s="584" t="n">
        <v>0.168</v>
      </c>
      <c r="M13" s="584" t="n">
        <v>0.125</v>
      </c>
      <c r="N13" s="584" t="n">
        <v>0.043</v>
      </c>
      <c r="O13" s="584" t="n">
        <v>1.3</v>
      </c>
      <c r="P13" s="584" t="n">
        <v>780</v>
      </c>
      <c r="Q13" s="584" t="n">
        <v>500</v>
      </c>
      <c r="R13" s="585" t="inlineStr">
        <is>
          <t>OK</t>
        </is>
      </c>
      <c r="S13" s="1050" t="n"/>
      <c r="T13" s="1050" t="n"/>
      <c r="U13" s="1050" t="n"/>
    </row>
    <row r="14" ht="24" customHeight="1" s="981">
      <c r="A14" s="580" t="inlineStr">
        <is>
          <t>VNM</t>
        </is>
      </c>
      <c r="B14" s="581" t="inlineStr">
        <is>
          <t>Tieu dung</t>
        </is>
      </c>
      <c r="C14" s="581" t="n">
        <v>59000</v>
      </c>
      <c r="D14" s="581" t="n">
        <v>0.017</v>
      </c>
      <c r="E14" s="581" t="n">
        <v>0.238</v>
      </c>
      <c r="F14" s="581" t="n">
        <v>15.2</v>
      </c>
      <c r="G14" s="581" t="n">
        <v>5000</v>
      </c>
      <c r="H14" s="581" t="n">
        <v>75</v>
      </c>
      <c r="I14" s="581" t="n">
        <v>25</v>
      </c>
      <c r="J14" s="581" t="inlineStr">
        <is>
          <t>GIU LAI</t>
        </is>
      </c>
      <c r="K14" s="581" t="inlineStr">
        <is>
          <t>Gi? cho co tuc</t>
        </is>
      </c>
      <c r="L14" s="581" t="n">
        <v>0.1224</v>
      </c>
      <c r="M14" s="581" t="n">
        <v>0.125</v>
      </c>
      <c r="N14" s="581" t="n">
        <v>-0.0026</v>
      </c>
      <c r="O14" s="581" t="n">
        <v>0.75</v>
      </c>
      <c r="P14" s="581" t="n">
        <v>731</v>
      </c>
      <c r="Q14" s="581" t="n">
        <v>4350</v>
      </c>
      <c r="R14" s="582" t="inlineStr">
        <is>
          <t>OK</t>
        </is>
      </c>
      <c r="S14" s="1050" t="n"/>
      <c r="T14" s="1050" t="n"/>
      <c r="U14" s="1050" t="n"/>
    </row>
    <row r="15" ht="13.5" customHeight="1" s="981">
      <c r="A15" s="586" t="inlineStr">
        <is>
          <t>VIX</t>
        </is>
      </c>
      <c r="B15" s="587" t="inlineStr">
        <is>
          <t>Chung khoan</t>
        </is>
      </c>
      <c r="C15" s="587" t="n">
        <v>17600</v>
      </c>
      <c r="D15" s="587" t="n">
        <v>0.214</v>
      </c>
      <c r="E15" s="587" t="n">
        <v>0.145</v>
      </c>
      <c r="F15" s="587" t="n">
        <v>6</v>
      </c>
      <c r="G15" s="587" t="n">
        <v>12000</v>
      </c>
      <c r="H15" s="587" t="n">
        <v>64</v>
      </c>
      <c r="I15" s="587" t="n">
        <v>36</v>
      </c>
      <c r="J15" s="587" t="inlineStr">
        <is>
          <t>BAN 1 PHAN</t>
        </is>
      </c>
      <c r="K15" s="587" t="inlineStr">
        <is>
          <t>Chot lai 30%</t>
        </is>
      </c>
      <c r="L15" s="1050" t="n">
        <v>0.187</v>
      </c>
      <c r="M15" s="1050" t="n">
        <v>0.1</v>
      </c>
      <c r="N15" s="1050" t="n">
        <v>0.08699999999999999</v>
      </c>
      <c r="O15" s="1050" t="n">
        <v>1.4</v>
      </c>
      <c r="P15" s="1050" t="n">
        <v>651</v>
      </c>
      <c r="Q15" s="1050" t="n">
        <v>0</v>
      </c>
      <c r="R15" s="1050" t="inlineStr">
        <is>
          <t>WATCH</t>
        </is>
      </c>
      <c r="S15" s="1050" t="n"/>
      <c r="T15" s="1050" t="n"/>
      <c r="U15" s="1050" t="n"/>
    </row>
    <row r="16" ht="24" customHeight="1" s="981">
      <c r="A16" s="1156" t="inlineStr">
        <is>
          <t>🏭  TỶ TRỌNG THỰC TẾ vs MỤC TIÊU THEO NGÀNH</t>
        </is>
      </c>
      <c r="B16" s="965" t="n"/>
      <c r="C16" s="965" t="n"/>
      <c r="D16" s="965" t="n"/>
      <c r="E16" s="965" t="n"/>
      <c r="F16" s="965" t="n"/>
      <c r="G16" s="965" t="n"/>
      <c r="H16" s="965" t="n"/>
      <c r="I16" s="966" t="n"/>
      <c r="J16" s="1050" t="n"/>
      <c r="K16" s="1050" t="n"/>
      <c r="L16" s="1050" t="n"/>
      <c r="M16" s="1050" t="n"/>
      <c r="N16" s="1050" t="n"/>
      <c r="O16" s="1050" t="n"/>
      <c r="P16" s="1050" t="n"/>
      <c r="Q16" s="1050" t="n"/>
      <c r="R16" s="1050" t="n"/>
      <c r="S16" s="1050" t="n"/>
      <c r="T16" s="1050" t="n"/>
      <c r="U16" s="1050" t="n"/>
    </row>
    <row r="17" ht="36" customHeight="1" s="981">
      <c r="A17" s="1067" t="inlineStr">
        <is>
          <t>Ngành</t>
        </is>
      </c>
      <c r="B17" s="1067" t="inlineStr">
        <is>
          <t>GT hiện tại</t>
        </is>
      </c>
      <c r="C17" s="1067" t="inlineStr">
        <is>
          <t>Tỷ trọng
thực tế</t>
        </is>
      </c>
      <c r="D17" s="1067" t="inlineStr">
        <is>
          <t>Tỷ trọng
mục tiêu</t>
        </is>
      </c>
      <c r="E17" s="1067" t="inlineStr">
        <is>
          <t>Chênh
lệch</t>
        </is>
      </c>
      <c r="F17" s="1067" t="inlineStr">
        <is>
          <t>Đánh giá</t>
        </is>
      </c>
      <c r="G17" s="1067" t="inlineStr">
        <is>
          <t>Số mã</t>
        </is>
      </c>
      <c r="H17" s="1067" t="inlineStr">
        <is>
          <t>Avg ROE</t>
        </is>
      </c>
      <c r="I17" s="1067" t="inlineStr">
        <is>
          <t>Gợi ý</t>
        </is>
      </c>
      <c r="J17" s="1050" t="n"/>
      <c r="K17" s="1050" t="n"/>
      <c r="L17" s="1050" t="n"/>
      <c r="M17" s="1050" t="n"/>
      <c r="N17" s="1050" t="n"/>
      <c r="O17" s="1050" t="n"/>
      <c r="P17" s="1050" t="n"/>
      <c r="Q17" s="1050" t="n"/>
      <c r="R17" s="1050" t="n"/>
      <c r="S17" s="1050" t="n"/>
      <c r="T17" s="1050" t="n"/>
      <c r="U17" s="1050" t="n"/>
    </row>
    <row r="18" ht="21.75" customHeight="1" s="981">
      <c r="A18" s="588" t="inlineStr">
        <is>
          <t>Ngân hàng</t>
        </is>
      </c>
      <c r="B18" s="588" t="n"/>
      <c r="C18" s="588" t="n"/>
      <c r="D18" s="588" t="n"/>
      <c r="E18" s="588" t="n"/>
      <c r="F18" s="588" t="inlineStr">
        <is>
          <t>🟡 MBB lỗ, VCB lỗ nhẹ</t>
        </is>
      </c>
      <c r="G18" s="588" t="n"/>
      <c r="H18" s="588" t="n"/>
      <c r="I18" s="588" t="inlineStr">
        <is>
          <t>🟢 Tăng trưởng mạnh</t>
        </is>
      </c>
      <c r="J18" s="1050" t="n"/>
      <c r="K18" s="1050" t="n"/>
      <c r="L18" s="1050" t="n"/>
      <c r="M18" s="1050" t="n"/>
      <c r="N18" s="1050" t="n"/>
      <c r="O18" s="1050" t="n"/>
      <c r="P18" s="1050" t="n"/>
      <c r="Q18" s="1050" t="n"/>
      <c r="R18" s="1050" t="n"/>
      <c r="S18" s="1050" t="n"/>
      <c r="T18" s="1050" t="n"/>
      <c r="U18" s="1050" t="n"/>
    </row>
    <row r="19" ht="21.75" customHeight="1" s="981">
      <c r="A19" s="589" t="inlineStr">
        <is>
          <t>Công Nghệ</t>
        </is>
      </c>
      <c r="B19" s="589" t="n"/>
      <c r="C19" s="589" t="n"/>
      <c r="D19" s="589" t="n"/>
      <c r="E19" s="589" t="n"/>
      <c r="F19" s="589" t="inlineStr">
        <is>
          <t>🟢 FPT tăng tốt</t>
        </is>
      </c>
      <c r="G19" s="589" t="n"/>
      <c r="H19" s="589" t="n"/>
      <c r="I19" s="589" t="inlineStr">
        <is>
          <t>🟡 Nhạy lãi suất</t>
        </is>
      </c>
      <c r="J19" s="1050" t="n"/>
      <c r="K19" s="1050" t="n"/>
      <c r="L19" s="1050" t="n"/>
      <c r="M19" s="1050" t="n"/>
      <c r="N19" s="1050" t="n"/>
      <c r="O19" s="1050" t="n"/>
      <c r="P19" s="1050" t="n"/>
      <c r="Q19" s="1050" t="n"/>
      <c r="R19" s="1050" t="n"/>
      <c r="S19" s="1050" t="n"/>
      <c r="T19" s="1050" t="n"/>
      <c r="U19" s="1050" t="n"/>
    </row>
    <row r="20" ht="21.75" customHeight="1" s="981">
      <c r="A20" s="588" t="inlineStr">
        <is>
          <t>Hạ tầng số</t>
        </is>
      </c>
      <c r="B20" s="588" t="n"/>
      <c r="C20" s="588" t="n"/>
      <c r="D20" s="588" t="n"/>
      <c r="E20" s="588" t="n"/>
      <c r="F20" s="588" t="inlineStr">
        <is>
          <t>🟢 CTR tăng mạnh</t>
        </is>
      </c>
      <c r="G20" s="588" t="n"/>
      <c r="H20" s="588" t="n"/>
      <c r="I20" s="588" t="inlineStr">
        <is>
          <t>🟢 Rất tích cực</t>
        </is>
      </c>
      <c r="J20" s="1050" t="n"/>
      <c r="K20" s="1050" t="n"/>
      <c r="L20" s="1050" t="n"/>
      <c r="M20" s="1050" t="n"/>
      <c r="N20" s="1050" t="n"/>
      <c r="O20" s="1050" t="n"/>
      <c r="P20" s="1050" t="n"/>
      <c r="Q20" s="1050" t="n"/>
      <c r="R20" s="1050" t="n"/>
      <c r="S20" s="1050" t="n"/>
      <c r="T20" s="1050" t="n"/>
      <c r="U20" s="1050" t="n"/>
    </row>
    <row r="21" ht="21.75" customHeight="1" s="981">
      <c r="A21" s="589" t="inlineStr">
        <is>
          <t>Bán lẻ</t>
        </is>
      </c>
      <c r="B21" s="589" t="n"/>
      <c r="C21" s="589" t="n"/>
      <c r="D21" s="589" t="n"/>
      <c r="E21" s="589" t="n"/>
      <c r="F21" s="589" t="inlineStr">
        <is>
          <t>🟡 MWG hòa</t>
        </is>
      </c>
      <c r="G21" s="589" t="n"/>
      <c r="H21" s="589" t="n"/>
      <c r="I21" s="589" t="inlineStr">
        <is>
          <t>🟡 Phục hồi dần</t>
        </is>
      </c>
      <c r="J21" s="1050" t="n"/>
      <c r="K21" s="1050" t="n"/>
      <c r="L21" s="1050" t="n"/>
      <c r="M21" s="1050" t="n"/>
      <c r="N21" s="1050" t="n"/>
      <c r="O21" s="1050" t="n"/>
      <c r="P21" s="1050" t="n"/>
      <c r="Q21" s="1050" t="n"/>
      <c r="R21" s="1050" t="n"/>
      <c r="S21" s="1050" t="n"/>
      <c r="T21" s="1050" t="n"/>
      <c r="U21" s="1050" t="n"/>
    </row>
    <row r="22" ht="21.75" customHeight="1" s="981">
      <c r="A22" s="588" t="inlineStr">
        <is>
          <t>Thép &amp; công nghiệp</t>
        </is>
      </c>
      <c r="B22" s="588" t="n"/>
      <c r="C22" s="588" t="n"/>
      <c r="D22" s="588" t="n"/>
      <c r="E22" s="588" t="n"/>
      <c r="F22" s="588" t="inlineStr">
        <is>
          <t>🔴 HPG lỗ sâu</t>
        </is>
      </c>
      <c r="G22" s="588" t="n"/>
      <c r="H22" s="588" t="n"/>
      <c r="I22" s="588" t="inlineStr">
        <is>
          <t>🟡 Chờ BĐS phục hồi</t>
        </is>
      </c>
      <c r="J22" s="1050" t="n"/>
      <c r="K22" s="1050" t="n"/>
      <c r="L22" s="1050" t="n"/>
      <c r="M22" s="1050" t="n"/>
      <c r="N22" s="1050" t="n"/>
      <c r="O22" s="1050" t="n"/>
      <c r="P22" s="1050" t="n"/>
      <c r="Q22" s="1050" t="n"/>
      <c r="R22" s="1050" t="n"/>
      <c r="S22" s="1050" t="n"/>
      <c r="T22" s="1050" t="n"/>
      <c r="U22" s="1050" t="n"/>
    </row>
    <row r="23" ht="21.75" customHeight="1" s="981">
      <c r="A23" s="589" t="inlineStr">
        <is>
          <t>Tiêu dùng thiết yếu</t>
        </is>
      </c>
      <c r="B23" s="589" t="n"/>
      <c r="C23" s="589" t="n"/>
      <c r="D23" s="589" t="n"/>
      <c r="E23" s="589" t="n"/>
      <c r="F23" s="589" t="inlineStr">
        <is>
          <t>🔴 VNM lỗ nhẹ</t>
        </is>
      </c>
      <c r="G23" s="589" t="n"/>
      <c r="H23" s="589" t="n"/>
      <c r="I23" s="589" t="inlineStr">
        <is>
          <t>🟢 Ổn định, cổ tức tốt</t>
        </is>
      </c>
      <c r="J23" s="1050" t="n"/>
      <c r="K23" s="1050" t="n"/>
      <c r="L23" s="1050" t="n"/>
      <c r="M23" s="1050" t="n"/>
      <c r="N23" s="1050" t="n"/>
      <c r="O23" s="1050" t="n"/>
      <c r="P23" s="1050" t="n"/>
      <c r="Q23" s="1050" t="n"/>
      <c r="R23" s="1050" t="n"/>
      <c r="S23" s="1050" t="n"/>
      <c r="T23" s="1050" t="n"/>
      <c r="U23" s="1050" t="n"/>
    </row>
    <row r="24" ht="13.5" customHeight="1" s="981">
      <c r="A24" s="1050" t="n"/>
      <c r="B24" s="1050" t="n"/>
      <c r="C24" s="1050" t="n"/>
      <c r="D24" s="1050" t="n"/>
      <c r="E24" s="1050" t="n"/>
      <c r="F24" s="1050" t="n"/>
      <c r="G24" s="1050" t="n"/>
      <c r="H24" s="1050" t="n"/>
      <c r="I24" s="1050" t="n"/>
      <c r="J24" s="1050" t="n"/>
      <c r="K24" s="1050" t="n"/>
      <c r="L24" s="1050" t="n"/>
      <c r="M24" s="1050" t="n"/>
      <c r="N24" s="1050" t="n"/>
      <c r="O24" s="1050" t="n"/>
      <c r="P24" s="1050" t="n"/>
      <c r="Q24" s="1050" t="n"/>
      <c r="R24" s="1050" t="n"/>
      <c r="S24" s="1050" t="n"/>
      <c r="T24" s="1050" t="n"/>
      <c r="U24" s="1050" t="n"/>
    </row>
    <row r="25" ht="39.75" customHeight="1" s="981">
      <c r="A25" s="1154" t="inlineStr">
        <is>
          <t>📌 Ghi chú: Dashboard này kéo dữ liệu trực tiếp từ HỆ THỐNG QUẢN LÝ. Cập nhật giá/chỉ số trong sheet đó → Dashboard tự refresh. Màu xanh = tín hiệu tốt · Vàng = chú ý · Đỏ = cần hành động ngay.</t>
        </is>
      </c>
      <c r="B25" s="965" t="n"/>
      <c r="C25" s="965" t="n"/>
      <c r="D25" s="965" t="n"/>
      <c r="E25" s="965" t="n"/>
      <c r="F25" s="965" t="n"/>
      <c r="G25" s="965" t="n"/>
      <c r="H25" s="965" t="n"/>
      <c r="I25" s="965" t="n"/>
      <c r="J25" s="965" t="n"/>
      <c r="K25" s="965" t="n"/>
      <c r="L25" s="965" t="n"/>
      <c r="M25" s="965" t="n"/>
      <c r="N25" s="965" t="n"/>
      <c r="O25" s="965" t="n"/>
      <c r="P25" s="965" t="n"/>
      <c r="Q25" s="965" t="n"/>
      <c r="R25" s="966" t="n"/>
      <c r="S25" s="1050" t="n"/>
      <c r="T25" s="1050" t="n"/>
      <c r="U25" s="1050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  <c r="I26" s="1050" t="n"/>
      <c r="J26" s="1050" t="n"/>
      <c r="K26" s="1050" t="n"/>
      <c r="L26" s="1050" t="n"/>
      <c r="M26" s="1050" t="n"/>
      <c r="N26" s="1050" t="n"/>
      <c r="O26" s="1050" t="n"/>
      <c r="P26" s="1050" t="n"/>
      <c r="Q26" s="1050" t="n"/>
      <c r="R26" s="1050" t="n"/>
      <c r="S26" s="1050" t="n"/>
      <c r="T26" s="1050" t="n"/>
      <c r="U26" s="1050" t="n"/>
    </row>
    <row r="27" ht="15" customHeight="1" s="981">
      <c r="A27" s="1050" t="n"/>
      <c r="B27" s="1050" t="n"/>
      <c r="C27" s="1050" t="n"/>
      <c r="D27" s="1050" t="n"/>
      <c r="E27" s="1050" t="n"/>
      <c r="F27" s="1050" t="n"/>
      <c r="G27" s="1050" t="n"/>
      <c r="H27" s="1050" t="n"/>
      <c r="I27" s="1050" t="n"/>
      <c r="J27" s="1050" t="n"/>
      <c r="K27" s="1050" t="n"/>
      <c r="L27" s="1050" t="n"/>
      <c r="M27" s="1050" t="n"/>
      <c r="N27" s="1050" t="n"/>
      <c r="O27" s="1050" t="n"/>
      <c r="P27" s="1050" t="n"/>
      <c r="Q27" s="1050" t="n"/>
      <c r="R27" s="1050" t="n"/>
      <c r="S27" s="1050" t="n"/>
      <c r="T27" s="1050" t="n"/>
      <c r="U27" s="1050" t="n"/>
    </row>
    <row r="28" ht="15" customHeight="1" s="981">
      <c r="A28" s="1050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  <c r="K28" s="1050" t="n"/>
      <c r="L28" s="1050" t="n"/>
      <c r="M28" s="1050" t="n"/>
      <c r="N28" s="1050" t="n"/>
      <c r="O28" s="1050" t="n"/>
      <c r="P28" s="1050" t="n"/>
      <c r="Q28" s="1050" t="n"/>
      <c r="R28" s="1050" t="n"/>
      <c r="S28" s="1050" t="n"/>
      <c r="T28" s="1050" t="n"/>
      <c r="U28" s="1050" t="n"/>
    </row>
    <row r="29" ht="15" customHeight="1" s="981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  <c r="K29" s="1050" t="n"/>
      <c r="L29" s="1050" t="n"/>
      <c r="M29" s="1050" t="n"/>
      <c r="N29" s="1050" t="n"/>
      <c r="O29" s="1050" t="n"/>
      <c r="P29" s="1050" t="n"/>
      <c r="Q29" s="1050" t="n"/>
      <c r="R29" s="1050" t="n"/>
      <c r="S29" s="1050" t="n"/>
      <c r="T29" s="1050" t="n"/>
      <c r="U29" s="1050" t="n"/>
    </row>
    <row r="30" ht="15" customHeight="1" s="981">
      <c r="A30" s="1050" t="n"/>
      <c r="B30" s="1050" t="n"/>
      <c r="C30" s="1050" t="n"/>
      <c r="D30" s="1050" t="n"/>
      <c r="E30" s="1050" t="n"/>
      <c r="F30" s="1050" t="n"/>
      <c r="G30" s="1050" t="n"/>
      <c r="H30" s="1050" t="n"/>
      <c r="I30" s="1050" t="n"/>
      <c r="J30" s="1050" t="n"/>
      <c r="K30" s="1050" t="n"/>
      <c r="L30" s="1050" t="n"/>
      <c r="M30" s="1050" t="n"/>
      <c r="N30" s="1050" t="n"/>
      <c r="O30" s="1050" t="n"/>
      <c r="P30" s="1050" t="n"/>
      <c r="Q30" s="1050" t="n"/>
      <c r="R30" s="1050" t="n"/>
      <c r="S30" s="1050" t="n"/>
      <c r="T30" s="1050" t="n"/>
      <c r="U30" s="1050" t="n"/>
    </row>
    <row r="31" ht="15" customHeight="1" s="981">
      <c r="A31" s="1050" t="n"/>
      <c r="B31" s="1050" t="n"/>
      <c r="C31" s="1050" t="n"/>
      <c r="D31" s="1050" t="n"/>
      <c r="E31" s="1050" t="n"/>
      <c r="F31" s="1050" t="n"/>
      <c r="G31" s="1050" t="n"/>
      <c r="H31" s="1050" t="n"/>
      <c r="I31" s="1050" t="n"/>
      <c r="J31" s="1050" t="n"/>
      <c r="K31" s="1050" t="n"/>
      <c r="L31" s="1050" t="n"/>
      <c r="M31" s="1050" t="n"/>
      <c r="N31" s="1050" t="n"/>
      <c r="O31" s="1050" t="n"/>
      <c r="P31" s="1050" t="n"/>
      <c r="Q31" s="1050" t="n"/>
      <c r="R31" s="1050" t="n"/>
      <c r="S31" s="1050" t="n"/>
      <c r="T31" s="1050" t="n"/>
      <c r="U31" s="1050" t="n"/>
    </row>
    <row r="32" ht="15" customHeight="1" s="981">
      <c r="A32" s="1050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050" t="n"/>
      <c r="P32" s="1050" t="n"/>
      <c r="Q32" s="1050" t="n"/>
      <c r="R32" s="1050" t="n"/>
      <c r="S32" s="1050" t="n"/>
      <c r="T32" s="1050" t="n"/>
      <c r="U32" s="1050" t="n"/>
    </row>
    <row r="33" ht="15" customHeight="1" s="981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  <c r="N33" s="1050" t="n"/>
      <c r="O33" s="1050" t="n"/>
      <c r="P33" s="1050" t="n"/>
      <c r="Q33" s="1050" t="n"/>
      <c r="R33" s="1050" t="n"/>
      <c r="S33" s="1050" t="n"/>
      <c r="T33" s="1050" t="n"/>
      <c r="U33" s="1050" t="n"/>
    </row>
    <row r="34" ht="15" customHeight="1" s="981">
      <c r="A34" s="1050" t="n"/>
      <c r="B34" s="1050" t="n"/>
      <c r="C34" s="1050" t="n"/>
      <c r="D34" s="1050" t="n"/>
      <c r="E34" s="1050" t="n"/>
      <c r="F34" s="1050" t="n"/>
      <c r="G34" s="1050" t="n"/>
      <c r="H34" s="1050" t="n"/>
      <c r="I34" s="1050" t="n"/>
      <c r="J34" s="1050" t="n"/>
      <c r="K34" s="1050" t="n"/>
      <c r="L34" s="1050" t="n"/>
      <c r="M34" s="1050" t="n"/>
      <c r="N34" s="1050" t="n"/>
      <c r="O34" s="1050" t="n"/>
      <c r="P34" s="1050" t="n"/>
      <c r="Q34" s="1050" t="n"/>
      <c r="R34" s="1050" t="n"/>
      <c r="S34" s="1050" t="n"/>
      <c r="T34" s="1050" t="n"/>
      <c r="U34" s="1050" t="n"/>
    </row>
    <row r="35" ht="15" customHeight="1" s="981">
      <c r="A35" s="1050" t="n"/>
      <c r="B35" s="1050" t="n"/>
      <c r="C35" s="1050" t="n"/>
      <c r="D35" s="1050" t="n"/>
      <c r="E35" s="1050" t="n"/>
      <c r="F35" s="1050" t="n"/>
      <c r="G35" s="1050" t="n"/>
      <c r="H35" s="1050" t="n"/>
      <c r="I35" s="1050" t="n"/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  <c r="S35" s="1050" t="n"/>
      <c r="T35" s="1050" t="n"/>
      <c r="U35" s="1050" t="n"/>
    </row>
    <row r="36" ht="15" customHeight="1" s="981">
      <c r="A36" s="1050" t="n"/>
      <c r="B36" s="1050" t="n"/>
      <c r="C36" s="1050" t="n"/>
      <c r="D36" s="1050" t="n"/>
      <c r="E36" s="1050" t="n"/>
      <c r="F36" s="1050" t="n"/>
      <c r="G36" s="1050" t="n"/>
      <c r="H36" s="1050" t="n"/>
      <c r="I36" s="1050" t="n"/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  <c r="S36" s="1050" t="n"/>
      <c r="T36" s="1050" t="n"/>
      <c r="U36" s="1050" t="n"/>
    </row>
    <row r="37" ht="15" customHeight="1" s="981">
      <c r="A37" s="1050" t="n"/>
      <c r="B37" s="1050" t="n"/>
      <c r="C37" s="1050" t="n"/>
      <c r="D37" s="1050" t="n"/>
      <c r="E37" s="1050" t="n"/>
      <c r="F37" s="1050" t="n"/>
      <c r="G37" s="1050" t="n"/>
      <c r="H37" s="1050" t="n"/>
      <c r="I37" s="1050" t="n"/>
      <c r="J37" s="1050" t="n"/>
      <c r="K37" s="1050" t="n"/>
      <c r="L37" s="1050" t="n"/>
      <c r="M37" s="1050" t="n"/>
      <c r="N37" s="1050" t="n"/>
      <c r="O37" s="1050" t="n"/>
      <c r="P37" s="1050" t="n"/>
      <c r="Q37" s="1050" t="n"/>
      <c r="R37" s="1050" t="n"/>
      <c r="S37" s="1050" t="n"/>
      <c r="T37" s="1050" t="n"/>
      <c r="U37" s="1050" t="n"/>
    </row>
    <row r="38" ht="15" customHeight="1" s="981">
      <c r="A38" s="1050" t="n"/>
      <c r="B38" s="1050" t="n"/>
      <c r="C38" s="1050" t="n"/>
      <c r="D38" s="1050" t="n"/>
      <c r="E38" s="1050" t="n"/>
      <c r="F38" s="1050" t="n"/>
      <c r="G38" s="1050" t="n"/>
      <c r="H38" s="1050" t="n"/>
      <c r="I38" s="1050" t="n"/>
      <c r="J38" s="1050" t="n"/>
      <c r="K38" s="1050" t="n"/>
      <c r="L38" s="1050" t="n"/>
      <c r="M38" s="1050" t="n"/>
      <c r="N38" s="1050" t="n"/>
      <c r="O38" s="1050" t="n"/>
      <c r="P38" s="1050" t="n"/>
      <c r="Q38" s="1050" t="n"/>
      <c r="R38" s="1050" t="n"/>
      <c r="S38" s="1050" t="n"/>
      <c r="T38" s="1050" t="n"/>
      <c r="U38" s="1050" t="n"/>
    </row>
    <row r="39" ht="15" customHeight="1" s="981">
      <c r="A39" s="1050" t="n"/>
      <c r="B39" s="1050" t="n"/>
      <c r="C39" s="1050" t="n"/>
      <c r="D39" s="1050" t="n"/>
      <c r="E39" s="1050" t="n"/>
      <c r="F39" s="1050" t="n"/>
      <c r="G39" s="1050" t="n"/>
      <c r="H39" s="1050" t="n"/>
      <c r="I39" s="1050" t="n"/>
      <c r="J39" s="1050" t="n"/>
      <c r="K39" s="1050" t="n"/>
      <c r="L39" s="1050" t="n"/>
      <c r="M39" s="1050" t="n"/>
      <c r="N39" s="1050" t="n"/>
      <c r="O39" s="1050" t="n"/>
      <c r="P39" s="1050" t="n"/>
      <c r="Q39" s="1050" t="n"/>
      <c r="R39" s="1050" t="n"/>
      <c r="S39" s="1050" t="n"/>
      <c r="T39" s="1050" t="n"/>
      <c r="U39" s="1050" t="n"/>
    </row>
    <row r="40" ht="15" customHeight="1" s="981">
      <c r="A40" s="1050" t="n"/>
      <c r="B40" s="1050" t="n"/>
      <c r="C40" s="1050" t="n"/>
      <c r="D40" s="1050" t="n"/>
      <c r="E40" s="1050" t="n"/>
      <c r="F40" s="1050" t="n"/>
      <c r="G40" s="1050" t="n"/>
      <c r="H40" s="1050" t="n"/>
      <c r="I40" s="1050" t="n"/>
      <c r="J40" s="1050" t="n"/>
      <c r="K40" s="1050" t="n"/>
      <c r="L40" s="1050" t="n"/>
      <c r="M40" s="1050" t="n"/>
      <c r="N40" s="1050" t="n"/>
      <c r="O40" s="1050" t="n"/>
      <c r="P40" s="1050" t="n"/>
      <c r="Q40" s="1050" t="n"/>
      <c r="R40" s="1050" t="n"/>
      <c r="S40" s="1050" t="n"/>
      <c r="T40" s="1050" t="n"/>
      <c r="U40" s="1050" t="n"/>
    </row>
    <row r="41" ht="15" customHeight="1" s="981">
      <c r="A41" s="1050" t="n"/>
      <c r="B41" s="1050" t="n"/>
      <c r="C41" s="1050" t="n"/>
      <c r="D41" s="1050" t="n"/>
      <c r="E41" s="1050" t="n"/>
      <c r="F41" s="1050" t="n"/>
      <c r="G41" s="1050" t="n"/>
      <c r="H41" s="1050" t="n"/>
      <c r="I41" s="1050" t="n"/>
      <c r="J41" s="1050" t="n"/>
      <c r="K41" s="1050" t="n"/>
      <c r="L41" s="1050" t="n"/>
      <c r="M41" s="1050" t="n"/>
      <c r="N41" s="1050" t="n"/>
      <c r="O41" s="1050" t="n"/>
      <c r="P41" s="1050" t="n"/>
      <c r="Q41" s="1050" t="n"/>
      <c r="R41" s="1050" t="n"/>
      <c r="S41" s="1050" t="n"/>
      <c r="T41" s="1050" t="n"/>
      <c r="U41" s="1050" t="n"/>
    </row>
    <row r="42" ht="15" customHeight="1" s="981">
      <c r="A42" s="1050" t="n"/>
      <c r="B42" s="1050" t="n"/>
      <c r="C42" s="1050" t="n"/>
      <c r="D42" s="1050" t="n"/>
      <c r="E42" s="1050" t="n"/>
      <c r="F42" s="1050" t="n"/>
      <c r="G42" s="1050" t="n"/>
      <c r="H42" s="1050" t="n"/>
      <c r="I42" s="1050" t="n"/>
      <c r="J42" s="1050" t="n"/>
      <c r="K42" s="1050" t="n"/>
      <c r="L42" s="1050" t="n"/>
      <c r="M42" s="1050" t="n"/>
      <c r="N42" s="1050" t="n"/>
      <c r="O42" s="1050" t="n"/>
      <c r="P42" s="1050" t="n"/>
      <c r="Q42" s="1050" t="n"/>
      <c r="R42" s="1050" t="n"/>
      <c r="S42" s="1050" t="n"/>
      <c r="T42" s="1050" t="n"/>
      <c r="U42" s="1050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  <c r="N43" s="1050" t="n"/>
      <c r="O43" s="1050" t="n"/>
      <c r="P43" s="1050" t="n"/>
      <c r="Q43" s="1050" t="n"/>
      <c r="R43" s="1050" t="n"/>
      <c r="S43" s="1050" t="n"/>
      <c r="T43" s="1050" t="n"/>
      <c r="U43" s="1050" t="n"/>
    </row>
    <row r="44" ht="15" customHeight="1" s="981">
      <c r="A44" s="1050" t="n"/>
      <c r="B44" s="1050" t="n"/>
      <c r="C44" s="1050" t="n"/>
      <c r="D44" s="1050" t="n"/>
      <c r="E44" s="1050" t="n"/>
      <c r="F44" s="1050" t="n"/>
      <c r="G44" s="1050" t="n"/>
      <c r="H44" s="1050" t="n"/>
      <c r="I44" s="1050" t="n"/>
      <c r="J44" s="1050" t="n"/>
      <c r="K44" s="1050" t="n"/>
      <c r="L44" s="1050" t="n"/>
      <c r="M44" s="1050" t="n"/>
      <c r="N44" s="1050" t="n"/>
      <c r="O44" s="1050" t="n"/>
      <c r="P44" s="1050" t="n"/>
      <c r="Q44" s="1050" t="n"/>
      <c r="R44" s="1050" t="n"/>
      <c r="S44" s="1050" t="n"/>
      <c r="T44" s="1050" t="n"/>
      <c r="U44" s="1050" t="n"/>
    </row>
    <row r="45" ht="15" customHeight="1" s="981">
      <c r="A45" s="1050" t="n"/>
      <c r="B45" s="1050" t="n"/>
      <c r="C45" s="1050" t="n"/>
      <c r="D45" s="1050" t="n"/>
      <c r="E45" s="1050" t="n"/>
      <c r="F45" s="1050" t="n"/>
      <c r="G45" s="1050" t="n"/>
      <c r="H45" s="1050" t="n"/>
      <c r="I45" s="1050" t="n"/>
      <c r="J45" s="1050" t="n"/>
      <c r="K45" s="1050" t="n"/>
      <c r="L45" s="1050" t="n"/>
      <c r="M45" s="1050" t="n"/>
      <c r="N45" s="1050" t="n"/>
      <c r="O45" s="1050" t="n"/>
      <c r="P45" s="1050" t="n"/>
      <c r="Q45" s="1050" t="n"/>
      <c r="R45" s="1050" t="n"/>
      <c r="S45" s="1050" t="n"/>
      <c r="T45" s="1050" t="n"/>
      <c r="U45" s="1050" t="n"/>
    </row>
    <row r="46" ht="13.5" customHeight="1" s="981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inlineStr">
        <is>
          <t>Cột1</t>
        </is>
      </c>
      <c r="J46" s="1050" t="n"/>
      <c r="K46" s="1050" t="n"/>
      <c r="L46" s="1050" t="n"/>
      <c r="M46" s="1050" t="n"/>
      <c r="N46" s="1050" t="n"/>
      <c r="O46" s="1050" t="n"/>
      <c r="P46" s="1050" t="n"/>
      <c r="Q46" s="1050" t="n"/>
      <c r="R46" s="1050" t="n"/>
      <c r="S46" s="1050" t="n"/>
      <c r="T46" s="1050" t="n"/>
      <c r="U46" s="1050" t="n"/>
    </row>
  </sheetData>
  <mergeCells count="20">
    <mergeCell ref="O3:P3"/>
    <mergeCell ref="A25:R25"/>
    <mergeCell ref="K3:L3"/>
    <mergeCell ref="C4:D4"/>
    <mergeCell ref="E4:F4"/>
    <mergeCell ref="A6:R6"/>
    <mergeCell ref="O4:P4"/>
    <mergeCell ref="A3:B3"/>
    <mergeCell ref="G3:H3"/>
    <mergeCell ref="I3:J3"/>
    <mergeCell ref="M3:N3"/>
    <mergeCell ref="A4:B4"/>
    <mergeCell ref="G4:H4"/>
    <mergeCell ref="I4:J4"/>
    <mergeCell ref="A1:R1"/>
    <mergeCell ref="K4:L4"/>
    <mergeCell ref="C3:D3"/>
    <mergeCell ref="M4:N4"/>
    <mergeCell ref="E3:F3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8" customWidth="1" style="981" min="1" max="1"/>
    <col width="14" customWidth="1" style="981" min="2" max="2"/>
    <col width="34.5546875" customWidth="1" style="981" min="3" max="3"/>
    <col width="54.5546875" customWidth="1" style="981" min="4" max="4"/>
    <col width="14" customWidth="1" style="981" min="5" max="5"/>
    <col width="10" customWidth="1" style="981" min="8" max="8"/>
    <col width="16" customWidth="1" style="981" min="9" max="9"/>
    <col width="14" customWidth="1" style="981" min="10" max="10"/>
  </cols>
  <sheetData>
    <row r="1" ht="27.75" customHeight="1" s="981">
      <c r="A1" s="1161" t="inlineStr">
        <is>
          <t>📊 PHÂN RÃ HIỆU SUẤT &amp; BENCHMARK — Alpha · Sharpe · Chi phí ẩn · Net Return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5" t="n"/>
      <c r="Q1" s="965" t="n"/>
      <c r="R1" s="966" t="n"/>
    </row>
    <row r="2" ht="15" customHeight="1" s="981">
      <c r="A2" s="1050" t="inlineStr">
        <is>
          <t>? Q2 2026 | BCTC Q1/2026 | Portfolio: +42.5% | VN-Index: +15.2% | vs 2024</t>
        </is>
      </c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  <c r="M2" s="1050" t="n"/>
      <c r="N2" s="1050" t="n"/>
      <c r="O2" s="1050" t="n"/>
      <c r="P2" s="1050" t="n"/>
      <c r="Q2" s="1050" t="n"/>
      <c r="R2" s="1050" t="n"/>
    </row>
    <row r="3" ht="13.5" customHeight="1" s="981">
      <c r="A3" s="1160" t="inlineStr">
        <is>
          <t>⚙️ A. THAM CHIẾU VĨ MÔ (Nhập tay — cập nhật hàng tuần)</t>
        </is>
      </c>
      <c r="B3" s="965" t="n"/>
      <c r="C3" s="965" t="n"/>
      <c r="D3" s="966" t="n"/>
      <c r="E3" s="1050" t="n"/>
      <c r="F3" s="1050" t="n"/>
      <c r="G3" s="1050" t="n"/>
      <c r="H3" s="1050" t="inlineStr">
        <is>
          <t>Tham chieu</t>
        </is>
      </c>
      <c r="I3" s="1050" t="n"/>
      <c r="J3" s="1050" t="inlineStr">
        <is>
          <t>Lai suat phi rui ro</t>
        </is>
      </c>
      <c r="K3" s="1050" t="n"/>
      <c r="L3" s="1050" t="n"/>
      <c r="M3" s="1050" t="n"/>
      <c r="N3" s="1050" t="n"/>
      <c r="O3" s="1050" t="n"/>
      <c r="P3" s="1050" t="n"/>
      <c r="Q3" s="1050" t="n"/>
      <c r="R3" s="1050" t="n"/>
    </row>
    <row r="4" ht="15.75" customHeight="1" s="981">
      <c r="A4" s="590" t="inlineStr">
        <is>
          <t>Lãi suất phi rủi ro Rf (Big4 12T)</t>
        </is>
      </c>
      <c r="B4" s="552" t="n">
        <v>0.045</v>
      </c>
      <c r="C4" s="591" t="inlineStr">
        <is>
          <t>Lãi suất tiết kiệm 12 tháng Vietcombank hiện tại ~4.5%</t>
        </is>
      </c>
      <c r="D4" s="1050" t="n"/>
      <c r="E4" s="1050" t="n"/>
      <c r="F4" s="1050" t="n"/>
      <c r="G4" s="1050" t="n"/>
      <c r="H4" s="1050" t="n">
        <v>4.5</v>
      </c>
      <c r="I4" s="1050" t="n"/>
      <c r="J4" s="1050" t="n"/>
      <c r="K4" s="1050" t="n"/>
      <c r="L4" s="1050" t="n"/>
      <c r="M4" s="1050" t="n"/>
      <c r="N4" s="1050" t="n"/>
      <c r="O4" s="1050" t="n"/>
      <c r="P4" s="1050" t="n"/>
      <c r="Q4" s="1050" t="n"/>
      <c r="R4" s="1050" t="n"/>
    </row>
    <row r="5" ht="15.75" customHeight="1" s="981">
      <c r="A5" s="590" t="inlineStr">
        <is>
          <t>Lợi nhuận VN-Index Rm (YTD)</t>
        </is>
      </c>
      <c r="B5" s="552" t="n">
        <v>0.082</v>
      </c>
      <c r="C5" s="591" t="inlineStr">
        <is>
          <t>Tỷ suất VN-Index từ 01/01/2026 đến nay — cập nhật thủ công từ Cafef</t>
        </is>
      </c>
      <c r="D5" s="1050" t="n"/>
      <c r="E5" s="1050" t="n"/>
      <c r="F5" s="1050" t="n"/>
      <c r="G5" s="1050" t="n"/>
      <c r="H5" s="1050" t="n">
        <v>8.199999999999999</v>
      </c>
      <c r="I5" s="1050" t="n"/>
      <c r="J5" s="1050" t="n"/>
      <c r="K5" s="1050" t="n"/>
      <c r="L5" s="1050" t="n"/>
      <c r="M5" s="1050" t="n"/>
      <c r="N5" s="1050" t="n"/>
      <c r="O5" s="1050" t="n"/>
      <c r="P5" s="1050" t="n"/>
      <c r="Q5" s="1050" t="n"/>
      <c r="R5" s="1050" t="n"/>
    </row>
    <row r="6" ht="15.75" customHeight="1" s="981">
      <c r="A6" s="590" t="inlineStr">
        <is>
          <t>Beta danh mục βp</t>
        </is>
      </c>
      <c r="B6" s="592" t="n"/>
      <c r="C6" s="591" t="inlineStr">
        <is>
          <t>Kéo từ sheet chính — tự cập nhật</t>
        </is>
      </c>
      <c r="D6" s="1050" t="n"/>
      <c r="E6" s="1050" t="n"/>
      <c r="F6" s="1050" t="n"/>
      <c r="G6" s="1050" t="n"/>
      <c r="H6" s="1050" t="n">
        <v>1.1</v>
      </c>
      <c r="I6" s="1050" t="n"/>
      <c r="J6" s="1050" t="n"/>
      <c r="K6" s="1050" t="n"/>
      <c r="L6" s="1050" t="n"/>
      <c r="M6" s="1050" t="n"/>
      <c r="N6" s="1050" t="n"/>
      <c r="O6" s="1050" t="n"/>
      <c r="P6" s="1050" t="n"/>
      <c r="Q6" s="1050" t="n"/>
      <c r="R6" s="1050" t="n"/>
    </row>
    <row r="7" ht="15.75" customHeight="1" s="981">
      <c r="A7" s="590" t="inlineStr">
        <is>
          <t>% Return danh mục Rp</t>
        </is>
      </c>
      <c r="B7" s="552" t="n"/>
      <c r="C7" s="591" t="inlineStr">
        <is>
          <t>Tỷ suất lợi nhuận gộp toàn danh mục</t>
        </is>
      </c>
      <c r="D7" s="1050" t="n"/>
      <c r="E7" s="1050" t="n"/>
      <c r="F7" s="1050" t="n"/>
      <c r="G7" s="1050" t="n"/>
      <c r="H7" s="1050" t="n">
        <v>0.168</v>
      </c>
      <c r="I7" s="1050" t="n"/>
      <c r="J7" s="1050" t="n"/>
      <c r="K7" s="1050" t="n"/>
      <c r="L7" s="1050" t="n"/>
      <c r="M7" s="1050" t="n"/>
      <c r="N7" s="1050" t="n"/>
      <c r="O7" s="1050" t="n"/>
      <c r="P7" s="1050" t="n"/>
      <c r="Q7" s="1050" t="n"/>
      <c r="R7" s="1050" t="n"/>
    </row>
    <row r="8" ht="15.75" customHeight="1" s="981">
      <c r="A8" s="590" t="inlineStr">
        <is>
          <t>Phí giao dịch TCBS (mua+bán)</t>
        </is>
      </c>
      <c r="B8" s="552" t="n">
        <v>0.0015</v>
      </c>
      <c r="C8" s="591" t="inlineStr">
        <is>
          <t>0.15% hai chiều — kiểm tra lại trên app TCBS</t>
        </is>
      </c>
      <c r="D8" s="1050" t="n"/>
      <c r="E8" s="1050" t="n"/>
      <c r="F8" s="1050" t="n"/>
      <c r="G8" s="1050" t="n"/>
      <c r="H8" s="1050" t="n">
        <v>0.15</v>
      </c>
      <c r="I8" s="1050" t="n"/>
      <c r="J8" s="1050" t="n"/>
      <c r="K8" s="1050" t="n"/>
      <c r="L8" s="1050" t="n"/>
      <c r="M8" s="1050" t="n"/>
      <c r="N8" s="1050" t="n"/>
      <c r="O8" s="1050" t="n"/>
      <c r="P8" s="1050" t="n"/>
      <c r="Q8" s="1050" t="n"/>
      <c r="R8" s="1050" t="n"/>
    </row>
    <row r="9" ht="15.75" customHeight="1" s="981">
      <c r="A9" s="590" t="inlineStr">
        <is>
          <t>Thuế TNCN bán CK</t>
        </is>
      </c>
      <c r="B9" s="552" t="n">
        <v>0.001</v>
      </c>
      <c r="C9" s="591" t="inlineStr">
        <is>
          <t>0.1% trên giá trị bán — Nghị định 65/2013</t>
        </is>
      </c>
      <c r="D9" s="1050" t="n"/>
      <c r="E9" s="1050" t="n"/>
      <c r="F9" s="1050" t="n"/>
      <c r="G9" s="1050" t="n"/>
      <c r="H9" s="1050" t="n">
        <v>0.1</v>
      </c>
      <c r="I9" s="1050" t="n"/>
      <c r="J9" s="1050" t="n"/>
      <c r="K9" s="1050" t="n"/>
      <c r="L9" s="1050" t="n"/>
      <c r="M9" s="1050" t="n"/>
      <c r="N9" s="1050" t="n"/>
      <c r="O9" s="1050" t="n"/>
      <c r="P9" s="1050" t="n"/>
      <c r="Q9" s="1050" t="n"/>
      <c r="R9" s="1050" t="n"/>
    </row>
    <row r="10" ht="15" customHeight="1" s="981">
      <c r="A10" s="1050" t="n"/>
      <c r="B10" s="1050" t="n"/>
      <c r="C10" s="1050" t="n"/>
      <c r="D10" s="1050" t="n"/>
      <c r="E10" s="1050" t="n"/>
      <c r="F10" s="1050" t="n"/>
      <c r="G10" s="1050" t="n"/>
      <c r="H10" s="1050" t="n"/>
      <c r="I10" s="1050" t="n"/>
      <c r="J10" s="1050" t="n"/>
      <c r="K10" s="1050" t="n"/>
      <c r="L10" s="1050" t="n"/>
      <c r="M10" s="1050" t="n"/>
      <c r="N10" s="1050" t="n"/>
      <c r="O10" s="1050" t="n"/>
      <c r="P10" s="1050" t="n"/>
      <c r="Q10" s="1050" t="n"/>
      <c r="R10" s="1050" t="n"/>
    </row>
    <row r="11" ht="21.75" customHeight="1" s="981">
      <c r="A11" s="1160" t="inlineStr">
        <is>
          <t>🎯 B. CHỈ SỐ HIỆU SUẤT CHUYÊN NGHIỆP</t>
        </is>
      </c>
      <c r="B11" s="965" t="n"/>
      <c r="C11" s="965" t="n"/>
      <c r="D11" s="966" t="n"/>
      <c r="E11" s="1050" t="n"/>
      <c r="F11" s="1050" t="n"/>
      <c r="G11" s="1050" t="n"/>
      <c r="H11" s="1050" t="n"/>
      <c r="I11" s="1050" t="n"/>
      <c r="J11" s="1050" t="n"/>
      <c r="K11" s="1050" t="n"/>
      <c r="L11" s="1050" t="n"/>
      <c r="M11" s="1050" t="n"/>
      <c r="N11" s="1050" t="n"/>
      <c r="O11" s="1050" t="n"/>
      <c r="P11" s="1050" t="n"/>
      <c r="Q11" s="1050" t="n"/>
      <c r="R11" s="1050" t="n"/>
    </row>
    <row r="12" ht="19.5" customHeight="1" s="981">
      <c r="A12" s="593" t="inlineStr">
        <is>
          <t>Jensen's Alpha (α)</t>
        </is>
      </c>
      <c r="B12" s="594" t="n"/>
      <c r="C12" s="595" t="inlineStr">
        <is>
          <t>α = Rp - [Rf + β×(Rm-Rf)]</t>
        </is>
      </c>
      <c r="D12" s="596" t="inlineStr">
        <is>
          <t>α &gt; 0: Kỹ năng chọn mã tạo giá trị vượt trội thị trường ✅ | α &lt; 0: Mua ETF VN30 sẽ hiệu quả hơn ⚠️</t>
        </is>
      </c>
      <c r="E12" s="1050" t="n"/>
      <c r="F12" s="1050" t="n"/>
      <c r="G12" s="1050" t="n"/>
      <c r="H12" s="1050" t="n"/>
      <c r="I12" s="1050" t="n"/>
      <c r="J12" s="1050" t="n"/>
      <c r="K12" s="1050" t="n"/>
      <c r="L12" s="1050" t="n"/>
      <c r="M12" s="1050" t="n"/>
      <c r="N12" s="1050" t="n"/>
      <c r="O12" s="1050" t="n"/>
      <c r="P12" s="1050" t="n"/>
      <c r="Q12" s="1050" t="n"/>
      <c r="R12" s="1050" t="n"/>
    </row>
    <row r="13" ht="19.5" customHeight="1" s="981">
      <c r="A13" s="593" t="inlineStr">
        <is>
          <t>Sharpe Ratio</t>
        </is>
      </c>
      <c r="B13" s="597" t="n"/>
      <c r="C13" s="595" t="inlineStr">
        <is>
          <t>Sharpe = (Rp-Rf) / σp</t>
        </is>
      </c>
      <c r="D13" s="596" t="inlineStr">
        <is>
          <t>&gt; 1.0: Xuất sắc | 0.5-1.0: Tốt | &lt; 0.5: Kém | N/A: Chưa có σp</t>
        </is>
      </c>
      <c r="E13" s="1050" t="n"/>
      <c r="F13" s="1050" t="n"/>
      <c r="G13" s="1050" t="n"/>
      <c r="H13" s="1050" t="n">
        <v>0.72</v>
      </c>
      <c r="I13" s="1050" t="inlineStr">
        <is>
          <t>&gt; 1.0: Xuat sac</t>
        </is>
      </c>
      <c r="J13" s="1050" t="n"/>
      <c r="K13" s="1050" t="n"/>
      <c r="L13" s="1050" t="n"/>
      <c r="M13" s="1050" t="n"/>
      <c r="N13" s="1050" t="n"/>
      <c r="O13" s="1050" t="n"/>
      <c r="P13" s="1050" t="n"/>
      <c r="Q13" s="1050" t="n"/>
      <c r="R13" s="1050" t="n"/>
    </row>
    <row r="14" ht="19.5" customHeight="1" s="981">
      <c r="A14" s="593" t="inlineStr">
        <is>
          <t>Treynor Ratio</t>
        </is>
      </c>
      <c r="B14" s="597" t="n"/>
      <c r="C14" s="595" t="inlineStr">
        <is>
          <t>Treynor = (Rp-Rf) / β</t>
        </is>
      </c>
      <c r="D14" s="596" t="inlineStr">
        <is>
          <t>Đo hiệu quả sinh lời trên mỗi đơn vị rủi ro hệ thống (Beta)</t>
        </is>
      </c>
      <c r="E14" s="1050" t="n"/>
      <c r="F14" s="1050" t="n"/>
      <c r="G14" s="1050" t="n"/>
      <c r="H14" s="1050" t="n">
        <v>0.85</v>
      </c>
      <c r="I14" s="1050" t="inlineStr">
        <is>
          <t>Do hieu qua sinh loi</t>
        </is>
      </c>
      <c r="J14" s="1050" t="n"/>
      <c r="K14" s="1050" t="n"/>
      <c r="L14" s="1050" t="n"/>
      <c r="M14" s="1050" t="n"/>
      <c r="N14" s="1050" t="n"/>
      <c r="O14" s="1050" t="n"/>
      <c r="P14" s="1050" t="n"/>
      <c r="Q14" s="1050" t="n"/>
      <c r="R14" s="1050" t="n"/>
    </row>
    <row r="15" ht="19.5" customHeight="1" s="981">
      <c r="A15" s="593" t="inlineStr">
        <is>
          <t>Information Ratio</t>
        </is>
      </c>
      <c r="B15" s="597" t="n"/>
      <c r="C15" s="595" t="inlineStr">
        <is>
          <t>IR = (Rp-Rm) / σ_tracking</t>
        </is>
      </c>
      <c r="D15" s="596" t="inlineStr">
        <is>
          <t>Đo khả năng outperform Benchmark — IR &gt; 0.5 là mức chuyên nghiệp</t>
        </is>
      </c>
      <c r="E15" s="1050" t="n"/>
      <c r="F15" s="1050" t="n"/>
      <c r="G15" s="1050" t="n"/>
      <c r="H15" s="1050" t="n">
        <v>0.45</v>
      </c>
      <c r="I15" s="1050" t="inlineStr">
        <is>
          <t>Kha nang outperform</t>
        </is>
      </c>
      <c r="J15" s="1050" t="n"/>
      <c r="K15" s="1050" t="n"/>
      <c r="L15" s="1050" t="n"/>
      <c r="M15" s="1050" t="n"/>
      <c r="N15" s="1050" t="n"/>
      <c r="O15" s="1050" t="n"/>
      <c r="P15" s="1050" t="n"/>
      <c r="Q15" s="1050" t="n"/>
      <c r="R15" s="1050" t="n"/>
    </row>
    <row r="16" ht="19.5" customHeight="1" s="981">
      <c r="A16" s="593" t="inlineStr">
        <is>
          <t>Độ lệch chuẩn σp (Nhập tay)</t>
        </is>
      </c>
      <c r="B16" s="594" t="n">
        <v>0.18</v>
      </c>
      <c r="C16" s="595" t="inlineStr">
        <is>
          <t>σp ≈ 18% — ước tính từ beta và biến động VN-Index</t>
        </is>
      </c>
      <c r="D16" s="596" t="inlineStr">
        <is>
          <t>Nhập bằng =STDEV.S() khi có dữ liệu lợi nhuận lịch sử 12 tháng</t>
        </is>
      </c>
      <c r="E16" s="1050" t="n"/>
      <c r="F16" s="1050" t="n"/>
      <c r="G16" s="1050" t="n"/>
      <c r="H16" s="1050" t="n"/>
      <c r="I16" s="1050" t="n"/>
      <c r="J16" s="1050" t="n"/>
      <c r="K16" s="1050" t="n"/>
      <c r="L16" s="1050" t="n"/>
      <c r="M16" s="1050" t="n"/>
      <c r="N16" s="1050" t="n"/>
      <c r="O16" s="1050" t="n"/>
      <c r="P16" s="1050" t="n"/>
      <c r="Q16" s="1050" t="n"/>
      <c r="R16" s="1050" t="n"/>
    </row>
    <row r="17" ht="19.5" customHeight="1" s="981">
      <c r="A17" s="593" t="inlineStr">
        <is>
          <t>Outperformance vs VN-Index</t>
        </is>
      </c>
      <c r="B17" s="597" t="n"/>
      <c r="C17" s="595" t="inlineStr">
        <is>
          <t>Rp - Rm</t>
        </is>
      </c>
      <c r="D17" s="596" t="inlineStr">
        <is>
          <t>&gt; 0: Đang đánh bại thị trường ✅ | &lt; 0: Đang thua thị trường ⚠️</t>
        </is>
      </c>
      <c r="E17" s="1050" t="n"/>
      <c r="F17" s="1050" t="n"/>
      <c r="G17" s="1050" t="n"/>
      <c r="H17" s="1050" t="n"/>
      <c r="I17" s="1050" t="n"/>
      <c r="J17" s="1050" t="n"/>
      <c r="K17" s="1050" t="n"/>
      <c r="L17" s="1050" t="n"/>
      <c r="M17" s="1050" t="n"/>
      <c r="N17" s="1050" t="n"/>
      <c r="O17" s="1050" t="n"/>
      <c r="P17" s="1050" t="n"/>
      <c r="Q17" s="1050" t="n"/>
      <c r="R17" s="1050" t="n"/>
    </row>
    <row r="18" ht="15" customHeight="1" s="981">
      <c r="A18" s="1050" t="inlineStr">
        <is>
          <t>THONG KE DANH MUC</t>
        </is>
      </c>
      <c r="B18" s="1050" t="n"/>
      <c r="C18" s="1050" t="n"/>
      <c r="D18" s="1050" t="n"/>
      <c r="E18" s="1050" t="n"/>
      <c r="F18" s="1050" t="n"/>
      <c r="G18" s="1050" t="n"/>
      <c r="H18" s="1050" t="n"/>
      <c r="I18" s="1050" t="n"/>
      <c r="J18" s="1050" t="n"/>
      <c r="K18" s="1050" t="n"/>
      <c r="L18" s="1050" t="n"/>
      <c r="M18" s="1050" t="n"/>
      <c r="N18" s="1050" t="n"/>
      <c r="O18" s="1050" t="n"/>
      <c r="P18" s="1050" t="n"/>
      <c r="Q18" s="1050" t="n"/>
      <c r="R18" s="1050" t="n"/>
    </row>
    <row r="19" ht="13.5" customHeight="1" s="981">
      <c r="A19" s="1160" t="inlineStr">
        <is>
          <t>Tong lai tu dau nam</t>
        </is>
      </c>
      <c r="B19" s="965" t="n"/>
      <c r="C19" s="965" t="n"/>
      <c r="D19" s="965" t="n"/>
      <c r="E19" s="965" t="n"/>
      <c r="F19" s="965" t="n"/>
      <c r="G19" s="965" t="n"/>
      <c r="H19" s="965" t="n"/>
      <c r="I19" s="965" t="n"/>
      <c r="J19" s="966" t="n"/>
      <c r="K19" s="1050" t="n"/>
      <c r="L19" s="1050" t="n"/>
      <c r="M19" s="1050" t="n"/>
      <c r="N19" s="1050" t="n"/>
      <c r="O19" s="1050" t="n"/>
      <c r="P19" s="1050" t="n"/>
      <c r="Q19" s="1050" t="n"/>
      <c r="R19" s="1050" t="n"/>
    </row>
    <row r="20" ht="24" customHeight="1" s="981">
      <c r="A20" s="598" t="inlineStr">
        <is>
          <t>So ngay nam giu TB</t>
        </is>
      </c>
      <c r="B20" s="598" t="n">
        <v>120</v>
      </c>
      <c r="C20" s="598" t="inlineStr">
        <is>
          <t>Lãi/Lỗ Gộp</t>
        </is>
      </c>
      <c r="D20" s="598" t="inlineStr">
        <is>
          <t>Thuế bán (0.1%)</t>
        </is>
      </c>
      <c r="E20" s="598" t="inlineStr">
        <is>
          <t>Phí GD (0.15%)</t>
        </is>
      </c>
      <c r="F20" s="598" t="inlineStr">
        <is>
          <t>Cộng dồn chi phí</t>
        </is>
      </c>
      <c r="G20" s="598" t="inlineStr">
        <is>
          <t>Lãi/Lỗ Ròng</t>
        </is>
      </c>
      <c r="H20" s="598" t="inlineStr">
        <is>
          <t>% LN Ròng</t>
        </is>
      </c>
      <c r="I20" s="598" t="inlineStr">
        <is>
          <t>So sánh: Gộp vs Ròng</t>
        </is>
      </c>
      <c r="J20" s="598" t="inlineStr">
        <is>
          <t>Đánh giá</t>
        </is>
      </c>
      <c r="K20" s="1050" t="n"/>
      <c r="L20" s="1050" t="n"/>
      <c r="M20" s="1050" t="n"/>
      <c r="N20" s="1050" t="n"/>
      <c r="O20" s="1050" t="n"/>
      <c r="P20" s="1050" t="n"/>
      <c r="Q20" s="1050" t="n"/>
      <c r="R20" s="1050" t="n"/>
    </row>
    <row r="21" ht="13.5" customHeight="1" s="981">
      <c r="A21" s="599" t="inlineStr">
        <is>
          <t>Ty le thang TB/giao dich</t>
        </is>
      </c>
      <c r="B21" s="600" t="n">
        <v>0.72</v>
      </c>
      <c r="C21" s="600" t="n"/>
      <c r="D21" s="600" t="n"/>
      <c r="E21" s="600" t="n"/>
      <c r="F21" s="601" t="n"/>
      <c r="G21" s="602" t="n"/>
      <c r="H21" s="602" t="n"/>
      <c r="I21" s="603" t="n"/>
      <c r="J21" s="600" t="n"/>
      <c r="K21" s="1050" t="n"/>
      <c r="L21" s="1050" t="n"/>
      <c r="M21" s="1050" t="n"/>
      <c r="N21" s="1050" t="n"/>
      <c r="O21" s="1050" t="n"/>
      <c r="P21" s="1050" t="n"/>
      <c r="Q21" s="1050" t="n"/>
      <c r="R21" s="1050" t="n"/>
    </row>
    <row r="22" ht="13.5" customHeight="1" s="981">
      <c r="A22" s="604" t="inlineStr">
        <is>
          <t>Ty le thang/nam</t>
        </is>
      </c>
      <c r="B22" s="557" t="n">
        <v>0.82</v>
      </c>
      <c r="C22" s="557" t="n"/>
      <c r="D22" s="557" t="n"/>
      <c r="E22" s="557" t="n"/>
      <c r="F22" s="601" t="n"/>
      <c r="G22" s="602" t="n"/>
      <c r="H22" s="602" t="n"/>
      <c r="I22" s="603" t="n"/>
      <c r="J22" s="557" t="n"/>
      <c r="K22" s="1050" t="n"/>
      <c r="L22" s="1050" t="n"/>
      <c r="M22" s="1050" t="n"/>
      <c r="N22" s="1050" t="n"/>
      <c r="O22" s="1050" t="n"/>
      <c r="P22" s="1050" t="n"/>
      <c r="Q22" s="1050" t="n"/>
      <c r="R22" s="1050" t="n"/>
    </row>
    <row r="23" ht="13.5" customHeight="1" s="981">
      <c r="A23" s="599" t="inlineStr">
        <is>
          <t>VCB</t>
        </is>
      </c>
      <c r="B23" s="600" t="n"/>
      <c r="C23" s="600" t="n"/>
      <c r="D23" s="600" t="n"/>
      <c r="E23" s="600" t="n"/>
      <c r="F23" s="601" t="n"/>
      <c r="G23" s="602" t="n"/>
      <c r="H23" s="602" t="n"/>
      <c r="I23" s="603" t="n"/>
      <c r="J23" s="600" t="n"/>
      <c r="K23" s="1050" t="n"/>
      <c r="L23" s="1050" t="n"/>
      <c r="M23" s="1050" t="n"/>
      <c r="N23" s="1050" t="n"/>
      <c r="O23" s="1050" t="n"/>
      <c r="P23" s="1050" t="n"/>
      <c r="Q23" s="1050" t="n"/>
      <c r="R23" s="1050" t="n"/>
    </row>
    <row r="24" ht="13.5" customHeight="1" s="981">
      <c r="A24" s="604" t="inlineStr">
        <is>
          <t>CTR</t>
        </is>
      </c>
      <c r="B24" s="557" t="n"/>
      <c r="C24" s="557" t="n"/>
      <c r="D24" s="557" t="n"/>
      <c r="E24" s="557" t="n"/>
      <c r="F24" s="601" t="n"/>
      <c r="G24" s="602" t="n"/>
      <c r="H24" s="602" t="n"/>
      <c r="I24" s="603" t="n"/>
      <c r="J24" s="557" t="n"/>
      <c r="K24" s="1050" t="n"/>
      <c r="L24" s="1050" t="n"/>
      <c r="M24" s="1050" t="n"/>
      <c r="N24" s="1050" t="n"/>
      <c r="O24" s="1050" t="n"/>
      <c r="P24" s="1050" t="n"/>
      <c r="Q24" s="1050" t="n"/>
      <c r="R24" s="1050" t="n"/>
    </row>
    <row r="25" ht="13.5" customHeight="1" s="981">
      <c r="A25" s="599" t="inlineStr">
        <is>
          <t>MWG</t>
        </is>
      </c>
      <c r="B25" s="600" t="n"/>
      <c r="C25" s="600" t="n"/>
      <c r="D25" s="600" t="n"/>
      <c r="E25" s="600" t="n"/>
      <c r="F25" s="601" t="n"/>
      <c r="G25" s="602" t="n"/>
      <c r="H25" s="602" t="n"/>
      <c r="I25" s="603" t="n"/>
      <c r="J25" s="600" t="n"/>
      <c r="K25" s="1050" t="n"/>
      <c r="L25" s="1050" t="n"/>
      <c r="M25" s="1050" t="n"/>
      <c r="N25" s="1050" t="n"/>
      <c r="O25" s="1050" t="n"/>
      <c r="P25" s="1050" t="n"/>
      <c r="Q25" s="1050" t="n"/>
      <c r="R25" s="1050" t="n"/>
    </row>
    <row r="26" ht="13.5" customHeight="1" s="981">
      <c r="A26" s="604" t="inlineStr">
        <is>
          <t>HPG</t>
        </is>
      </c>
      <c r="B26" s="557" t="n"/>
      <c r="C26" s="557" t="n"/>
      <c r="D26" s="557" t="n"/>
      <c r="E26" s="557" t="n"/>
      <c r="F26" s="601" t="n"/>
      <c r="G26" s="602" t="n"/>
      <c r="H26" s="602" t="n"/>
      <c r="I26" s="603" t="n"/>
      <c r="J26" s="557" t="n"/>
      <c r="K26" s="1050" t="n"/>
      <c r="L26" s="1050" t="n"/>
      <c r="M26" s="1050" t="n"/>
      <c r="N26" s="1050" t="n"/>
      <c r="O26" s="1050" t="n"/>
      <c r="P26" s="1050" t="n"/>
      <c r="Q26" s="1050" t="n"/>
      <c r="R26" s="1050" t="n"/>
    </row>
    <row r="27" ht="13.5" customHeight="1" s="981">
      <c r="A27" s="599" t="inlineStr">
        <is>
          <t>VNM</t>
        </is>
      </c>
      <c r="B27" s="600" t="n"/>
      <c r="C27" s="600" t="n"/>
      <c r="D27" s="600" t="n"/>
      <c r="E27" s="600" t="n"/>
      <c r="F27" s="601" t="n"/>
      <c r="G27" s="602" t="n"/>
      <c r="H27" s="602" t="n"/>
      <c r="I27" s="603" t="n"/>
      <c r="J27" s="600" t="n"/>
      <c r="K27" s="1050" t="n"/>
      <c r="L27" s="1050" t="n"/>
      <c r="M27" s="1050" t="n"/>
      <c r="N27" s="1050" t="n"/>
      <c r="O27" s="1050" t="n"/>
      <c r="P27" s="1050" t="n"/>
      <c r="Q27" s="1050" t="n"/>
      <c r="R27" s="1050" t="n"/>
    </row>
    <row r="28" ht="13.5" customHeight="1" s="981">
      <c r="A28" s="605" t="inlineStr">
        <is>
          <t>VIX</t>
        </is>
      </c>
      <c r="B28" s="597" t="n"/>
      <c r="C28" s="597" t="n"/>
      <c r="D28" s="597" t="n"/>
      <c r="E28" s="597" t="n"/>
      <c r="F28" s="597" t="n"/>
      <c r="G28" s="597" t="n"/>
      <c r="H28" s="597" t="n"/>
      <c r="I28" s="597" t="n"/>
      <c r="J28" s="606" t="n"/>
      <c r="K28" s="1050" t="n"/>
      <c r="L28" s="1050" t="n"/>
      <c r="M28" s="1050" t="n"/>
      <c r="N28" s="1050" t="n"/>
      <c r="O28" s="1050" t="n"/>
      <c r="P28" s="1050" t="n"/>
      <c r="Q28" s="1050" t="n"/>
      <c r="R28" s="1050" t="n"/>
    </row>
    <row r="29" ht="15" customHeight="1" s="981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  <c r="K29" s="1050" t="n"/>
      <c r="L29" s="1050" t="n"/>
      <c r="M29" s="1050" t="n"/>
      <c r="N29" s="1050" t="n"/>
      <c r="O29" s="1050" t="n"/>
      <c r="P29" s="1050" t="n"/>
      <c r="Q29" s="1050" t="n"/>
      <c r="R29" s="1050" t="n"/>
    </row>
    <row r="30" ht="15" customHeight="1" s="981">
      <c r="A30" s="1159" t="inlineStr">
        <is>
          <t>🧮 BẢNG BETA TỪNG MÃ (Input — sửa khi có data thực)</t>
        </is>
      </c>
      <c r="B30" s="965" t="n"/>
      <c r="C30" s="965" t="n"/>
      <c r="D30" s="965" t="n"/>
      <c r="E30" s="966" t="n"/>
      <c r="F30" s="1050" t="n"/>
      <c r="G30" s="1050" t="n"/>
      <c r="H30" s="1050" t="n"/>
      <c r="I30" s="1050" t="n"/>
      <c r="J30" s="1050" t="n"/>
      <c r="K30" s="1050" t="n"/>
      <c r="L30" s="1050" t="n"/>
      <c r="M30" s="1050" t="n"/>
      <c r="N30" s="1050" t="n"/>
      <c r="O30" s="1050" t="n"/>
      <c r="P30" s="1050" t="n"/>
      <c r="Q30" s="1050" t="n"/>
      <c r="R30" s="1050" t="n"/>
    </row>
    <row r="31" ht="14.25" customHeight="1" s="981">
      <c r="A31" s="1182" t="inlineStr">
        <is>
          <t>Mã</t>
        </is>
      </c>
      <c r="B31" s="1182" t="inlineStr">
        <is>
          <t>Beta</t>
        </is>
      </c>
      <c r="C31" s="1182" t="inlineStr">
        <is>
          <t>GT hiện tại</t>
        </is>
      </c>
      <c r="D31" s="1182" t="inlineStr">
        <is>
          <t>Tỷ trọng</t>
        </is>
      </c>
      <c r="E31" s="1182" t="inlineStr">
        <is>
          <t>Beta × Tỷ trọng</t>
        </is>
      </c>
      <c r="F31" s="1050" t="n"/>
      <c r="G31" s="1050" t="n"/>
      <c r="H31" s="1050" t="n"/>
      <c r="I31" s="1050" t="n"/>
      <c r="J31" s="1050" t="n"/>
      <c r="K31" s="1050" t="n"/>
      <c r="L31" s="1050" t="n"/>
      <c r="M31" s="1050" t="n"/>
      <c r="N31" s="1050" t="n"/>
      <c r="O31" s="1050" t="n"/>
      <c r="P31" s="1050" t="n"/>
      <c r="Q31" s="1050" t="n"/>
      <c r="R31" s="1050" t="n"/>
    </row>
    <row r="32" ht="14.25" customHeight="1" s="981">
      <c r="A32" s="608" t="inlineStr">
        <is>
          <t>FPT</t>
        </is>
      </c>
      <c r="B32" s="609" t="n">
        <v>1.1</v>
      </c>
      <c r="C32" s="610" t="n"/>
      <c r="D32" s="610" t="n"/>
      <c r="E32" s="576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050" t="n"/>
      <c r="P32" s="1050" t="n"/>
      <c r="Q32" s="1050" t="n"/>
      <c r="R32" s="1050" t="n"/>
    </row>
    <row r="33" ht="14.25" customHeight="1" s="981">
      <c r="A33" s="608" t="inlineStr">
        <is>
          <t>MBB</t>
        </is>
      </c>
      <c r="B33" s="609" t="n">
        <v>1.25</v>
      </c>
      <c r="C33" s="610" t="n"/>
      <c r="D33" s="610" t="n"/>
      <c r="E33" s="576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  <c r="N33" s="1050" t="n"/>
      <c r="O33" s="1050" t="n"/>
      <c r="P33" s="1050" t="n"/>
      <c r="Q33" s="1050" t="n"/>
      <c r="R33" s="1050" t="n"/>
    </row>
    <row r="34" ht="14.25" customHeight="1" s="981">
      <c r="A34" s="608" t="inlineStr">
        <is>
          <t>VCB</t>
        </is>
      </c>
      <c r="B34" s="609" t="n">
        <v>0.95</v>
      </c>
      <c r="C34" s="610" t="n"/>
      <c r="D34" s="610" t="n"/>
      <c r="E34" s="576" t="n"/>
      <c r="F34" s="1050" t="n"/>
      <c r="G34" s="1050" t="n"/>
      <c r="H34" s="1050" t="n"/>
      <c r="I34" s="1050" t="n"/>
      <c r="J34" s="1050" t="n"/>
      <c r="K34" s="1050" t="n"/>
      <c r="L34" s="1050" t="n"/>
      <c r="M34" s="1050" t="n"/>
      <c r="N34" s="1050" t="n"/>
      <c r="O34" s="1050" t="n"/>
      <c r="P34" s="1050" t="n"/>
      <c r="Q34" s="1050" t="n"/>
      <c r="R34" s="1050" t="n"/>
    </row>
    <row r="35" ht="14.25" customHeight="1" s="981">
      <c r="A35" s="608" t="inlineStr">
        <is>
          <t>CTR</t>
        </is>
      </c>
      <c r="B35" s="609" t="n">
        <v>1.3</v>
      </c>
      <c r="C35" s="610" t="n"/>
      <c r="D35" s="610" t="n"/>
      <c r="E35" s="576" t="n"/>
      <c r="F35" s="1050" t="n"/>
      <c r="G35" s="1050" t="n"/>
      <c r="H35" s="1050" t="n"/>
      <c r="I35" s="1050" t="n"/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</row>
    <row r="36" ht="14.25" customHeight="1" s="981">
      <c r="A36" s="608" t="inlineStr">
        <is>
          <t>MWG</t>
        </is>
      </c>
      <c r="B36" s="609" t="n">
        <v>1.2</v>
      </c>
      <c r="C36" s="610" t="n"/>
      <c r="D36" s="610" t="n"/>
      <c r="E36" s="576" t="n"/>
      <c r="F36" s="1050" t="n"/>
      <c r="G36" s="1050" t="n"/>
      <c r="H36" s="1050" t="n"/>
      <c r="I36" s="1050" t="n"/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</row>
    <row r="37" ht="14.25" customHeight="1" s="981">
      <c r="A37" s="608" t="inlineStr">
        <is>
          <t>HPG</t>
        </is>
      </c>
      <c r="B37" s="609" t="n">
        <v>1.4</v>
      </c>
      <c r="C37" s="610" t="n"/>
      <c r="D37" s="610" t="n"/>
      <c r="E37" s="576" t="n"/>
      <c r="F37" s="1050" t="n"/>
      <c r="G37" s="1050" t="n"/>
      <c r="H37" s="1050" t="n"/>
      <c r="I37" s="1050" t="n"/>
      <c r="J37" s="1050" t="n"/>
      <c r="K37" s="1050" t="n"/>
      <c r="L37" s="1050" t="n"/>
      <c r="M37" s="1050" t="n"/>
      <c r="N37" s="1050" t="n"/>
      <c r="O37" s="1050" t="n"/>
      <c r="P37" s="1050" t="n"/>
      <c r="Q37" s="1050" t="n"/>
      <c r="R37" s="1050" t="n"/>
    </row>
    <row r="38" ht="14.25" customHeight="1" s="981">
      <c r="A38" s="608" t="inlineStr">
        <is>
          <t>VNM</t>
        </is>
      </c>
      <c r="B38" s="609" t="n">
        <v>0.85</v>
      </c>
      <c r="C38" s="610" t="n"/>
      <c r="D38" s="610" t="n"/>
      <c r="E38" s="576" t="n"/>
      <c r="F38" s="1050" t="n"/>
      <c r="G38" s="1050" t="n"/>
      <c r="H38" s="1050" t="n"/>
      <c r="I38" s="1050" t="n"/>
      <c r="J38" s="1050" t="n"/>
      <c r="K38" s="1050" t="n"/>
      <c r="L38" s="1050" t="n"/>
      <c r="M38" s="1050" t="n"/>
      <c r="N38" s="1050" t="n"/>
      <c r="O38" s="1050" t="n"/>
      <c r="P38" s="1050" t="n"/>
      <c r="Q38" s="1050" t="n"/>
      <c r="R38" s="1050" t="n"/>
    </row>
    <row r="39" ht="14.25" customHeight="1" s="981">
      <c r="A39" s="608" t="inlineStr">
        <is>
          <t>VIX</t>
        </is>
      </c>
      <c r="B39" s="609" t="n">
        <v>1.5</v>
      </c>
      <c r="C39" s="610" t="n"/>
      <c r="D39" s="610" t="n"/>
      <c r="E39" s="576" t="n"/>
      <c r="F39" s="1050" t="n"/>
      <c r="G39" s="1050" t="n"/>
      <c r="H39" s="1050" t="n"/>
      <c r="I39" s="1050" t="n"/>
      <c r="J39" s="1050" t="n"/>
      <c r="K39" s="1050" t="n"/>
      <c r="L39" s="1050" t="n"/>
      <c r="M39" s="1050" t="n"/>
      <c r="N39" s="1050" t="n"/>
      <c r="O39" s="1050" t="n"/>
      <c r="P39" s="1050" t="n"/>
      <c r="Q39" s="1050" t="n"/>
      <c r="R39" s="1050" t="n"/>
    </row>
    <row r="40" ht="14.25" customHeight="1" s="981">
      <c r="A40" s="235" t="inlineStr">
        <is>
          <t>TỔNG</t>
        </is>
      </c>
      <c r="B40" s="1050" t="n"/>
      <c r="C40" s="1050" t="n"/>
      <c r="D40" s="1050" t="n"/>
      <c r="E40" s="611" t="n"/>
      <c r="F40" s="1050" t="n"/>
      <c r="G40" s="1050" t="n"/>
      <c r="H40" s="1050" t="n"/>
      <c r="I40" s="1050" t="n"/>
      <c r="J40" s="1050" t="n"/>
      <c r="K40" s="1050" t="n"/>
      <c r="L40" s="1050" t="n"/>
      <c r="M40" s="1050" t="n"/>
      <c r="N40" s="1050" t="n"/>
      <c r="O40" s="1050" t="n"/>
      <c r="P40" s="1050" t="n"/>
      <c r="Q40" s="1050" t="n"/>
      <c r="R40" s="1050" t="n"/>
    </row>
  </sheetData>
  <mergeCells count="5">
    <mergeCell ref="A30:E30"/>
    <mergeCell ref="A3:D3"/>
    <mergeCell ref="A1:R1"/>
    <mergeCell ref="A11:D11"/>
    <mergeCell ref="A19:J19"/>
  </mergeCells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8" customWidth="1" style="981" min="1" max="1"/>
    <col width="14" customWidth="1" style="981" min="2" max="2"/>
    <col width="12" customWidth="1" style="981" min="3" max="3"/>
    <col width="16" customWidth="1" style="981" min="4" max="4"/>
    <col width="14" customWidth="1" style="981" min="8" max="8"/>
    <col width="20" customWidth="1" style="981" min="10" max="10"/>
    <col width="18" customWidth="1" style="981" min="11" max="11"/>
    <col width="12" customWidth="1" style="981" min="12" max="12"/>
  </cols>
  <sheetData>
    <row r="1" ht="27.75" customHeight="1" s="981">
      <c r="A1" s="1161" t="inlineStr">
        <is>
          <t>💧 RỦI RO THANH KHOẢN — ADTV · Trần Vị Thế · Days to Liquidate · Cảnh Báo Kẹt Hàng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5" customHeight="1" s="981">
      <c r="A2" s="1050" t="n"/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</row>
    <row r="3" ht="13.5" customHeight="1" s="981">
      <c r="A3" s="1160" t="inlineStr">
        <is>
          <t>⚙️ THAM SỐ THANH KHOẢN (Nhập tay từ Cafef/FireAnt — ADTV 20 phiên gần nhất)</t>
        </is>
      </c>
      <c r="B3" s="965" t="n"/>
      <c r="C3" s="965" t="n"/>
      <c r="D3" s="965" t="n"/>
      <c r="E3" s="966" t="n"/>
      <c r="F3" s="1050" t="n"/>
      <c r="G3" s="1050" t="n"/>
      <c r="H3" s="1050" t="n"/>
      <c r="I3" s="1050" t="n"/>
      <c r="J3" s="1050" t="n"/>
      <c r="K3" s="1050" t="n"/>
      <c r="L3" s="1050" t="n"/>
    </row>
    <row r="4" ht="30" customHeight="1" s="981">
      <c r="A4" s="598" t="inlineStr">
        <is>
          <t>Mã CP</t>
        </is>
      </c>
      <c r="B4" s="598" t="inlineStr">
        <is>
          <t>ADTV 20P
(nghìn CP)</t>
        </is>
      </c>
      <c r="C4" s="598" t="inlineStr">
        <is>
          <t>Giá HT (đ)</t>
        </is>
      </c>
      <c r="D4" s="598" t="inlineStr">
        <is>
          <t>GTGD/Ngày (đ)</t>
        </is>
      </c>
      <c r="E4" s="598" t="inlineStr">
        <is>
          <t>Trần 5% ADTV</t>
        </is>
      </c>
      <c r="F4" s="598" t="inlineStr">
        <is>
          <t>Trần 10% ADTV</t>
        </is>
      </c>
      <c r="G4" s="598" t="inlineStr">
        <is>
          <t>GT vị thế HT</t>
        </is>
      </c>
      <c r="H4" s="598" t="inlineStr">
        <is>
          <t>% ADTV chiếm dụng</t>
        </is>
      </c>
      <c r="I4" s="598" t="inlineStr">
        <is>
          <t>Days to Liquidate
(phiên @ 10%)</t>
        </is>
      </c>
      <c r="J4" s="598" t="inlineStr">
        <is>
          <t>Cảnh báo thanh khoản</t>
        </is>
      </c>
      <c r="K4" s="598" t="inlineStr">
        <is>
          <t>Nguồn tra cứu</t>
        </is>
      </c>
      <c r="L4" s="598" t="inlineStr">
        <is>
          <t>Ngày cập nhật</t>
        </is>
      </c>
    </row>
    <row r="5" ht="16.5" customHeight="1" s="981">
      <c r="A5" s="612" t="inlineStr">
        <is>
          <t>FPT</t>
        </is>
      </c>
      <c r="B5" s="613" t="n">
        <v>11878</v>
      </c>
      <c r="C5" s="614" t="n">
        <v>71200</v>
      </c>
      <c r="D5" s="614" t="n">
        <v>845763653</v>
      </c>
      <c r="E5" s="615" t="n"/>
      <c r="F5" s="616" t="n"/>
      <c r="G5" s="614" t="n"/>
      <c r="H5" s="614" t="n"/>
      <c r="I5" s="614" t="n"/>
      <c r="J5" s="614" t="n"/>
      <c r="K5" s="617" t="inlineStr">
        <is>
          <t>vietstock.vn/fpt</t>
        </is>
      </c>
      <c r="L5" s="618" t="inlineStr">
        <is>
          <t>29/04/2026</t>
        </is>
      </c>
    </row>
    <row r="6" ht="16.5" customHeight="1" s="981">
      <c r="A6" s="619" t="inlineStr">
        <is>
          <t>MBB</t>
        </is>
      </c>
      <c r="B6" s="613" t="n">
        <v>16994</v>
      </c>
      <c r="C6" s="620" t="n">
        <v>25000</v>
      </c>
      <c r="D6" s="620" t="n">
        <v>424857875</v>
      </c>
      <c r="E6" s="615" t="n"/>
      <c r="F6" s="616" t="n"/>
      <c r="G6" s="620" t="n"/>
      <c r="H6" s="620" t="n"/>
      <c r="I6" s="620" t="n"/>
      <c r="J6" s="620" t="n"/>
      <c r="K6" s="621" t="inlineStr">
        <is>
          <t>vietstock.vn/mbb</t>
        </is>
      </c>
      <c r="L6" s="622" t="inlineStr">
        <is>
          <t>29/04/2026</t>
        </is>
      </c>
    </row>
    <row r="7" ht="16.5" customHeight="1" s="981">
      <c r="A7" s="612" t="inlineStr">
        <is>
          <t>VCB</t>
        </is>
      </c>
      <c r="B7" s="613" t="n">
        <v>9144</v>
      </c>
      <c r="C7" s="614" t="n">
        <v>62800</v>
      </c>
      <c r="D7" s="614" t="n">
        <v>574299720</v>
      </c>
      <c r="E7" s="615" t="n"/>
      <c r="F7" s="616" t="n"/>
      <c r="G7" s="614" t="n"/>
      <c r="H7" s="614" t="n"/>
      <c r="I7" s="614" t="n"/>
      <c r="J7" s="614" t="n"/>
      <c r="K7" s="617" t="inlineStr">
        <is>
          <t>vietstock.vn/vcb</t>
        </is>
      </c>
      <c r="L7" s="618" t="inlineStr">
        <is>
          <t>29/04/2026</t>
        </is>
      </c>
    </row>
    <row r="8" ht="16.5" customHeight="1" s="981">
      <c r="A8" s="619" t="inlineStr">
        <is>
          <t>CTR</t>
        </is>
      </c>
      <c r="B8" s="613" t="n">
        <v>509</v>
      </c>
      <c r="C8" s="620" t="n">
        <v>90000</v>
      </c>
      <c r="D8" s="620" t="n">
        <v>45822600</v>
      </c>
      <c r="E8" s="615" t="n"/>
      <c r="F8" s="616" t="n"/>
      <c r="G8" s="620" t="n"/>
      <c r="H8" s="620" t="n"/>
      <c r="I8" s="620" t="n"/>
      <c r="J8" s="620" t="n"/>
      <c r="K8" s="621" t="inlineStr">
        <is>
          <t>vietstock.vn/ctr</t>
        </is>
      </c>
      <c r="L8" s="622" t="inlineStr">
        <is>
          <t>29/04/2026</t>
        </is>
      </c>
    </row>
    <row r="9" ht="16.5" customHeight="1" s="981">
      <c r="A9" s="612" t="inlineStr">
        <is>
          <t>MWG</t>
        </is>
      </c>
      <c r="B9" s="613" t="n">
        <v>5679</v>
      </c>
      <c r="C9" s="614" t="n">
        <v>77700</v>
      </c>
      <c r="D9" s="614" t="n">
        <v>441258300</v>
      </c>
      <c r="E9" s="615" t="n"/>
      <c r="F9" s="616" t="n"/>
      <c r="G9" s="614" t="n"/>
      <c r="H9" s="614" t="n"/>
      <c r="I9" s="614" t="n"/>
      <c r="J9" s="614" t="n"/>
      <c r="K9" s="617" t="inlineStr">
        <is>
          <t>vietstock.vn/mwg</t>
        </is>
      </c>
      <c r="L9" s="618" t="inlineStr">
        <is>
          <t>29/04/2026</t>
        </is>
      </c>
    </row>
    <row r="10" ht="16.5" customHeight="1" s="981">
      <c r="A10" s="619" t="inlineStr">
        <is>
          <t>HPG</t>
        </is>
      </c>
      <c r="B10" s="613" t="n">
        <v>27022</v>
      </c>
      <c r="C10" s="620" t="n">
        <v>24000</v>
      </c>
      <c r="D10" s="620" t="n">
        <v>648545088</v>
      </c>
      <c r="E10" s="615" t="n"/>
      <c r="F10" s="616" t="n"/>
      <c r="G10" s="620" t="n"/>
      <c r="H10" s="620" t="n"/>
      <c r="I10" s="620" t="n"/>
      <c r="J10" s="620" t="n"/>
      <c r="K10" s="621" t="inlineStr">
        <is>
          <t>vietstock.vn/hpg</t>
        </is>
      </c>
      <c r="L10" s="622" t="inlineStr">
        <is>
          <t>29/04/2026</t>
        </is>
      </c>
    </row>
    <row r="11" ht="16.5" customHeight="1" s="981">
      <c r="A11" s="612" t="inlineStr">
        <is>
          <t>VNM</t>
        </is>
      </c>
      <c r="B11" s="613" t="n">
        <v>3579</v>
      </c>
      <c r="C11" s="614" t="n">
        <v>59000</v>
      </c>
      <c r="D11" s="614" t="n">
        <v>211164540</v>
      </c>
      <c r="E11" s="615" t="n"/>
      <c r="F11" s="616" t="n"/>
      <c r="G11" s="614" t="n"/>
      <c r="H11" s="614" t="n"/>
      <c r="I11" s="614" t="n"/>
      <c r="J11" s="614" t="n"/>
      <c r="K11" s="617" t="inlineStr">
        <is>
          <t>vietstock.vn/vnm</t>
        </is>
      </c>
      <c r="L11" s="618" t="inlineStr">
        <is>
          <t>29/04/2026</t>
        </is>
      </c>
    </row>
    <row r="12" ht="13.5" customHeight="1" s="981">
      <c r="A12" s="623" t="inlineStr">
        <is>
          <t>VIX</t>
        </is>
      </c>
      <c r="B12" s="624" t="n">
        <v>44973</v>
      </c>
      <c r="C12" s="1174" t="n">
        <v>17600</v>
      </c>
      <c r="D12" s="1174" t="n">
        <v>791527088</v>
      </c>
      <c r="E12" s="626" t="n"/>
      <c r="F12" s="627" t="n"/>
      <c r="G12" s="1174" t="n"/>
      <c r="H12" s="1174" t="n"/>
      <c r="I12" s="1174" t="n"/>
      <c r="J12" s="1174" t="n"/>
      <c r="K12" s="595" t="inlineStr">
        <is>
          <t>vietstock.vn/vnm</t>
        </is>
      </c>
      <c r="L12" s="591" t="inlineStr">
        <is>
          <t>29/04/2026</t>
        </is>
      </c>
    </row>
    <row r="13" ht="21.75" customHeight="1" s="981">
      <c r="A13" s="1162" t="inlineStr">
        <is>
          <t>⚠️ CTR có ADTV chỉ ~800K CP/ngày → vị thế 500 CP hiện tại nhỏ, nhưng nếu tăng vị thế lên 10.000+ CP cần theo dõi sát. VCB và VNM cũng có thanh khoản thấp hơn FPT/MBB/HPG.</t>
        </is>
      </c>
      <c r="B13" s="965" t="n"/>
      <c r="C13" s="965" t="n"/>
      <c r="D13" s="965" t="n"/>
      <c r="E13" s="965" t="n"/>
      <c r="F13" s="965" t="n"/>
      <c r="G13" s="965" t="n"/>
      <c r="H13" s="965" t="n"/>
      <c r="I13" s="965" t="n"/>
      <c r="J13" s="965" t="n"/>
      <c r="K13" s="965" t="n"/>
      <c r="L13" s="966" t="n"/>
    </row>
  </sheetData>
  <mergeCells count="3">
    <mergeCell ref="A13:L13"/>
    <mergeCell ref="A1:L1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7" customWidth="1" style="981" min="1" max="1"/>
    <col width="13" customWidth="1" style="981" min="2" max="2"/>
    <col width="10" customWidth="1" style="981" min="3" max="3"/>
    <col width="9" customWidth="1" style="981" min="6" max="6"/>
    <col width="10" customWidth="1" style="981" min="7" max="7"/>
    <col width="9" customWidth="1" style="981" min="10" max="10"/>
    <col width="10" customWidth="1" style="981" min="11" max="11"/>
    <col width="9" customWidth="1" style="981" min="14" max="14"/>
    <col width="11" customWidth="1" style="981" min="15" max="15"/>
    <col width="16" customWidth="1" style="981" min="16" max="16"/>
  </cols>
  <sheetData>
    <row r="1" ht="27.75" customHeight="1" s="981">
      <c r="A1" s="1165" t="inlineStr">
        <is>
          <t>🌱 CHẤM ĐIỂM ESG TỔ CHỨC — E·S·G Weighted Score · Negative Screening · Chuẩn MSCI/Sustainalytics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6" t="n"/>
    </row>
    <row r="2" ht="15" customHeight="1" s="981">
      <c r="A2" s="1050" t="n"/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  <c r="M2" s="1050" t="n"/>
      <c r="N2" s="1050" t="n"/>
      <c r="O2" s="1050" t="n"/>
      <c r="P2" s="1050" t="n"/>
    </row>
    <row r="3" ht="13.5" customHeight="1" s="981">
      <c r="A3" s="1163" t="inlineStr">
        <is>
          <t>⚙️ MA TRẬN TRỌNG SỐ ESG THEO NGÀNH (Institutional Framework)</t>
        </is>
      </c>
      <c r="B3" s="965" t="n"/>
      <c r="C3" s="965" t="n"/>
      <c r="D3" s="965" t="n"/>
      <c r="E3" s="965" t="n"/>
      <c r="F3" s="966" t="n"/>
      <c r="G3" s="1050" t="n"/>
      <c r="H3" s="1050" t="n"/>
      <c r="I3" s="1050" t="n"/>
      <c r="J3" s="1050" t="n"/>
      <c r="K3" s="1050" t="n"/>
      <c r="L3" s="1050" t="n"/>
      <c r="M3" s="1050" t="n"/>
      <c r="N3" s="1050" t="n"/>
      <c r="O3" s="1050" t="n"/>
      <c r="P3" s="1050" t="n"/>
    </row>
    <row r="4" ht="24" customHeight="1" s="981">
      <c r="A4" s="628" t="inlineStr">
        <is>
          <t>Ngành</t>
        </is>
      </c>
      <c r="B4" s="628" t="inlineStr">
        <is>
          <t>E (Môi trường)</t>
        </is>
      </c>
      <c r="C4" s="628" t="inlineStr">
        <is>
          <t>S (Xã hội)</t>
        </is>
      </c>
      <c r="D4" s="628" t="inlineStr">
        <is>
          <t>G (Quản trị)</t>
        </is>
      </c>
      <c r="E4" s="628" t="inlineStr">
        <is>
          <t>Tổng</t>
        </is>
      </c>
      <c r="F4" s="628" t="inlineStr">
        <is>
          <t>Lý do phân bổ</t>
        </is>
      </c>
      <c r="G4" s="1050" t="n"/>
      <c r="H4" s="1050" t="n"/>
      <c r="I4" s="1050" t="n"/>
      <c r="J4" s="1050" t="n"/>
      <c r="K4" s="1050" t="n"/>
      <c r="L4" s="1050" t="n"/>
      <c r="M4" s="1050" t="n"/>
      <c r="N4" s="1050" t="n"/>
      <c r="O4" s="1050" t="n"/>
      <c r="P4" s="1050" t="n"/>
    </row>
    <row r="5" ht="13.5" customHeight="1" s="981">
      <c r="A5" s="1168" t="inlineStr">
        <is>
          <t>Ngân hàng (MBB, VCB)</t>
        </is>
      </c>
      <c r="B5" s="630" t="inlineStr">
        <is>
          <t>10%</t>
        </is>
      </c>
      <c r="C5" s="630" t="inlineStr">
        <is>
          <t>40%</t>
        </is>
      </c>
      <c r="D5" s="630" t="inlineStr">
        <is>
          <t>50%</t>
        </is>
      </c>
      <c r="E5" s="630" t="inlineStr">
        <is>
          <t>100%</t>
        </is>
      </c>
      <c r="F5" s="1168" t="inlineStr">
        <is>
          <t>Rủi ro E gần 0; G&amp;S chiếm ưu thế — quản trị &amp; đạo đức kinh doanh</t>
        </is>
      </c>
      <c r="G5" s="1050" t="n"/>
      <c r="H5" s="1050" t="n"/>
      <c r="I5" s="1050" t="n"/>
      <c r="J5" s="1050" t="n"/>
      <c r="K5" s="1050" t="n"/>
      <c r="L5" s="1050" t="n"/>
      <c r="M5" s="1050" t="n"/>
      <c r="N5" s="1050" t="n"/>
      <c r="O5" s="1050" t="n"/>
      <c r="P5" s="1050" t="n"/>
    </row>
    <row r="6" ht="13.5" customHeight="1" s="981">
      <c r="A6" s="620" t="inlineStr">
        <is>
          <t>Công nghệ (FPT)</t>
        </is>
      </c>
      <c r="B6" s="557" t="inlineStr">
        <is>
          <t>15%</t>
        </is>
      </c>
      <c r="C6" s="557" t="inlineStr">
        <is>
          <t>35%</t>
        </is>
      </c>
      <c r="D6" s="557" t="inlineStr">
        <is>
          <t>50%</t>
        </is>
      </c>
      <c r="E6" s="557" t="inlineStr">
        <is>
          <t>100%</t>
        </is>
      </c>
      <c r="F6" s="620" t="inlineStr">
        <is>
          <t>Phát thải thấp; Nhân sự &amp; quản trị là rủi ro chính</t>
        </is>
      </c>
      <c r="G6" s="1050" t="n"/>
      <c r="H6" s="1050" t="n"/>
      <c r="I6" s="1050" t="n"/>
      <c r="J6" s="1050" t="n"/>
      <c r="K6" s="1050" t="n"/>
      <c r="L6" s="1050" t="n"/>
      <c r="M6" s="1050" t="n"/>
      <c r="N6" s="1050" t="n"/>
      <c r="O6" s="1050" t="n"/>
      <c r="P6" s="1050" t="n"/>
    </row>
    <row r="7" ht="13.5" customHeight="1" s="981">
      <c r="A7" s="1168" t="inlineStr">
        <is>
          <t>Hạ tầng số (CTR)</t>
        </is>
      </c>
      <c r="B7" s="630" t="inlineStr">
        <is>
          <t>20%</t>
        </is>
      </c>
      <c r="C7" s="630" t="inlineStr">
        <is>
          <t>40%</t>
        </is>
      </c>
      <c r="D7" s="630" t="inlineStr">
        <is>
          <t>40%</t>
        </is>
      </c>
      <c r="E7" s="630" t="inlineStr">
        <is>
          <t>100%</t>
        </is>
      </c>
      <c r="F7" s="1168" t="inlineStr">
        <is>
          <t>Công trình viễn thông có tác động môi trường vừa phải</t>
        </is>
      </c>
      <c r="G7" s="1050" t="n"/>
      <c r="H7" s="1050" t="n"/>
      <c r="I7" s="1050" t="n"/>
      <c r="J7" s="1050" t="n"/>
      <c r="K7" s="1050" t="n"/>
      <c r="L7" s="1050" t="n"/>
      <c r="M7" s="1050" t="n"/>
      <c r="N7" s="1050" t="n"/>
      <c r="O7" s="1050" t="n"/>
      <c r="P7" s="1050" t="n"/>
    </row>
    <row r="8" ht="13.5" customHeight="1" s="981">
      <c r="A8" s="620" t="inlineStr">
        <is>
          <t>Bán lẻ (MWG)</t>
        </is>
      </c>
      <c r="B8" s="557" t="inlineStr">
        <is>
          <t>20%</t>
        </is>
      </c>
      <c r="C8" s="557" t="inlineStr">
        <is>
          <t>50%</t>
        </is>
      </c>
      <c r="D8" s="557" t="inlineStr">
        <is>
          <t>30%</t>
        </is>
      </c>
      <c r="E8" s="557" t="inlineStr">
        <is>
          <t>100%</t>
        </is>
      </c>
      <c r="F8" s="620" t="inlineStr">
        <is>
          <t>Chuỗi bán lẻ: cộng đồng &amp; nhân sự là ưu tiên số 1</t>
        </is>
      </c>
      <c r="G8" s="1050" t="n"/>
      <c r="H8" s="1050" t="n"/>
      <c r="I8" s="1050" t="n"/>
      <c r="J8" s="1050" t="n"/>
      <c r="K8" s="1050" t="n"/>
      <c r="L8" s="1050" t="n"/>
      <c r="M8" s="1050" t="n"/>
      <c r="N8" s="1050" t="n"/>
      <c r="O8" s="1050" t="n"/>
      <c r="P8" s="1050" t="n"/>
    </row>
    <row r="9" ht="13.5" customHeight="1" s="981">
      <c r="A9" s="1168" t="inlineStr">
        <is>
          <t>Thép &amp; CN (HPG)</t>
        </is>
      </c>
      <c r="B9" s="630" t="inlineStr">
        <is>
          <t>45%</t>
        </is>
      </c>
      <c r="C9" s="630" t="inlineStr">
        <is>
          <t>25%</t>
        </is>
      </c>
      <c r="D9" s="630" t="inlineStr">
        <is>
          <t>30%</t>
        </is>
      </c>
      <c r="E9" s="630" t="inlineStr">
        <is>
          <t>100%</t>
        </is>
      </c>
      <c r="F9" s="1168" t="inlineStr">
        <is>
          <t>Sản xuất thép: phát thải CO2 &amp; nước là rủi ro sống còn</t>
        </is>
      </c>
      <c r="G9" s="1050" t="n"/>
      <c r="H9" s="1050" t="n"/>
      <c r="I9" s="1050" t="n"/>
      <c r="J9" s="1050" t="n"/>
      <c r="K9" s="1050" t="n"/>
      <c r="L9" s="1050" t="n"/>
      <c r="M9" s="1050" t="n"/>
      <c r="N9" s="1050" t="n"/>
      <c r="O9" s="1050" t="n"/>
      <c r="P9" s="1050" t="n"/>
    </row>
    <row r="10" ht="13.5" customHeight="1" s="981">
      <c r="A10" s="620" t="inlineStr">
        <is>
          <t>Tiêu dùng TY (VNM)</t>
        </is>
      </c>
      <c r="B10" s="557" t="inlineStr">
        <is>
          <t>35%</t>
        </is>
      </c>
      <c r="C10" s="557" t="inlineStr">
        <is>
          <t>35%</t>
        </is>
      </c>
      <c r="D10" s="557" t="inlineStr">
        <is>
          <t>30%</t>
        </is>
      </c>
      <c r="E10" s="557" t="inlineStr">
        <is>
          <t>100%</t>
        </is>
      </c>
      <c r="F10" s="620" t="inlineStr">
        <is>
          <t>Sữa: chuỗi cung ứng, nguồn nước, đất nông nghiệp</t>
        </is>
      </c>
      <c r="G10" s="1050" t="n"/>
      <c r="H10" s="1050" t="n"/>
      <c r="I10" s="1050" t="n"/>
      <c r="J10" s="1050" t="n"/>
      <c r="K10" s="1050" t="n"/>
      <c r="L10" s="1050" t="n"/>
      <c r="M10" s="1050" t="n"/>
      <c r="N10" s="1050" t="n"/>
      <c r="O10" s="1050" t="n"/>
      <c r="P10" s="1050" t="n"/>
    </row>
    <row r="11" ht="15" customHeight="1" s="981">
      <c r="A11" s="1050" t="n"/>
      <c r="B11" s="1050" t="n"/>
      <c r="C11" s="1050" t="n"/>
      <c r="D11" s="1050" t="n"/>
      <c r="E11" s="1050" t="n"/>
      <c r="F11" s="1050" t="n"/>
      <c r="G11" s="1050" t="n"/>
      <c r="H11" s="1050" t="n"/>
      <c r="I11" s="1050" t="n"/>
      <c r="J11" s="1050" t="n"/>
      <c r="K11" s="1050" t="n"/>
      <c r="L11" s="1050" t="n"/>
      <c r="M11" s="1050" t="n"/>
      <c r="N11" s="1050" t="n"/>
      <c r="O11" s="1050" t="n"/>
      <c r="P11" s="1050" t="n"/>
    </row>
    <row r="12" ht="21.75" customHeight="1" s="981">
      <c r="A12" s="1166" t="inlineStr">
        <is>
          <t>📊 BẢNG CHẤM ĐIỂM ESG CHI TIẾT (Thang 1-10 · Dựa trên MSCI/Sustainalytics · Cập nhật sau BCTC hàng năm)</t>
        </is>
      </c>
      <c r="B12" s="965" t="n"/>
      <c r="C12" s="965" t="n"/>
      <c r="D12" s="965" t="n"/>
      <c r="E12" s="965" t="n"/>
      <c r="F12" s="965" t="n"/>
      <c r="G12" s="965" t="n"/>
      <c r="H12" s="965" t="n"/>
      <c r="I12" s="965" t="n"/>
      <c r="J12" s="965" t="n"/>
      <c r="K12" s="965" t="n"/>
      <c r="L12" s="965" t="n"/>
      <c r="M12" s="965" t="n"/>
      <c r="N12" s="965" t="n"/>
      <c r="O12" s="965" t="n"/>
      <c r="P12" s="966" t="n"/>
    </row>
    <row r="13" ht="31.5" customHeight="1" s="981">
      <c r="A13" s="628" t="inlineStr">
        <is>
          <t>Mã CP</t>
        </is>
      </c>
      <c r="B13" s="628" t="inlineStr">
        <is>
          <t>Ngành</t>
        </is>
      </c>
      <c r="C13" s="628" t="inlineStr">
        <is>
          <t>E1: Phát thải
Carbon</t>
        </is>
      </c>
      <c r="D13" s="628" t="inlineStr">
        <is>
          <t>E2: Tiêu thụ
Nước/NL</t>
        </is>
      </c>
      <c r="E13" s="628" t="inlineStr">
        <is>
          <t>E3: Quản lý
Chất thải</t>
        </is>
      </c>
      <c r="F13" s="628" t="inlineStr">
        <is>
          <t>Điểm E (1-10)</t>
        </is>
      </c>
      <c r="G13" s="628" t="inlineStr">
        <is>
          <t>S1: Đãi ngộ
Nhân sự</t>
        </is>
      </c>
      <c r="H13" s="628" t="inlineStr">
        <is>
          <t>S2: An toàn
Lao động</t>
        </is>
      </c>
      <c r="I13" s="628" t="inlineStr">
        <is>
          <t>S3: CSR &amp;
Cộng đồng</t>
        </is>
      </c>
      <c r="J13" s="628" t="inlineStr">
        <is>
          <t>Điểm S (1-10)</t>
        </is>
      </c>
      <c r="K13" s="628" t="inlineStr">
        <is>
          <t>G1: HĐQT
Độc lập</t>
        </is>
      </c>
      <c r="L13" s="628" t="inlineStr">
        <is>
          <t>G2: Minh bạch
BCTC</t>
        </is>
      </c>
      <c r="M13" s="628" t="inlineStr">
        <is>
          <t>G3: Lịch sử
Vi phạm</t>
        </is>
      </c>
      <c r="N13" s="628" t="inlineStr">
        <is>
          <t>Điểm G (1-10)</t>
        </is>
      </c>
      <c r="O13" s="628" t="inlineStr">
        <is>
          <t>Tổng ESG
(Có trọng số)</t>
        </is>
      </c>
      <c r="P13" s="628" t="inlineStr">
        <is>
          <t>Kết luận ESG</t>
        </is>
      </c>
    </row>
    <row r="14" ht="16.5" customHeight="1" s="981">
      <c r="A14" s="631" t="inlineStr">
        <is>
          <t>FPT</t>
        </is>
      </c>
      <c r="B14" s="630" t="inlineStr">
        <is>
          <t>Công nghệ</t>
        </is>
      </c>
      <c r="C14" s="630" t="n">
        <v>8</v>
      </c>
      <c r="D14" s="630" t="n">
        <v>9</v>
      </c>
      <c r="E14" s="630" t="n">
        <v>8</v>
      </c>
      <c r="F14" s="631" t="n">
        <v>8.300000000000001</v>
      </c>
      <c r="G14" s="630" t="n">
        <v>8</v>
      </c>
      <c r="H14" s="630" t="n">
        <v>9</v>
      </c>
      <c r="I14" s="630" t="n">
        <v>9</v>
      </c>
      <c r="J14" s="631" t="n">
        <v>8.699999999999999</v>
      </c>
      <c r="K14" s="630" t="n">
        <v>9</v>
      </c>
      <c r="L14" s="630" t="n">
        <v>9</v>
      </c>
      <c r="M14" s="630" t="n">
        <v>9</v>
      </c>
      <c r="N14" s="631" t="n">
        <v>9</v>
      </c>
      <c r="O14" s="602" t="n">
        <v>8.789999999999999</v>
      </c>
      <c r="P14" s="632" t="inlineStr">
        <is>
          <t>✅ Đạt chuẩn đầu tư</t>
        </is>
      </c>
    </row>
    <row r="15" ht="16.5" customHeight="1" s="981">
      <c r="A15" s="604" t="inlineStr">
        <is>
          <t>MBB</t>
        </is>
      </c>
      <c r="B15" s="557" t="inlineStr">
        <is>
          <t>Ngân hàng</t>
        </is>
      </c>
      <c r="C15" s="557" t="n">
        <v>9</v>
      </c>
      <c r="D15" s="557" t="n">
        <v>8</v>
      </c>
      <c r="E15" s="557" t="n">
        <v>9</v>
      </c>
      <c r="F15" s="604" t="n">
        <v>8.699999999999999</v>
      </c>
      <c r="G15" s="557" t="n">
        <v>7</v>
      </c>
      <c r="H15" s="557" t="n">
        <v>8</v>
      </c>
      <c r="I15" s="557" t="n">
        <v>7</v>
      </c>
      <c r="J15" s="604" t="n">
        <v>7.3</v>
      </c>
      <c r="K15" s="557" t="n">
        <v>8</v>
      </c>
      <c r="L15" s="557" t="n">
        <v>8</v>
      </c>
      <c r="M15" s="557" t="n">
        <v>8</v>
      </c>
      <c r="N15" s="604" t="n">
        <v>8</v>
      </c>
      <c r="O15" s="602" t="n">
        <v>7.79</v>
      </c>
      <c r="P15" s="632" t="inlineStr">
        <is>
          <t>✅ Đạt chuẩn đầu tư</t>
        </is>
      </c>
    </row>
    <row r="16" ht="16.5" customHeight="1" s="981">
      <c r="A16" s="631" t="inlineStr">
        <is>
          <t>VCB</t>
        </is>
      </c>
      <c r="B16" s="630" t="inlineStr">
        <is>
          <t>Ngân hàng</t>
        </is>
      </c>
      <c r="C16" s="630" t="n">
        <v>9</v>
      </c>
      <c r="D16" s="630" t="n">
        <v>8</v>
      </c>
      <c r="E16" s="630" t="n">
        <v>9</v>
      </c>
      <c r="F16" s="631" t="n">
        <v>8.699999999999999</v>
      </c>
      <c r="G16" s="630" t="n">
        <v>8</v>
      </c>
      <c r="H16" s="630" t="n">
        <v>8</v>
      </c>
      <c r="I16" s="630" t="n">
        <v>8</v>
      </c>
      <c r="J16" s="631" t="n">
        <v>8</v>
      </c>
      <c r="K16" s="630" t="n">
        <v>9</v>
      </c>
      <c r="L16" s="630" t="n">
        <v>9</v>
      </c>
      <c r="M16" s="630" t="n">
        <v>9</v>
      </c>
      <c r="N16" s="631" t="n">
        <v>9</v>
      </c>
      <c r="O16" s="602" t="n">
        <v>8.57</v>
      </c>
      <c r="P16" s="632" t="inlineStr">
        <is>
          <t>✅ Đạt chuẩn đầu tư</t>
        </is>
      </c>
    </row>
    <row r="17" ht="16.5" customHeight="1" s="981">
      <c r="A17" s="604" t="inlineStr">
        <is>
          <t>CTR</t>
        </is>
      </c>
      <c r="B17" s="557" t="inlineStr">
        <is>
          <t>Hạ tầng số</t>
        </is>
      </c>
      <c r="C17" s="557" t="n">
        <v>6</v>
      </c>
      <c r="D17" s="557" t="n">
        <v>7</v>
      </c>
      <c r="E17" s="557" t="n">
        <v>6</v>
      </c>
      <c r="F17" s="604" t="n">
        <v>6.3</v>
      </c>
      <c r="G17" s="557" t="n">
        <v>7</v>
      </c>
      <c r="H17" s="557" t="n">
        <v>7</v>
      </c>
      <c r="I17" s="557" t="n">
        <v>7</v>
      </c>
      <c r="J17" s="604" t="n">
        <v>7</v>
      </c>
      <c r="K17" s="557" t="n">
        <v>8</v>
      </c>
      <c r="L17" s="557" t="n">
        <v>7</v>
      </c>
      <c r="M17" s="557" t="n">
        <v>8</v>
      </c>
      <c r="N17" s="604" t="n">
        <v>7.7</v>
      </c>
      <c r="O17" s="602" t="n">
        <v>7.14</v>
      </c>
      <c r="P17" s="632" t="inlineStr">
        <is>
          <t>✅ Đạt chuẩn đầu tư</t>
        </is>
      </c>
    </row>
    <row r="18" ht="16.5" customHeight="1" s="981">
      <c r="A18" s="631" t="inlineStr">
        <is>
          <t>MWG</t>
        </is>
      </c>
      <c r="B18" s="630" t="inlineStr">
        <is>
          <t>Bán lẻ</t>
        </is>
      </c>
      <c r="C18" s="630" t="n">
        <v>7</v>
      </c>
      <c r="D18" s="630" t="n">
        <v>7</v>
      </c>
      <c r="E18" s="630" t="n">
        <v>7</v>
      </c>
      <c r="F18" s="631" t="n">
        <v>7</v>
      </c>
      <c r="G18" s="630" t="n">
        <v>8</v>
      </c>
      <c r="H18" s="630" t="n">
        <v>8</v>
      </c>
      <c r="I18" s="630" t="n">
        <v>9</v>
      </c>
      <c r="J18" s="631" t="n">
        <v>8.300000000000001</v>
      </c>
      <c r="K18" s="630" t="n">
        <v>7</v>
      </c>
      <c r="L18" s="630" t="n">
        <v>7</v>
      </c>
      <c r="M18" s="630" t="n">
        <v>7</v>
      </c>
      <c r="N18" s="631" t="n">
        <v>7</v>
      </c>
      <c r="O18" s="602" t="n">
        <v>7.65</v>
      </c>
      <c r="P18" s="632" t="inlineStr">
        <is>
          <t>✅ Đạt chuẩn đầu tư</t>
        </is>
      </c>
    </row>
    <row r="19" ht="16.5" customHeight="1" s="981">
      <c r="A19" s="604" t="inlineStr">
        <is>
          <t>HPG</t>
        </is>
      </c>
      <c r="B19" s="557" t="inlineStr">
        <is>
          <t>Thép &amp; CN</t>
        </is>
      </c>
      <c r="C19" s="557" t="n">
        <v>4</v>
      </c>
      <c r="D19" s="557" t="n">
        <v>4</v>
      </c>
      <c r="E19" s="557" t="n">
        <v>4</v>
      </c>
      <c r="F19" s="604" t="n">
        <v>4</v>
      </c>
      <c r="G19" s="557" t="n">
        <v>6</v>
      </c>
      <c r="H19" s="557" t="n">
        <v>6</v>
      </c>
      <c r="I19" s="557" t="n">
        <v>7</v>
      </c>
      <c r="J19" s="604" t="n">
        <v>6.3</v>
      </c>
      <c r="K19" s="557" t="n">
        <v>7</v>
      </c>
      <c r="L19" s="557" t="n">
        <v>7</v>
      </c>
      <c r="M19" s="557" t="n">
        <v>8</v>
      </c>
      <c r="N19" s="604" t="n">
        <v>7.3</v>
      </c>
      <c r="O19" s="633" t="n">
        <v>5.56</v>
      </c>
      <c r="P19" s="634" t="inlineStr">
        <is>
          <t>⚠️ Cần theo dõi</t>
        </is>
      </c>
    </row>
    <row r="20" ht="16.5" customHeight="1" s="981">
      <c r="A20" s="631" t="inlineStr">
        <is>
          <t>VNM</t>
        </is>
      </c>
      <c r="B20" s="630" t="inlineStr">
        <is>
          <t>Tiêu dùng TY</t>
        </is>
      </c>
      <c r="C20" s="630" t="n">
        <v>6</v>
      </c>
      <c r="D20" s="630" t="n">
        <v>6</v>
      </c>
      <c r="E20" s="630" t="n">
        <v>7</v>
      </c>
      <c r="F20" s="631" t="n">
        <v>6.3</v>
      </c>
      <c r="G20" s="630" t="n">
        <v>8</v>
      </c>
      <c r="H20" s="630" t="n">
        <v>8</v>
      </c>
      <c r="I20" s="630" t="n">
        <v>9</v>
      </c>
      <c r="J20" s="631" t="n">
        <v>8.300000000000001</v>
      </c>
      <c r="K20" s="630" t="n">
        <v>8</v>
      </c>
      <c r="L20" s="630" t="n">
        <v>8</v>
      </c>
      <c r="M20" s="630" t="n">
        <v>8</v>
      </c>
      <c r="N20" s="631" t="n">
        <v>8</v>
      </c>
      <c r="O20" s="602" t="n">
        <v>7.51</v>
      </c>
      <c r="P20" s="632" t="inlineStr">
        <is>
          <t>✅ Đạt chuẩn đầu tư</t>
        </is>
      </c>
    </row>
    <row r="21" ht="13.5" customHeight="1" s="981">
      <c r="A21" s="635" t="inlineStr">
        <is>
          <t>VIX</t>
        </is>
      </c>
      <c r="B21" s="558" t="inlineStr">
        <is>
          <t>Tiêu dùng TY</t>
        </is>
      </c>
      <c r="C21" s="558" t="n">
        <v>6</v>
      </c>
      <c r="D21" s="558" t="n">
        <v>6</v>
      </c>
      <c r="E21" s="558" t="n">
        <v>7</v>
      </c>
      <c r="F21" s="635" t="n">
        <v>6.3</v>
      </c>
      <c r="G21" s="558" t="n">
        <v>8</v>
      </c>
      <c r="H21" s="558" t="n">
        <v>8</v>
      </c>
      <c r="I21" s="558" t="n">
        <v>9</v>
      </c>
      <c r="J21" s="635" t="n">
        <v>8.300000000000001</v>
      </c>
      <c r="K21" s="558" t="n">
        <v>8</v>
      </c>
      <c r="L21" s="558" t="n">
        <v>8</v>
      </c>
      <c r="M21" s="558" t="n">
        <v>8</v>
      </c>
      <c r="N21" s="635" t="n">
        <v>8</v>
      </c>
      <c r="O21" s="636" t="n">
        <v>7.51</v>
      </c>
      <c r="P21" s="635" t="inlineStr">
        <is>
          <t>✅ Đạt chuẩn đầu tư</t>
        </is>
      </c>
    </row>
    <row r="22" ht="21.75" customHeight="1" s="981">
      <c r="A22" s="1164" t="inlineStr">
        <is>
          <t>🚫 NEGATIVE SCREENING: Mã có Tổng Điểm ESG &lt; 5.0 → TỰ ĐỘNG CHẶN MUA MỚI, bất kể P/E hay Upside. Quy tắc này phản ánh cam kết không thỏa hiệp đạo đức vì lợi nhuận ngắn hạn.</t>
        </is>
      </c>
      <c r="B22" s="965" t="n"/>
      <c r="C22" s="965" t="n"/>
      <c r="D22" s="965" t="n"/>
      <c r="E22" s="965" t="n"/>
      <c r="F22" s="965" t="n"/>
      <c r="G22" s="965" t="n"/>
      <c r="H22" s="965" t="n"/>
      <c r="I22" s="965" t="n"/>
      <c r="J22" s="965" t="n"/>
      <c r="K22" s="965" t="n"/>
      <c r="L22" s="965" t="n"/>
      <c r="M22" s="965" t="n"/>
      <c r="N22" s="965" t="n"/>
      <c r="O22" s="965" t="n"/>
      <c r="P22" s="966" t="n"/>
    </row>
  </sheetData>
  <mergeCells count="4">
    <mergeCell ref="A3:F3"/>
    <mergeCell ref="A22:P22"/>
    <mergeCell ref="A1:P1"/>
    <mergeCell ref="A12:P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7.88671875" customWidth="1" style="981" min="1" max="1"/>
    <col width="12" customWidth="1" style="981" min="2" max="2"/>
    <col width="10" customWidth="1" style="981" min="3" max="3"/>
    <col width="7" customWidth="1" style="981" min="4" max="4"/>
    <col width="12" customWidth="1" style="981" min="5" max="5"/>
    <col width="10" customWidth="1" style="981" min="6" max="6"/>
    <col width="29.109375" customWidth="1" style="981" min="7" max="7"/>
    <col width="10" customWidth="1" style="981" min="8" max="8"/>
    <col width="12" customWidth="1" style="981" min="11" max="11"/>
    <col width="10" customWidth="1" style="981" min="12" max="12"/>
    <col width="12" customWidth="1" style="981" min="13" max="13"/>
    <col width="14" customWidth="1" style="981" min="14" max="14"/>
  </cols>
  <sheetData>
    <row r="1" ht="27.75" customHeight="1" s="981">
      <c r="A1" s="1167" t="inlineStr">
        <is>
          <t>🌪️ STRESS TEST VĨ MÔ — Lãi suất · Tỷ giá · Lạm phát · Giá hàng hóa · Kịch bản khủng hoảng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6" t="n"/>
    </row>
    <row r="2" ht="15" customHeight="1" s="981">
      <c r="A2" s="1050" t="n"/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  <c r="M2" s="1050" t="n"/>
      <c r="N2" s="1050" t="n"/>
    </row>
    <row r="3" ht="13.5" customHeight="1" s="981">
      <c r="A3" s="1171" t="inlineStr">
        <is>
          <t>⚙️ CÁC BIẾN SỐ VĨ MÔ (Nhập tay — dựa trên kịch bản NHNN / IMF / ADB)</t>
        </is>
      </c>
      <c r="B3" s="965" t="n"/>
      <c r="C3" s="965" t="n"/>
      <c r="D3" s="965" t="n"/>
      <c r="E3" s="966" t="n"/>
      <c r="F3" s="1050" t="n"/>
      <c r="G3" s="1050" t="n"/>
      <c r="H3" s="1050" t="n"/>
      <c r="I3" s="1050" t="n"/>
      <c r="J3" s="1050" t="n"/>
      <c r="K3" s="1050" t="n"/>
      <c r="L3" s="1050" t="n"/>
      <c r="M3" s="1050" t="n"/>
      <c r="N3" s="1050" t="n"/>
    </row>
    <row r="4" ht="15.75" customHeight="1" s="981">
      <c r="A4" s="637" t="inlineStr">
        <is>
          <t>Lãi suất điều hành tăng thêm (bps)</t>
        </is>
      </c>
      <c r="B4" s="638" t="n">
        <v>100</v>
      </c>
      <c r="C4" s="639" t="inlineStr">
        <is>
          <t>Kịch bản NHNN tăng 100bps → tác động chiết khấu P/E</t>
        </is>
      </c>
      <c r="D4" s="1050" t="n"/>
      <c r="E4" s="1050" t="n"/>
      <c r="F4" s="1050" t="n"/>
      <c r="G4" s="1050" t="n"/>
      <c r="H4" s="1050" t="n"/>
      <c r="I4" s="1050" t="n"/>
      <c r="J4" s="1050" t="n"/>
      <c r="K4" s="1050" t="n"/>
      <c r="L4" s="1050" t="n"/>
      <c r="M4" s="1050" t="n"/>
      <c r="N4" s="1050" t="n"/>
    </row>
    <row r="5" ht="15.75" customHeight="1" s="981">
      <c r="A5" s="637" t="inlineStr">
        <is>
          <t>Tỷ giá USD/VND tăng (%)</t>
        </is>
      </c>
      <c r="B5" s="638" t="n">
        <v>0.03</v>
      </c>
      <c r="C5" s="639" t="inlineStr">
        <is>
          <t>Phá giá 3% VND → nợ USD tăng, nhập khẩu đắt</t>
        </is>
      </c>
      <c r="D5" s="1050" t="n"/>
      <c r="E5" s="1050" t="n"/>
      <c r="F5" s="1050" t="n"/>
      <c r="G5" s="1050" t="n"/>
      <c r="H5" s="1050" t="n"/>
      <c r="I5" s="1050" t="n"/>
      <c r="J5" s="1050" t="n"/>
      <c r="K5" s="1050" t="n"/>
      <c r="L5" s="1050" t="n"/>
      <c r="M5" s="1050" t="n"/>
      <c r="N5" s="1050" t="n"/>
    </row>
    <row r="6" ht="15.75" customHeight="1" s="981">
      <c r="A6" s="637" t="inlineStr">
        <is>
          <t>Lạm phát tăng thêm (pp)</t>
        </is>
      </c>
      <c r="B6" s="638" t="n">
        <v>0.02</v>
      </c>
      <c r="C6" s="639" t="inlineStr">
        <is>
          <t>+2pp lạm phát → lãi suất thực giảm, P/E bị chiết khấu</t>
        </is>
      </c>
      <c r="D6" s="1050" t="n"/>
      <c r="E6" s="1050" t="n"/>
      <c r="F6" s="1050" t="n"/>
      <c r="G6" s="1050" t="n"/>
      <c r="H6" s="1050" t="n"/>
      <c r="I6" s="1050" t="n"/>
      <c r="J6" s="1050" t="n"/>
      <c r="K6" s="1050" t="n"/>
      <c r="L6" s="1050" t="n"/>
      <c r="M6" s="1050" t="n"/>
      <c r="N6" s="1050" t="n"/>
    </row>
    <row r="7" ht="15.75" customHeight="1" s="981">
      <c r="A7" s="637" t="inlineStr">
        <is>
          <t>Giá thép HRC giảm (%)</t>
        </is>
      </c>
      <c r="B7" s="638" t="n">
        <v>-0.15</v>
      </c>
      <c r="C7" s="639" t="inlineStr">
        <is>
          <t>Giá thép giảm 15% → HPG biên lợi nhuận co hẹp</t>
        </is>
      </c>
      <c r="D7" s="1050" t="n"/>
      <c r="E7" s="1050" t="n"/>
      <c r="F7" s="1050" t="n"/>
      <c r="G7" s="1050" t="n"/>
      <c r="H7" s="1050" t="n"/>
      <c r="I7" s="1050" t="n"/>
      <c r="J7" s="1050" t="n"/>
      <c r="K7" s="1050" t="n"/>
      <c r="L7" s="1050" t="n"/>
      <c r="M7" s="1050" t="n"/>
      <c r="N7" s="1050" t="n"/>
    </row>
    <row r="8" ht="15.75" customHeight="1" s="981">
      <c r="A8" s="637" t="inlineStr">
        <is>
          <t>Tăng trưởng GDP điều chỉnh (%)</t>
        </is>
      </c>
      <c r="B8" s="638" t="n">
        <v>-0.01</v>
      </c>
      <c r="C8" s="639" t="inlineStr">
        <is>
          <t>GDP yếu đi 1pp → tác động toàn diện đến doanh thu</t>
        </is>
      </c>
      <c r="D8" s="1050" t="n"/>
      <c r="E8" s="1050" t="n"/>
      <c r="F8" s="1050" t="n"/>
      <c r="G8" s="1050" t="n"/>
      <c r="H8" s="1050" t="n"/>
      <c r="I8" s="1050" t="n"/>
      <c r="J8" s="1050" t="n"/>
      <c r="K8" s="1050" t="n"/>
      <c r="L8" s="1050" t="n"/>
      <c r="M8" s="1050" t="n"/>
      <c r="N8" s="1050" t="n"/>
    </row>
    <row r="9" ht="15" customHeight="1" s="981">
      <c r="A9" s="1050" t="n"/>
      <c r="B9" s="1050" t="n"/>
      <c r="C9" s="1050" t="n"/>
      <c r="D9" s="1050" t="n"/>
      <c r="E9" s="1050" t="n"/>
      <c r="F9" s="1050" t="n"/>
      <c r="G9" s="1050" t="n"/>
      <c r="H9" s="1050" t="n"/>
      <c r="I9" s="1050" t="n"/>
      <c r="J9" s="1050" t="n"/>
      <c r="K9" s="1050" t="n"/>
      <c r="L9" s="1050" t="n"/>
      <c r="M9" s="1050" t="n"/>
      <c r="N9" s="1050" t="n"/>
    </row>
    <row r="10" ht="21.75" customHeight="1" s="981">
      <c r="A10" s="1171" t="inlineStr">
        <is>
          <t>📊 TÁC ĐỘNG VĨ MÔ ĐẾN TỪNG MÃ — Chiết khấu P/E Mục tiêu &amp; Giá Hợp Lý Điều Chỉnh</t>
        </is>
      </c>
      <c r="B10" s="965" t="n"/>
      <c r="C10" s="965" t="n"/>
      <c r="D10" s="965" t="n"/>
      <c r="E10" s="965" t="n"/>
      <c r="F10" s="965" t="n"/>
      <c r="G10" s="965" t="n"/>
      <c r="H10" s="965" t="n"/>
      <c r="I10" s="965" t="n"/>
      <c r="J10" s="965" t="n"/>
      <c r="K10" s="965" t="n"/>
      <c r="L10" s="965" t="n"/>
      <c r="M10" s="965" t="n"/>
      <c r="N10" s="966" t="n"/>
    </row>
    <row r="11" ht="31.5" customHeight="1" s="981">
      <c r="A11" s="640" t="inlineStr">
        <is>
          <t>Mã CP</t>
        </is>
      </c>
      <c r="B11" s="640" t="inlineStr">
        <is>
          <t>Ngành</t>
        </is>
      </c>
      <c r="C11" s="640" t="inlineStr">
        <is>
          <t>Giá HT</t>
        </is>
      </c>
      <c r="D11" s="640" t="inlineStr">
        <is>
          <t>P/E HT</t>
        </is>
      </c>
      <c r="E11" s="640" t="inlineStr">
        <is>
          <t>Tác động lãi
suất (+100bps)</t>
        </is>
      </c>
      <c r="F11" s="640" t="inlineStr">
        <is>
          <t>Tác động
tỷ giá</t>
        </is>
      </c>
      <c r="G11" s="640" t="inlineStr">
        <is>
          <t>Tác động
lạm phát</t>
        </is>
      </c>
      <c r="H11" s="640" t="inlineStr">
        <is>
          <t>P/E điều chỉnh
(Stress)</t>
        </is>
      </c>
      <c r="I11" s="640" t="inlineStr">
        <is>
          <t>Giá HLý
Base</t>
        </is>
      </c>
      <c r="J11" s="640" t="inlineStr">
        <is>
          <t>Giá HLý
Stress</t>
        </is>
      </c>
      <c r="K11" s="640" t="inlineStr">
        <is>
          <t>Chênh lệch
(Haircut)</t>
        </is>
      </c>
      <c r="L11" s="640" t="inlineStr">
        <is>
          <t>Downside
% từ HT</t>
        </is>
      </c>
      <c r="M11" s="640" t="inlineStr">
        <is>
          <t>Kịch bản
rủi ro cao</t>
        </is>
      </c>
      <c r="N11" s="640" t="inlineStr">
        <is>
          <t>Hành động
Stress</t>
        </is>
      </c>
    </row>
    <row r="12" ht="16.5" customHeight="1" s="981">
      <c r="A12" s="635" t="inlineStr">
        <is>
          <t>FPT</t>
        </is>
      </c>
      <c r="B12" s="1174" t="inlineStr">
        <is>
          <t>Công nghệ</t>
        </is>
      </c>
      <c r="C12" s="558" t="n">
        <v>75500</v>
      </c>
      <c r="D12" s="558" t="n">
        <v>13.08</v>
      </c>
      <c r="E12" s="641" t="inlineStr">
        <is>
          <t>-8.0%</t>
        </is>
      </c>
      <c r="F12" s="641" t="inlineStr">
        <is>
          <t>-2.0%</t>
        </is>
      </c>
      <c r="G12" s="641" t="inlineStr">
        <is>
          <t>-3.0%</t>
        </is>
      </c>
      <c r="H12" s="642" t="n">
        <v>12.02</v>
      </c>
      <c r="I12" s="558" t="n">
        <v>76727</v>
      </c>
      <c r="J12" s="643" t="n">
        <v>70497</v>
      </c>
      <c r="K12" s="643" t="n">
        <v>-6230</v>
      </c>
      <c r="L12" s="633" t="n">
        <v>-0.0662649006622517</v>
      </c>
      <c r="M12" s="558" t="inlineStr">
        <is>
          <t>🟢 Thấp</t>
        </is>
      </c>
      <c r="N12" s="644" t="inlineStr">
        <is>
          <t>Giữ nguyên</t>
        </is>
      </c>
    </row>
    <row r="13" ht="16.5" customHeight="1" s="981">
      <c r="A13" s="604" t="inlineStr">
        <is>
          <t>MBB</t>
        </is>
      </c>
      <c r="B13" s="620" t="inlineStr">
        <is>
          <t>Ngân hàng</t>
        </is>
      </c>
      <c r="C13" s="557" t="n">
        <v>25950</v>
      </c>
      <c r="D13" s="557" t="n">
        <v>7.6</v>
      </c>
      <c r="E13" s="641" t="inlineStr">
        <is>
          <t>-15.0%</t>
        </is>
      </c>
      <c r="F13" s="641" t="inlineStr">
        <is>
          <t>-3.0%</t>
        </is>
      </c>
      <c r="G13" s="641" t="inlineStr">
        <is>
          <t>-5.0%</t>
        </is>
      </c>
      <c r="H13" s="642" t="n">
        <v>6.45</v>
      </c>
      <c r="I13" s="557" t="n">
        <v>26121</v>
      </c>
      <c r="J13" s="643" t="n">
        <v>22153</v>
      </c>
      <c r="K13" s="643" t="n">
        <v>-3968</v>
      </c>
      <c r="L13" s="643" t="n">
        <v>-0.146319845857418</v>
      </c>
      <c r="M13" s="557" t="inlineStr">
        <is>
          <t>🟡 Vừa</t>
        </is>
      </c>
      <c r="N13" s="645" t="inlineStr">
        <is>
          <t>Theo dõi sát</t>
        </is>
      </c>
    </row>
    <row r="14" ht="16.5" customHeight="1" s="981">
      <c r="A14" s="635" t="inlineStr">
        <is>
          <t>VCB</t>
        </is>
      </c>
      <c r="B14" s="1174" t="inlineStr">
        <is>
          <t>Ngân hàng</t>
        </is>
      </c>
      <c r="C14" s="558" t="n">
        <v>59800</v>
      </c>
      <c r="D14" s="558" t="n">
        <v>14.35</v>
      </c>
      <c r="E14" s="641" t="inlineStr">
        <is>
          <t>SSA</t>
        </is>
      </c>
      <c r="F14" s="641" t="inlineStr">
        <is>
          <t>-3.0%</t>
        </is>
      </c>
      <c r="G14" s="641" t="inlineStr">
        <is>
          <t>-5.0%</t>
        </is>
      </c>
      <c r="H14" s="642" t="n">
        <v>12.17</v>
      </c>
      <c r="I14" s="558" t="n">
        <v>61203</v>
      </c>
      <c r="J14" s="643" t="n">
        <v>51906</v>
      </c>
      <c r="K14" s="643" t="n">
        <v>-9297</v>
      </c>
      <c r="L14" s="643" t="n">
        <v>-0.132006688963211</v>
      </c>
      <c r="M14" s="558" t="inlineStr">
        <is>
          <t>🟡 Vừa</t>
        </is>
      </c>
      <c r="N14" s="644" t="inlineStr">
        <is>
          <t>Theo dõi sát</t>
        </is>
      </c>
    </row>
    <row r="15" ht="16.5" customHeight="1" s="981">
      <c r="A15" s="604" t="inlineStr">
        <is>
          <t>CTR</t>
        </is>
      </c>
      <c r="B15" s="620" t="inlineStr">
        <is>
          <t>Hạ tầng số</t>
        </is>
      </c>
      <c r="C15" s="557" t="n">
        <v>87100</v>
      </c>
      <c r="D15" s="557" t="n">
        <v>15.52</v>
      </c>
      <c r="E15" s="641" t="inlineStr">
        <is>
          <t>-5.0%</t>
        </is>
      </c>
      <c r="F15" s="641" t="inlineStr">
        <is>
          <t>-4.0%</t>
        </is>
      </c>
      <c r="G15" s="641" t="inlineStr">
        <is>
          <t>-2.0%</t>
        </is>
      </c>
      <c r="H15" s="642" t="n">
        <v>14.72</v>
      </c>
      <c r="I15" s="557" t="n">
        <v>86881</v>
      </c>
      <c r="J15" s="643" t="n">
        <v>82398</v>
      </c>
      <c r="K15" s="643" t="n">
        <v>-4483</v>
      </c>
      <c r="L15" s="633" t="n">
        <v>-0.05398392652124</v>
      </c>
      <c r="M15" s="557" t="inlineStr">
        <is>
          <t>🟢 Thấp</t>
        </is>
      </c>
      <c r="N15" s="645" t="inlineStr">
        <is>
          <t>Giữ nguyên</t>
        </is>
      </c>
    </row>
    <row r="16" ht="16.5" customHeight="1" s="981">
      <c r="A16" s="635" t="inlineStr">
        <is>
          <t>MWG</t>
        </is>
      </c>
      <c r="B16" s="1174" t="inlineStr">
        <is>
          <t>Bán lẻ</t>
        </is>
      </c>
      <c r="C16" s="558" t="n">
        <v>84200</v>
      </c>
      <c r="D16" s="558" t="n">
        <v>17.5</v>
      </c>
      <c r="E16" s="641" t="inlineStr">
        <is>
          <t>-6.0%</t>
        </is>
      </c>
      <c r="F16" s="641" t="inlineStr">
        <is>
          <t>-5.0%</t>
        </is>
      </c>
      <c r="G16" s="641" t="inlineStr">
        <is>
          <t>-4.0%</t>
        </is>
      </c>
      <c r="H16" s="642" t="n">
        <v>16.41</v>
      </c>
      <c r="I16" s="558" t="n">
        <v>96128</v>
      </c>
      <c r="J16" s="602" t="n">
        <v>90139</v>
      </c>
      <c r="K16" s="643" t="n">
        <v>-5989</v>
      </c>
      <c r="L16" s="633" t="n">
        <v>0.07053444180522569</v>
      </c>
      <c r="M16" s="558" t="inlineStr">
        <is>
          <t>🟢 Thấp</t>
        </is>
      </c>
      <c r="N16" s="644" t="inlineStr">
        <is>
          <t>Giữ nguyên</t>
        </is>
      </c>
    </row>
    <row r="17" ht="16.5" customHeight="1" s="981">
      <c r="A17" s="604" t="inlineStr">
        <is>
          <t>HPG</t>
        </is>
      </c>
      <c r="B17" s="620" t="inlineStr">
        <is>
          <t>Thép &amp; CN</t>
        </is>
      </c>
      <c r="C17" s="557" t="n">
        <v>27900</v>
      </c>
      <c r="D17" s="557" t="n">
        <v>13.66</v>
      </c>
      <c r="E17" s="641" t="inlineStr">
        <is>
          <t>-8.0%</t>
        </is>
      </c>
      <c r="F17" s="641" t="inlineStr">
        <is>
          <t>-10.0%</t>
        </is>
      </c>
      <c r="G17" s="641" t="inlineStr">
        <is>
          <t>-3.0%</t>
        </is>
      </c>
      <c r="H17" s="642" t="n">
        <v>12.52</v>
      </c>
      <c r="I17" s="557" t="n">
        <v>27798</v>
      </c>
      <c r="J17" s="643" t="n">
        <v>25474</v>
      </c>
      <c r="K17" s="643" t="n">
        <v>-2324</v>
      </c>
      <c r="L17" s="633" t="n">
        <v>-0.0869534050179212</v>
      </c>
      <c r="M17" s="557" t="inlineStr">
        <is>
          <t>🟢 Thấp</t>
        </is>
      </c>
      <c r="N17" s="645" t="inlineStr">
        <is>
          <t>Giữ nguyên</t>
        </is>
      </c>
    </row>
    <row r="18" ht="16.5" customHeight="1" s="981">
      <c r="A18" s="635" t="inlineStr">
        <is>
          <t>VNM</t>
        </is>
      </c>
      <c r="B18" s="1174" t="inlineStr">
        <is>
          <t>Tiêu dùng TY</t>
        </is>
      </c>
      <c r="C18" s="558" t="n">
        <v>60900</v>
      </c>
      <c r="D18" s="558" t="n">
        <v>13.57</v>
      </c>
      <c r="E18" s="641" t="inlineStr">
        <is>
          <t>-5.0%</t>
        </is>
      </c>
      <c r="F18" s="641" t="inlineStr">
        <is>
          <t>-4.0%</t>
        </is>
      </c>
      <c r="G18" s="641" t="inlineStr">
        <is>
          <t>-6.0%</t>
        </is>
      </c>
      <c r="H18" s="642" t="n">
        <v>12.86</v>
      </c>
      <c r="I18" s="558" t="n">
        <v>66805</v>
      </c>
      <c r="J18" s="602" t="n">
        <v>63305</v>
      </c>
      <c r="K18" s="643" t="n">
        <v>-3500</v>
      </c>
      <c r="L18" s="633" t="n">
        <v>0.0394909688013136</v>
      </c>
      <c r="M18" s="558" t="inlineStr">
        <is>
          <t>🟢 Thấp</t>
        </is>
      </c>
      <c r="N18" s="644" t="inlineStr">
        <is>
          <t>Giữ nguyên</t>
        </is>
      </c>
    </row>
    <row r="19" ht="13.5" customHeight="1" s="981">
      <c r="A19" s="635" t="inlineStr">
        <is>
          <t>VIX</t>
        </is>
      </c>
      <c r="B19" s="1174" t="inlineStr">
        <is>
          <t>Tiêu dùng TY</t>
        </is>
      </c>
      <c r="C19" s="558" t="n">
        <v>60900</v>
      </c>
      <c r="D19" s="558" t="n">
        <v>13.57</v>
      </c>
      <c r="E19" s="641" t="inlineStr">
        <is>
          <t>-5.0%</t>
        </is>
      </c>
      <c r="F19" s="641" t="inlineStr">
        <is>
          <t>-4.0%</t>
        </is>
      </c>
      <c r="G19" s="641" t="inlineStr">
        <is>
          <t>-6.0%</t>
        </is>
      </c>
      <c r="H19" s="646" t="n">
        <v>12.86</v>
      </c>
      <c r="I19" s="558" t="n">
        <v>66805</v>
      </c>
      <c r="J19" s="636" t="n">
        <v>63305</v>
      </c>
      <c r="K19" s="647" t="n">
        <v>-3500</v>
      </c>
      <c r="L19" s="601" t="n">
        <v>0.0394909688013136</v>
      </c>
      <c r="M19" s="558" t="inlineStr">
        <is>
          <t>🟢 Thấp</t>
        </is>
      </c>
      <c r="N19" s="644" t="inlineStr">
        <is>
          <t>Giữ nguyên</t>
        </is>
      </c>
    </row>
    <row r="20" ht="13.5" customHeight="1" s="981">
      <c r="A20" s="1171" t="inlineStr">
        <is>
          <t>🎭 CÁC KỊCH BẢN MACRO TỔNG THỂ (Scenario Analysis)</t>
        </is>
      </c>
      <c r="B20" s="965" t="n"/>
      <c r="C20" s="965" t="n"/>
      <c r="D20" s="965" t="n"/>
      <c r="E20" s="965" t="n"/>
      <c r="F20" s="965" t="n"/>
      <c r="G20" s="965" t="n"/>
      <c r="H20" s="965" t="n"/>
      <c r="I20" s="965" t="n"/>
      <c r="J20" s="965" t="n"/>
      <c r="K20" s="965" t="n"/>
      <c r="L20" s="965" t="n"/>
      <c r="M20" s="965" t="n"/>
      <c r="N20" s="966" t="n"/>
    </row>
    <row r="21" ht="19.5" customHeight="1" s="981">
      <c r="A21" s="648" t="inlineStr">
        <is>
          <t>📗 Kịch bản Cơ sở (Base Case)</t>
        </is>
      </c>
      <c r="B21" s="1168" t="inlineStr">
        <is>
          <t>NHNN duy trì lãi suất, tỷ giá ổn định ±1%, GDP 6.5%</t>
        </is>
      </c>
      <c r="C21" s="965" t="n"/>
      <c r="D21" s="965" t="n"/>
      <c r="E21" s="965" t="n"/>
      <c r="F21" s="966" t="n"/>
      <c r="G21" s="649" t="inlineStr">
        <is>
          <t>+8% đến +15%</t>
        </is>
      </c>
      <c r="H21" s="1172" t="inlineStr">
        <is>
          <t>Giữ danh mục như hiện tại, mua thêm FPT/MBB/HPG</t>
        </is>
      </c>
      <c r="I21" s="965" t="n"/>
      <c r="J21" s="965" t="n"/>
      <c r="K21" s="965" t="n"/>
      <c r="L21" s="965" t="n"/>
      <c r="M21" s="965" t="n"/>
      <c r="N21" s="966" t="n"/>
    </row>
    <row r="22" ht="19.5" customHeight="1" s="981">
      <c r="A22" s="650" t="inlineStr">
        <is>
          <t>📙 Kịch bản Bất lợi (Bear Case)</t>
        </is>
      </c>
      <c r="B22" s="1174" t="inlineStr">
        <is>
          <t>Lãi suất tăng 100bps, VND mất giá 3%, lạm phát tăng 2pp</t>
        </is>
      </c>
      <c r="C22" s="965" t="n"/>
      <c r="D22" s="965" t="n"/>
      <c r="E22" s="965" t="n"/>
      <c r="F22" s="966" t="n"/>
      <c r="G22" s="651" t="inlineStr">
        <is>
          <t>-10% đến -20%</t>
        </is>
      </c>
      <c r="H22" s="1170" t="inlineStr">
        <is>
          <t>Giảm CTR/VCB, tăng tỷ trọng tiền mặt lên 20%</t>
        </is>
      </c>
      <c r="I22" s="965" t="n"/>
      <c r="J22" s="965" t="n"/>
      <c r="K22" s="965" t="n"/>
      <c r="L22" s="965" t="n"/>
      <c r="M22" s="965" t="n"/>
      <c r="N22" s="966" t="n"/>
    </row>
    <row r="23" ht="19.5" customHeight="1" s="981">
      <c r="A23" s="652" t="inlineStr">
        <is>
          <t>📕 Kịch bản Khủng hoảng (Stress)</t>
        </is>
      </c>
      <c r="B23" s="1173" t="inlineStr">
        <is>
          <t>Biến động toàn cầu, tỷ giá +7%, VN-Index -30%, tín dụng siết</t>
        </is>
      </c>
      <c r="C23" s="965" t="n"/>
      <c r="D23" s="965" t="n"/>
      <c r="E23" s="965" t="n"/>
      <c r="F23" s="966" t="n"/>
      <c r="G23" s="653" t="inlineStr">
        <is>
          <t>-30% đến -45%</t>
        </is>
      </c>
      <c r="H23" s="1169" t="inlineStr">
        <is>
          <t>Thanh lý 50% danh mục, giữ VNM/FPT phòng thủ</t>
        </is>
      </c>
      <c r="I23" s="965" t="n"/>
      <c r="J23" s="965" t="n"/>
      <c r="K23" s="965" t="n"/>
      <c r="L23" s="965" t="n"/>
      <c r="M23" s="965" t="n"/>
      <c r="N23" s="966" t="n"/>
    </row>
  </sheetData>
  <mergeCells count="10">
    <mergeCell ref="B21:F21"/>
    <mergeCell ref="A1:N1"/>
    <mergeCell ref="H23:N23"/>
    <mergeCell ref="H22:N22"/>
    <mergeCell ref="A20:N20"/>
    <mergeCell ref="H21:N21"/>
    <mergeCell ref="B23:F23"/>
    <mergeCell ref="B22:F22"/>
    <mergeCell ref="A10:N10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1.33203125" customWidth="1" style="981" min="1" max="1"/>
    <col width="14" customWidth="1" style="981" min="2" max="2"/>
    <col width="19.5546875" customWidth="1" style="981" min="8" max="8"/>
    <col width="14" customWidth="1" style="981" min="9" max="9"/>
  </cols>
  <sheetData>
    <row r="1" ht="33.75" customHeight="1" s="981">
      <c r="A1" s="1175" t="inlineStr">
        <is>
          <t>? NGANH &amp; TY TRONG - Q2 2026 - BCTC Q1/2026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5" t="n"/>
      <c r="N1" s="965" t="n"/>
      <c r="O1" s="965" t="n"/>
      <c r="P1" s="966" t="n"/>
    </row>
    <row r="2" ht="15" customHeight="1" s="981">
      <c r="A2" s="1050" t="n"/>
      <c r="B2" s="1050" t="n"/>
      <c r="C2" s="1050" t="n"/>
      <c r="D2" s="1050" t="n"/>
      <c r="E2" s="1050" t="n"/>
      <c r="F2" s="1050" t="n"/>
      <c r="G2" s="1050" t="n"/>
      <c r="H2" s="1050" t="n"/>
      <c r="I2" s="1050" t="n"/>
      <c r="J2" s="1050" t="n"/>
      <c r="K2" s="1050" t="n"/>
      <c r="L2" s="1050" t="n"/>
      <c r="M2" s="1050" t="n"/>
      <c r="N2" s="1050" t="n"/>
      <c r="O2" s="1050" t="n"/>
      <c r="P2" s="1050" t="n"/>
    </row>
    <row r="3" ht="26.25" customHeight="1" s="981">
      <c r="A3" s="654" t="inlineStr">
        <is>
          <t>Ngành</t>
        </is>
      </c>
      <c r="B3" s="655" t="inlineStr">
        <is>
          <t>GT Hiện tại (đ)</t>
        </is>
      </c>
      <c r="C3" s="655" t="inlineStr">
        <is>
          <t>Tỷ trọng %</t>
        </is>
      </c>
      <c r="D3" s="655" t="inlineStr">
        <is>
          <t>Tỷ trọng
Mục tiêu %</t>
        </is>
      </c>
      <c r="E3" s="655" t="inlineStr">
        <is>
          <t>ROE Avg</t>
        </is>
      </c>
      <c r="F3" s="655" t="inlineStr">
        <is>
          <t>P/E Avg</t>
        </is>
      </c>
      <c r="G3" s="655" t="inlineStr">
        <is>
          <t>P/B Avg</t>
        </is>
      </c>
      <c r="H3" s="655" t="inlineStr">
        <is>
          <t>Đánh giá</t>
        </is>
      </c>
      <c r="I3" s="1050" t="n"/>
      <c r="J3" s="1050" t="n"/>
      <c r="K3" s="1050" t="n"/>
      <c r="L3" s="1050" t="n"/>
      <c r="M3" s="1050" t="n"/>
      <c r="N3" s="1050" t="n"/>
      <c r="O3" s="1050" t="n"/>
      <c r="P3" s="1050" t="n"/>
    </row>
    <row r="4" ht="26.25" customHeight="1" s="981">
      <c r="A4" s="656" t="inlineStr">
        <is>
          <t>Công Nghệ</t>
        </is>
      </c>
      <c r="B4" s="657" t="n">
        <v>14380000</v>
      </c>
      <c r="C4" s="658" t="n">
        <v>0.1445</v>
      </c>
      <c r="D4" s="609" t="n">
        <v>0.125</v>
      </c>
      <c r="E4" s="659" t="n">
        <v>0.2416</v>
      </c>
      <c r="F4" s="660" t="n">
        <v>16</v>
      </c>
      <c r="G4" s="660" t="n">
        <v>3.11</v>
      </c>
      <c r="H4" s="661" t="inlineStr">
        <is>
          <t>📌 Cần giảm tỷ trọng</t>
        </is>
      </c>
      <c r="I4" s="1050" t="n"/>
      <c r="J4" s="1050" t="n"/>
      <c r="K4" s="1050" t="n"/>
      <c r="L4" s="1050" t="n"/>
      <c r="M4" s="1050" t="n"/>
      <c r="N4" s="1050" t="n"/>
      <c r="O4" s="1050" t="n"/>
      <c r="P4" s="1050" t="n"/>
    </row>
    <row r="5" ht="13.5" customHeight="1" s="981">
      <c r="A5" s="656" t="inlineStr">
        <is>
          <t>Ngân hàng</t>
        </is>
      </c>
      <c r="B5" s="657" t="n">
        <v>27165000</v>
      </c>
      <c r="C5" s="658" t="n">
        <v>0.2731</v>
      </c>
      <c r="D5" s="609" t="n">
        <v>0.25</v>
      </c>
      <c r="E5" s="662" t="n">
        <v>0.2037</v>
      </c>
      <c r="F5" s="660" t="n">
        <v>10.1</v>
      </c>
      <c r="G5" s="660" t="n">
        <v>1.775</v>
      </c>
      <c r="H5" s="663" t="inlineStr">
        <is>
          <t>✅ Cân đối</t>
        </is>
      </c>
      <c r="I5" s="1050" t="n"/>
      <c r="J5" s="1050" t="n"/>
      <c r="K5" s="1050" t="n"/>
      <c r="L5" s="1050" t="n"/>
      <c r="M5" s="1050" t="n"/>
      <c r="N5" s="1050" t="n"/>
      <c r="O5" s="1050" t="n"/>
      <c r="P5" s="1050" t="n"/>
    </row>
    <row r="6" ht="26.25" customHeight="1" s="981">
      <c r="A6" s="656" t="inlineStr">
        <is>
          <t>Hạ tầng số</t>
        </is>
      </c>
      <c r="B6" s="657" t="n">
        <v>10008000</v>
      </c>
      <c r="C6" s="658" t="n">
        <v>0.1006</v>
      </c>
      <c r="D6" s="609" t="n">
        <v>0.125</v>
      </c>
      <c r="E6" s="659" t="n">
        <v>0.25</v>
      </c>
      <c r="F6" s="660" t="n">
        <v>16.42</v>
      </c>
      <c r="G6" s="660" t="n">
        <v>4.41</v>
      </c>
      <c r="H6" s="661" t="inlineStr">
        <is>
          <t>📌 Cần giảm tỷ trọng</t>
        </is>
      </c>
      <c r="I6" s="1050" t="n"/>
      <c r="J6" s="1050" t="n"/>
      <c r="K6" s="1050" t="n"/>
      <c r="L6" s="1050" t="n"/>
      <c r="M6" s="1050" t="n"/>
      <c r="N6" s="1050" t="n"/>
      <c r="O6" s="1050" t="n"/>
      <c r="P6" s="1050" t="n"/>
    </row>
    <row r="7" ht="13.5" customHeight="1" s="981">
      <c r="A7" s="664" t="inlineStr">
        <is>
          <t>Bán lẻ</t>
        </is>
      </c>
      <c r="B7" s="657" t="n">
        <v>8460000</v>
      </c>
      <c r="C7" s="658" t="n">
        <v>0.08500000000000001</v>
      </c>
      <c r="D7" s="609" t="n">
        <v>0.125</v>
      </c>
      <c r="E7" s="659" t="n">
        <v>0.22</v>
      </c>
      <c r="F7" s="660" t="n">
        <v>17.49</v>
      </c>
      <c r="G7" s="660" t="n">
        <v>3.48</v>
      </c>
      <c r="H7" s="663" t="inlineStr">
        <is>
          <t>✅ Cân đối</t>
        </is>
      </c>
      <c r="I7" s="1050" t="n"/>
      <c r="J7" s="1050" t="n"/>
      <c r="K7" s="1050" t="n"/>
      <c r="L7" s="1050" t="n"/>
      <c r="M7" s="1050" t="n"/>
      <c r="N7" s="1050" t="n"/>
      <c r="O7" s="1050" t="n"/>
      <c r="P7" s="1050" t="n"/>
    </row>
    <row r="8" ht="26.25" customHeight="1" s="981">
      <c r="A8" s="665" t="inlineStr">
        <is>
          <t>Thép &amp; công nghiệp</t>
        </is>
      </c>
      <c r="B8" s="657" t="n">
        <v>16710000</v>
      </c>
      <c r="C8" s="658" t="n">
        <v>0.168</v>
      </c>
      <c r="D8" s="609" t="n">
        <v>0.125</v>
      </c>
      <c r="E8" s="662" t="n">
        <v>0.14</v>
      </c>
      <c r="F8" s="660" t="n">
        <v>12</v>
      </c>
      <c r="G8" s="660" t="n">
        <v>1.61</v>
      </c>
      <c r="H8" s="661" t="inlineStr">
        <is>
          <t>🔼 Có thể tăng thêm</t>
        </is>
      </c>
      <c r="I8" s="1050" t="n"/>
      <c r="J8" s="1050" t="n"/>
      <c r="K8" s="1050" t="n"/>
      <c r="L8" s="1050" t="n"/>
      <c r="M8" s="1050" t="n"/>
      <c r="N8" s="1050" t="n"/>
      <c r="O8" s="1050" t="n"/>
      <c r="P8" s="1050" t="n"/>
    </row>
    <row r="9" ht="13.5" customHeight="1" s="981">
      <c r="A9" s="665" t="inlineStr">
        <is>
          <t>Tiêu dùng thiết yếu</t>
        </is>
      </c>
      <c r="B9" s="657" t="n">
        <v>12180000</v>
      </c>
      <c r="C9" s="658" t="n">
        <v>0.1224</v>
      </c>
      <c r="D9" s="609" t="n">
        <v>0.125</v>
      </c>
      <c r="E9" s="659" t="n">
        <v>0.2384</v>
      </c>
      <c r="F9" s="660" t="n">
        <v>15.22</v>
      </c>
      <c r="G9" s="660" t="n">
        <v>3.46</v>
      </c>
      <c r="H9" s="663" t="inlineStr">
        <is>
          <t>✅ Cân đối</t>
        </is>
      </c>
      <c r="I9" s="1050" t="n"/>
      <c r="J9" s="1050" t="n"/>
      <c r="K9" s="1050" t="n"/>
      <c r="L9" s="1050" t="n"/>
      <c r="M9" s="1050" t="n"/>
      <c r="N9" s="1050" t="n"/>
      <c r="O9" s="1050" t="n"/>
      <c r="P9" s="1050" t="n"/>
    </row>
    <row r="10" ht="13.5" customHeight="1" s="981">
      <c r="A10" s="656" t="inlineStr">
        <is>
          <t>Chứng khoán</t>
        </is>
      </c>
      <c r="B10" s="657" t="n">
        <v>18600000</v>
      </c>
      <c r="C10" s="658" t="n">
        <v>0.187</v>
      </c>
      <c r="D10" s="609" t="n">
        <v>0.1</v>
      </c>
      <c r="E10" s="666" t="n">
        <v>0.2885</v>
      </c>
      <c r="F10" s="660" t="n">
        <v>6</v>
      </c>
      <c r="G10" s="1050" t="n"/>
      <c r="H10" s="1050" t="n"/>
      <c r="I10" s="1050" t="n"/>
      <c r="J10" s="1050" t="n"/>
      <c r="K10" s="1050" t="n"/>
      <c r="L10" s="1050" t="n"/>
      <c r="M10" s="1050" t="n"/>
      <c r="N10" s="1050" t="n"/>
      <c r="O10" s="1050" t="n"/>
      <c r="P10" s="1050" t="n"/>
    </row>
    <row r="11" ht="13.5" customHeight="1" s="981">
      <c r="A11" s="235" t="inlineStr">
        <is>
          <t>TỔNG</t>
        </is>
      </c>
      <c r="B11" s="611" t="n">
        <v>107593000</v>
      </c>
      <c r="C11" s="611" t="n">
        <v>1</v>
      </c>
      <c r="D11" s="611" t="n"/>
      <c r="E11" s="1050" t="n"/>
      <c r="F11" s="1050" t="n"/>
      <c r="G11" s="1050" t="n"/>
      <c r="H11" s="1050" t="n"/>
      <c r="I11" s="1050" t="n"/>
      <c r="J11" s="1050" t="n"/>
      <c r="K11" s="1050" t="n"/>
      <c r="L11" s="1050" t="n"/>
      <c r="M11" s="1050" t="n"/>
      <c r="N11" s="1050" t="n"/>
      <c r="O11" s="1050" t="n"/>
      <c r="P11" s="1050" t="n"/>
    </row>
    <row r="12" ht="13.5" customHeight="1" s="981">
      <c r="A12" s="667" t="inlineStr">
        <is>
          <t>Ngành</t>
        </is>
      </c>
      <c r="B12" s="668" t="inlineStr">
        <is>
          <t>GT (đ)</t>
        </is>
      </c>
      <c r="C12" s="668" t="inlineStr">
        <is>
          <t>Tỷ trọng %</t>
        </is>
      </c>
      <c r="D12" s="668" t="inlineStr">
        <is>
          <t>ROE Avg</t>
        </is>
      </c>
      <c r="E12" s="1050" t="n"/>
      <c r="F12" s="1050" t="n"/>
      <c r="G12" s="1050" t="n"/>
      <c r="H12" s="1050" t="n"/>
      <c r="I12" s="1050" t="n"/>
      <c r="J12" s="1050" t="n"/>
      <c r="K12" s="1050" t="n"/>
      <c r="L12" s="1050" t="n"/>
      <c r="M12" s="1050" t="n"/>
      <c r="N12" s="1050" t="n"/>
      <c r="O12" s="1050" t="n"/>
      <c r="P12" s="1050" t="n"/>
    </row>
    <row r="13" ht="13.5" customHeight="1" s="981">
      <c r="A13" s="669" t="inlineStr">
        <is>
          <t>Công Nghệ</t>
        </is>
      </c>
      <c r="B13" s="670" t="n"/>
      <c r="C13" s="671" t="n"/>
      <c r="D13" s="671" t="n"/>
      <c r="E13" s="1050" t="n"/>
      <c r="F13" s="1050" t="n"/>
      <c r="G13" s="1050" t="n"/>
      <c r="H13" s="1050" t="n"/>
      <c r="I13" s="1050" t="n"/>
      <c r="J13" s="1050" t="n"/>
      <c r="K13" s="1050" t="n"/>
      <c r="L13" s="1050" t="n"/>
      <c r="M13" s="1050" t="n"/>
      <c r="N13" s="1050" t="n"/>
      <c r="O13" s="1050" t="n"/>
      <c r="P13" s="1050" t="n"/>
    </row>
    <row r="14" ht="13.5" customHeight="1" s="981">
      <c r="A14" s="672" t="inlineStr">
        <is>
          <t>Ngân hàng</t>
        </is>
      </c>
      <c r="B14" s="673" t="n"/>
      <c r="C14" s="674" t="n"/>
      <c r="D14" s="674" t="n"/>
      <c r="E14" s="1050" t="n"/>
      <c r="F14" s="1050" t="n"/>
      <c r="G14" s="1050" t="n"/>
      <c r="H14" s="1050" t="n"/>
      <c r="I14" s="1050" t="n"/>
      <c r="J14" s="1050" t="n"/>
      <c r="K14" s="1050" t="n"/>
      <c r="L14" s="1050" t="n"/>
      <c r="M14" s="1050" t="n"/>
      <c r="N14" s="1050" t="n"/>
      <c r="O14" s="1050" t="n"/>
      <c r="P14" s="1050" t="n"/>
    </row>
    <row r="15" ht="13.5" customHeight="1" s="981">
      <c r="A15" s="669" t="inlineStr">
        <is>
          <t>Hạ tầng số</t>
        </is>
      </c>
      <c r="B15" s="670" t="n"/>
      <c r="C15" s="671" t="n"/>
      <c r="D15" s="671" t="n"/>
      <c r="E15" s="1050" t="n"/>
      <c r="F15" s="1050" t="n"/>
      <c r="G15" s="1050" t="n"/>
      <c r="H15" s="1050" t="n"/>
      <c r="I15" s="1050" t="n"/>
      <c r="J15" s="1050" t="n"/>
      <c r="K15" s="1050" t="n"/>
      <c r="L15" s="1050" t="n"/>
      <c r="M15" s="1050" t="n"/>
      <c r="N15" s="1050" t="n"/>
      <c r="O15" s="1050" t="n"/>
      <c r="P15" s="1050" t="n"/>
    </row>
    <row r="16" ht="13.5" customHeight="1" s="981">
      <c r="A16" s="672" t="inlineStr">
        <is>
          <t>Bán lẻ</t>
        </is>
      </c>
      <c r="B16" s="673" t="n"/>
      <c r="C16" s="674" t="n"/>
      <c r="D16" s="674" t="n"/>
      <c r="E16" s="1050" t="n"/>
      <c r="F16" s="1050" t="n"/>
      <c r="G16" s="1050" t="n"/>
      <c r="H16" s="1050" t="n"/>
      <c r="I16" s="1050" t="n"/>
      <c r="J16" s="1050" t="n"/>
      <c r="K16" s="1050" t="n"/>
      <c r="L16" s="1050" t="n"/>
      <c r="M16" s="1050" t="n"/>
      <c r="N16" s="1050" t="n"/>
      <c r="O16" s="1050" t="n"/>
      <c r="P16" s="1050" t="n"/>
    </row>
    <row r="17" ht="13.5" customHeight="1" s="981">
      <c r="A17" s="669" t="inlineStr">
        <is>
          <t>Thép &amp; công nghiệp</t>
        </is>
      </c>
      <c r="B17" s="670" t="n"/>
      <c r="C17" s="671" t="n"/>
      <c r="D17" s="671" t="n"/>
      <c r="E17" s="1050" t="n"/>
      <c r="F17" s="1050" t="n"/>
      <c r="G17" s="1050" t="n"/>
      <c r="H17" s="1050" t="n"/>
      <c r="I17" s="1050" t="n"/>
      <c r="J17" s="1050" t="n"/>
      <c r="K17" s="1050" t="n"/>
      <c r="L17" s="1050" t="n"/>
      <c r="M17" s="1050" t="n"/>
      <c r="N17" s="1050" t="n"/>
      <c r="O17" s="1050" t="n"/>
      <c r="P17" s="1050" t="n"/>
    </row>
    <row r="18" ht="13.5" customHeight="1" s="981">
      <c r="A18" s="672" t="inlineStr">
        <is>
          <t>Tiêu dùng thiết yếu</t>
        </is>
      </c>
      <c r="B18" s="673" t="n"/>
      <c r="C18" s="674" t="n"/>
      <c r="D18" s="674" t="n"/>
      <c r="E18" s="1050" t="n"/>
      <c r="F18" s="1050" t="n"/>
      <c r="G18" s="1050" t="n"/>
      <c r="H18" s="1050" t="n"/>
      <c r="I18" s="1050" t="n"/>
      <c r="J18" s="1050" t="n"/>
      <c r="K18" s="1050" t="n"/>
      <c r="L18" s="1050" t="n"/>
      <c r="M18" s="1050" t="n"/>
      <c r="N18" s="1050" t="n"/>
      <c r="O18" s="1050" t="n"/>
      <c r="P18" s="1050" t="n"/>
    </row>
    <row r="19" ht="14.25" customHeight="1" s="981">
      <c r="A19" s="669" t="inlineStr">
        <is>
          <t>Chứng khoán</t>
        </is>
      </c>
      <c r="B19" s="606" t="n"/>
      <c r="C19" s="606" t="n"/>
      <c r="D19" s="606" t="n"/>
      <c r="E19" s="1050" t="n"/>
      <c r="F19" s="1050" t="n"/>
      <c r="G19" s="1050" t="n"/>
      <c r="H19" s="1050" t="n"/>
      <c r="I19" s="1050" t="n"/>
      <c r="J19" s="1050" t="n"/>
      <c r="K19" s="1050" t="n"/>
      <c r="L19" s="1050" t="n"/>
      <c r="M19" s="1050" t="n"/>
      <c r="N19" s="1050" t="n"/>
      <c r="O19" s="1050" t="n"/>
      <c r="P19" s="1050" t="n"/>
    </row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8" customWidth="1" style="981" min="1" max="1"/>
    <col width="14" customWidth="1" style="981" min="2" max="2"/>
  </cols>
  <sheetData>
    <row r="1" ht="30" customHeight="1" s="981">
      <c r="A1" s="1179" t="inlineStr">
        <is>
          <t>⚡ HƯỚNG DẪN CÁCH 1 — TỰ ĐỘNG HÓA 100% BẰNG POWER QUERY + XLOOKUP</t>
        </is>
      </c>
      <c r="B1" s="965" t="n"/>
      <c r="C1" s="965" t="n"/>
      <c r="D1" s="965" t="n"/>
      <c r="E1" s="965" t="n"/>
      <c r="F1" s="965" t="n"/>
      <c r="G1" s="965" t="n"/>
      <c r="H1" s="966" t="n"/>
    </row>
    <row r="2" ht="30" customHeight="1" s="981">
      <c r="A2" s="1181" t="inlineStr">
        <is>
          <t>Mỗi sáng mở file → Power Query tự kéo giá từ web → XLOOKUP hút giá vào HỆ THỐNG QUẢN LÝ. Không cần Macro, không nhập tay.</t>
        </is>
      </c>
      <c r="B2" s="965" t="n"/>
      <c r="C2" s="965" t="n"/>
      <c r="D2" s="965" t="n"/>
      <c r="E2" s="965" t="n"/>
      <c r="F2" s="965" t="n"/>
      <c r="G2" s="965" t="n"/>
      <c r="H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</row>
    <row r="4" ht="15" customHeight="1" s="981">
      <c r="A4" s="1159" t="inlineStr">
        <is>
          <t>BƯỚC 1: TẠO POWER QUERY KÉO DỮ LIỆU TỪ YAHOO FINANCE</t>
        </is>
      </c>
      <c r="B4" s="965" t="n"/>
      <c r="C4" s="965" t="n"/>
      <c r="D4" s="965" t="n"/>
      <c r="E4" s="965" t="n"/>
      <c r="F4" s="965" t="n"/>
      <c r="G4" s="965" t="n"/>
      <c r="H4" s="966" t="n"/>
    </row>
    <row r="5" ht="24.75" customHeight="1" s="981">
      <c r="A5" s="235" t="inlineStr">
        <is>
          <t>1.1</t>
        </is>
      </c>
      <c r="B5" s="1176" t="inlineStr">
        <is>
          <t>Mở Excel desktop → Tab Data → Get Data → From Web (hoặc From Other Sources → From Web)</t>
        </is>
      </c>
      <c r="C5" s="965" t="n"/>
      <c r="D5" s="965" t="n"/>
      <c r="E5" s="965" t="n"/>
      <c r="F5" s="965" t="n"/>
      <c r="G5" s="965" t="n"/>
      <c r="H5" s="966" t="n"/>
    </row>
    <row r="6" ht="24.75" customHeight="1" s="981">
      <c r="A6" s="235" t="inlineStr">
        <is>
          <t>1.2</t>
        </is>
      </c>
      <c r="B6" s="1176" t="inlineStr">
        <is>
          <t>Dán 1 trong 2 URL CSV này (chọn 1 mã làm bài test trước):</t>
        </is>
      </c>
      <c r="C6" s="965" t="n"/>
      <c r="D6" s="965" t="n"/>
      <c r="E6" s="965" t="n"/>
      <c r="F6" s="965" t="n"/>
      <c r="G6" s="965" t="n"/>
      <c r="H6" s="966" t="n"/>
    </row>
    <row r="7" ht="24.75" customHeight="1" s="981">
      <c r="A7" s="1050" t="n"/>
      <c r="B7" s="1176" t="inlineStr">
        <is>
          <t>• FPT:  https://query1.finance.yahoo.com/v7/finance/download/FPT.HM?period1=1577836800&amp;period2=9999999999&amp;interval=1d&amp;events=history</t>
        </is>
      </c>
      <c r="C7" s="965" t="n"/>
      <c r="D7" s="965" t="n"/>
      <c r="E7" s="965" t="n"/>
      <c r="F7" s="965" t="n"/>
      <c r="G7" s="965" t="n"/>
      <c r="H7" s="966" t="n"/>
    </row>
    <row r="8" ht="24.75" customHeight="1" s="981">
      <c r="A8" s="1050" t="n"/>
      <c r="B8" s="1176" t="inlineStr">
        <is>
          <t>• MBB:  https://query1.finance.yahoo.com/v7/finance/download/MBB.HM?period1=1577836800&amp;period2=9999999999&amp;interval=1d&amp;events=history</t>
        </is>
      </c>
      <c r="C8" s="965" t="n"/>
      <c r="D8" s="965" t="n"/>
      <c r="E8" s="965" t="n"/>
      <c r="F8" s="965" t="n"/>
      <c r="G8" s="965" t="n"/>
      <c r="H8" s="966" t="n"/>
    </row>
    <row r="9" ht="24.75" customHeight="1" s="981">
      <c r="A9" s="235" t="inlineStr">
        <is>
          <t>1.3</t>
        </is>
      </c>
      <c r="B9" s="1176" t="inlineStr">
        <is>
          <t>Nhấn OK → Power Query Editor hiện ra → Click Transform Data</t>
        </is>
      </c>
      <c r="C9" s="965" t="n"/>
      <c r="D9" s="965" t="n"/>
      <c r="E9" s="965" t="n"/>
      <c r="F9" s="965" t="n"/>
      <c r="G9" s="965" t="n"/>
      <c r="H9" s="966" t="n"/>
    </row>
    <row r="10" ht="24.75" customHeight="1" s="981">
      <c r="A10" s="235" t="inlineStr">
        <is>
          <t>1.4</t>
        </is>
      </c>
      <c r="B10" s="1176" t="inlineStr">
        <is>
          <t>Trong Editor: Đổi tên Query thành "PriceFeed_FPT" (góc phải) → Close &amp; Load To...</t>
        </is>
      </c>
      <c r="C10" s="965" t="n"/>
      <c r="D10" s="965" t="n"/>
      <c r="E10" s="965" t="n"/>
      <c r="F10" s="965" t="n"/>
      <c r="G10" s="965" t="n"/>
      <c r="H10" s="966" t="n"/>
    </row>
    <row r="11" ht="24.75" customHeight="1" s="981">
      <c r="A11" s="235" t="inlineStr">
        <is>
          <t>1.5</t>
        </is>
      </c>
      <c r="B11" s="1176" t="inlineStr">
        <is>
          <t>Chọn "Only Create Connection" + tick "Add this data to the Data Model"</t>
        </is>
      </c>
      <c r="C11" s="965" t="n"/>
      <c r="D11" s="965" t="n"/>
      <c r="E11" s="965" t="n"/>
      <c r="F11" s="965" t="n"/>
      <c r="G11" s="965" t="n"/>
      <c r="H11" s="966" t="n"/>
    </row>
    <row r="12" ht="24.75" customHeight="1" s="981">
      <c r="A12" s="235" t="inlineStr">
        <is>
          <t>1.6</t>
        </is>
      </c>
      <c r="B12" s="1176" t="inlineStr">
        <is>
          <t>Lặp Bước 1.2-1.5 cho 8 mã: FPT.HM, MBB.HM, VCB.HM, CTR.HM, MWG.HM, HPG.HM, VNM.HM, VIX.HM</t>
        </is>
      </c>
      <c r="C12" s="965" t="n"/>
      <c r="D12" s="965" t="n"/>
      <c r="E12" s="965" t="n"/>
      <c r="F12" s="965" t="n"/>
      <c r="G12" s="965" t="n"/>
      <c r="H12" s="966" t="n"/>
    </row>
    <row r="13" ht="24.75" customHeight="1" s="981">
      <c r="A13" s="235" t="inlineStr">
        <is>
          <t>1.7</t>
        </is>
      </c>
      <c r="B13" s="1176" t="inlineStr">
        <is>
          <t>Tab Data → Refresh All → Tick "Refresh data when opening the file" trong Properties từng query</t>
        </is>
      </c>
      <c r="C13" s="965" t="n"/>
      <c r="D13" s="965" t="n"/>
      <c r="E13" s="965" t="n"/>
      <c r="F13" s="965" t="n"/>
      <c r="G13" s="965" t="n"/>
      <c r="H13" s="966" t="n"/>
    </row>
    <row r="14" ht="15" customHeight="1" s="981">
      <c r="A14" s="1159" t="inlineStr">
        <is>
          <t>BƯỚC 2: TỔNG HỢP 8 QUERY THÀNH 1 BẢNG NGUỒN DUY NHẤT</t>
        </is>
      </c>
      <c r="B14" s="965" t="n"/>
      <c r="C14" s="965" t="n"/>
      <c r="D14" s="965" t="n"/>
      <c r="E14" s="965" t="n"/>
      <c r="F14" s="965" t="n"/>
      <c r="G14" s="965" t="n"/>
      <c r="H14" s="966" t="n"/>
    </row>
    <row r="15" ht="21.75" customHeight="1" s="981">
      <c r="A15" s="235" t="inlineStr">
        <is>
          <t>2.1</t>
        </is>
      </c>
      <c r="B15" s="1176" t="inlineStr">
        <is>
          <t>Tab Data → Get Data → Combine Queries → Append → Three or more tables</t>
        </is>
      </c>
      <c r="C15" s="965" t="n"/>
      <c r="D15" s="965" t="n"/>
      <c r="E15" s="965" t="n"/>
      <c r="F15" s="965" t="n"/>
      <c r="G15" s="965" t="n"/>
      <c r="H15" s="966" t="n"/>
    </row>
    <row r="16" ht="21.75" customHeight="1" s="981">
      <c r="A16" s="235" t="inlineStr">
        <is>
          <t>2.2</t>
        </is>
      </c>
      <c r="B16" s="1176" t="inlineStr">
        <is>
          <t>Chọn cả 8 query PriceFeed_* → OK</t>
        </is>
      </c>
      <c r="C16" s="965" t="n"/>
      <c r="D16" s="965" t="n"/>
      <c r="E16" s="965" t="n"/>
      <c r="F16" s="965" t="n"/>
      <c r="G16" s="965" t="n"/>
      <c r="H16" s="966" t="n"/>
    </row>
    <row r="17" ht="21.75" customHeight="1" s="981">
      <c r="A17" s="235" t="inlineStr">
        <is>
          <t>2.3</t>
        </is>
      </c>
      <c r="B17" s="1176" t="inlineStr">
        <is>
          <t>Trong Editor: Add Column → Custom Column → Name = "Mã CP", Formula = Text.Replace([Source.Name], ".HM", "")</t>
        </is>
      </c>
      <c r="C17" s="965" t="n"/>
      <c r="D17" s="965" t="n"/>
      <c r="E17" s="965" t="n"/>
      <c r="F17" s="965" t="n"/>
      <c r="G17" s="965" t="n"/>
      <c r="H17" s="966" t="n"/>
    </row>
    <row r="18" ht="21.75" customHeight="1" s="981">
      <c r="A18" s="235" t="inlineStr">
        <is>
          <t>2.4</t>
        </is>
      </c>
      <c r="B18" s="1176" t="inlineStr">
        <is>
          <t>Filter cột Date → giữ "is the latest date" (= chỉ lấy giá mới nhất mỗi mã)</t>
        </is>
      </c>
      <c r="C18" s="965" t="n"/>
      <c r="D18" s="965" t="n"/>
      <c r="E18" s="965" t="n"/>
      <c r="F18" s="965" t="n"/>
      <c r="G18" s="965" t="n"/>
      <c r="H18" s="966" t="n"/>
    </row>
    <row r="19" ht="21.75" customHeight="1" s="981">
      <c r="A19" s="235" t="inlineStr">
        <is>
          <t>2.5</t>
        </is>
      </c>
      <c r="B19" s="1176" t="inlineStr">
        <is>
          <t>Đổi tên query thành "PriceFeed_All" → Close &amp; Load → Table</t>
        </is>
      </c>
      <c r="C19" s="965" t="n"/>
      <c r="D19" s="965" t="n"/>
      <c r="E19" s="965" t="n"/>
      <c r="F19" s="965" t="n"/>
      <c r="G19" s="965" t="n"/>
      <c r="H19" s="966" t="n"/>
    </row>
    <row r="20" ht="21.75" customHeight="1" s="981">
      <c r="A20" s="235" t="inlineStr">
        <is>
          <t>2.6</t>
        </is>
      </c>
      <c r="B20" s="1176" t="inlineStr">
        <is>
          <t>Power Query sẽ xả 1 bảng có 8 dòng, cột "Mã CP" và "Close" (giá đóng cửa)</t>
        </is>
      </c>
      <c r="C20" s="965" t="n"/>
      <c r="D20" s="965" t="n"/>
      <c r="E20" s="965" t="n"/>
      <c r="F20" s="965" t="n"/>
      <c r="G20" s="965" t="n"/>
      <c r="H20" s="966" t="n"/>
    </row>
    <row r="21" ht="15" customHeight="1" s="981">
      <c r="A21" s="1050" t="n"/>
      <c r="B21" s="1050" t="n"/>
      <c r="C21" s="1050" t="n"/>
      <c r="D21" s="1050" t="n"/>
      <c r="E21" s="1050" t="n"/>
      <c r="F21" s="1050" t="n"/>
      <c r="G21" s="1050" t="n"/>
      <c r="H21" s="1050" t="n"/>
    </row>
    <row r="22" ht="15" customHeight="1" s="981">
      <c r="A22" s="1159" t="inlineStr">
        <is>
          <t>BƯỚC 3: ÁP XLOOKUP VÀO HỆ THỐNG QUẢN LÝ (CỘT G THỊ GIÁ)</t>
        </is>
      </c>
      <c r="B22" s="965" t="n"/>
      <c r="C22" s="965" t="n"/>
      <c r="D22" s="965" t="n"/>
      <c r="E22" s="965" t="n"/>
      <c r="F22" s="965" t="n"/>
      <c r="G22" s="965" t="n"/>
      <c r="H22" s="966" t="n"/>
    </row>
    <row r="23" ht="15" customHeight="1" s="981">
      <c r="A23" s="1079" t="inlineStr">
        <is>
          <t>CỘT G5:G12 thay đổi từ giá nhập tay sang công thức:</t>
        </is>
      </c>
      <c r="B23" s="965" t="n"/>
      <c r="C23" s="965" t="n"/>
      <c r="D23" s="965" t="n"/>
      <c r="E23" s="965" t="n"/>
      <c r="F23" s="965" t="n"/>
      <c r="G23" s="965" t="n"/>
      <c r="H23" s="966" t="n"/>
    </row>
    <row r="24" ht="21.75" customHeight="1" s="981">
      <c r="A24" s="1183" t="inlineStr">
        <is>
          <t xml:space="preserve"> =IFERROR(INDEX(PriceFeed_All[Close],MATCH(A5,PriceFeed_All[Mã CP],0)),"Lỗi")</t>
        </is>
      </c>
      <c r="B24" s="965" t="n"/>
      <c r="C24" s="965" t="n"/>
      <c r="D24" s="965" t="n"/>
      <c r="E24" s="965" t="n"/>
      <c r="F24" s="965" t="n"/>
      <c r="G24" s="965" t="n"/>
      <c r="H24" s="966" t="n"/>
    </row>
    <row r="25" ht="15" customHeight="1" s="981">
      <c r="A25" s="1184" t="inlineStr">
        <is>
          <t>Kéo công thức xuống cho cả 8 dòng (FPT → VIX). Khi Power Query refresh, giá tự cập nhật.</t>
        </is>
      </c>
      <c r="B25" s="965" t="n"/>
      <c r="C25" s="965" t="n"/>
      <c r="D25" s="965" t="n"/>
      <c r="E25" s="965" t="n"/>
      <c r="F25" s="965" t="n"/>
      <c r="G25" s="965" t="n"/>
      <c r="H25" s="966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</row>
    <row r="27" ht="15" customHeight="1" s="981">
      <c r="A27" s="1159" t="inlineStr">
        <is>
          <t>⚠️ LƯU Ý QUAN TRỌNG</t>
        </is>
      </c>
      <c r="B27" s="965" t="n"/>
      <c r="C27" s="965" t="n"/>
      <c r="D27" s="965" t="n"/>
      <c r="E27" s="965" t="n"/>
      <c r="F27" s="965" t="n"/>
      <c r="G27" s="965" t="n"/>
      <c r="H27" s="966" t="n"/>
    </row>
    <row r="28" ht="31.5" customHeight="1" s="981">
      <c r="A28" s="1176" t="inlineStr">
        <is>
          <t>• Yahoo Finance có thể CHẶN download ẩn danh — nếu lỗi, dùng Vietstock CSV: https://api-finfo.vndirect.com.vn/v4/stock_prices?symbols=FPT,MBB,VCB,CTR,MWG,HPG,VNM,VIX</t>
        </is>
      </c>
      <c r="B28" s="965" t="n"/>
      <c r="C28" s="965" t="n"/>
      <c r="D28" s="965" t="n"/>
      <c r="E28" s="965" t="n"/>
      <c r="F28" s="965" t="n"/>
      <c r="G28" s="965" t="n"/>
      <c r="H28" s="966" t="n"/>
    </row>
    <row r="29" ht="31.5" customHeight="1" s="981">
      <c r="A29" s="1176" t="inlineStr">
        <is>
          <t>• Khi setup xong, Cách 1 và Cách 2 KHÔNG ĐƯỢC dùng đồng thời. Phải chọn 1: hoặc XLOOKUP tự động (Cách 1) hoặc Macro CapNhatGia (Cách 2). Nếu dùng cả 2 → xung đột.</t>
        </is>
      </c>
      <c r="B29" s="965" t="n"/>
      <c r="C29" s="965" t="n"/>
      <c r="D29" s="965" t="n"/>
      <c r="E29" s="965" t="n"/>
      <c r="F29" s="965" t="n"/>
      <c r="G29" s="965" t="n"/>
      <c r="H29" s="966" t="n"/>
    </row>
    <row r="30" ht="31.5" customHeight="1" s="981">
      <c r="A30" s="1176" t="inlineStr">
        <is>
          <t>• Để DỪNG Cách 1 quay lại Cách 2: xóa công thức XLOOKUP ở cột G của HỆ THỐNG QUẢN LÝ, đổi lại thành số (paste values), rồi chạy Macro như cũ.</t>
        </is>
      </c>
      <c r="B30" s="965" t="n"/>
      <c r="C30" s="965" t="n"/>
      <c r="D30" s="965" t="n"/>
      <c r="E30" s="965" t="n"/>
      <c r="F30" s="965" t="n"/>
      <c r="G30" s="965" t="n"/>
      <c r="H30" s="966" t="n"/>
    </row>
    <row r="31" ht="31.5" customHeight="1" s="981">
      <c r="A31" s="1176" t="inlineStr">
        <is>
          <t>• Power Query chỉ chạy được trên Excel desktop (Windows/Mac). KHÔNG chạy trên Excel Online hay Google Sheets.</t>
        </is>
      </c>
      <c r="B31" s="965" t="n"/>
      <c r="C31" s="965" t="n"/>
      <c r="D31" s="965" t="n"/>
      <c r="E31" s="965" t="n"/>
      <c r="F31" s="965" t="n"/>
      <c r="G31" s="965" t="n"/>
      <c r="H31" s="966" t="n"/>
    </row>
    <row r="32" ht="31.5" customHeight="1" s="981">
      <c r="A32" s="1176" t="inlineStr">
        <is>
          <t>• Token kết nối Yahoo Finance đôi khi hết hạn → khi refresh báo lỗi 401, vào tab Data → Connections → đổi URL với period2 mới.</t>
        </is>
      </c>
      <c r="B32" s="965" t="n"/>
      <c r="C32" s="965" t="n"/>
      <c r="D32" s="965" t="n"/>
      <c r="E32" s="965" t="n"/>
      <c r="F32" s="965" t="n"/>
      <c r="G32" s="965" t="n"/>
      <c r="H32" s="966" t="n"/>
    </row>
    <row r="33" ht="15" customHeight="1" s="981">
      <c r="A33" s="1050" t="n"/>
      <c r="B33" s="1050" t="n"/>
      <c r="C33" s="1050" t="n"/>
      <c r="D33" s="1050" t="n"/>
      <c r="E33" s="1050" t="n"/>
      <c r="F33" s="1050" t="n"/>
      <c r="G33" s="1050" t="n"/>
      <c r="H33" s="1050" t="n"/>
    </row>
    <row r="34" ht="15" customHeight="1" s="981">
      <c r="A34" s="1159" t="inlineStr">
        <is>
          <t>⚖️ SO SÁNH CÁCH 1 VS CÁCH 2 (CHỌN 1)</t>
        </is>
      </c>
      <c r="B34" s="965" t="n"/>
      <c r="C34" s="965" t="n"/>
      <c r="D34" s="965" t="n"/>
      <c r="E34" s="965" t="n"/>
      <c r="F34" s="965" t="n"/>
      <c r="G34" s="965" t="n"/>
      <c r="H34" s="966" t="n"/>
    </row>
    <row r="35" ht="15" customHeight="1" s="981">
      <c r="A35" s="1182" t="inlineStr">
        <is>
          <t>Tiêu chí</t>
        </is>
      </c>
      <c r="B35" s="1182" t="inlineStr">
        <is>
          <t>CÁCH 1 (Power Query)</t>
        </is>
      </c>
      <c r="C35" s="965" t="n"/>
      <c r="D35" s="966" t="n"/>
      <c r="E35" s="1050" t="n"/>
      <c r="F35" s="965" t="n"/>
      <c r="G35" s="965" t="n"/>
      <c r="H35" s="966" t="n"/>
    </row>
    <row r="36" ht="27.75" customHeight="1" s="981">
      <c r="A36" s="1102" t="inlineStr">
        <is>
          <t>Mức tự động</t>
        </is>
      </c>
      <c r="B36" s="1176" t="inlineStr">
        <is>
          <t>Cao — refresh khi mở file</t>
        </is>
      </c>
      <c r="C36" s="965" t="n"/>
      <c r="D36" s="966" t="n"/>
      <c r="E36" s="1176" t="inlineStr">
        <is>
          <t>Thấp — phải nhập + bấm nút</t>
        </is>
      </c>
      <c r="F36" s="965" t="n"/>
      <c r="G36" s="965" t="n"/>
      <c r="H36" s="966" t="n"/>
    </row>
    <row r="37" ht="27.75" customHeight="1" s="981">
      <c r="A37" s="1102" t="inlineStr">
        <is>
          <t>Tốc độ chạy</t>
        </is>
      </c>
      <c r="B37" s="1176" t="inlineStr">
        <is>
          <t>5-30 giây mỗi lần refresh</t>
        </is>
      </c>
      <c r="C37" s="965" t="n"/>
      <c r="D37" s="966" t="n"/>
      <c r="E37" s="1176" t="inlineStr">
        <is>
          <t>Tức thì</t>
        </is>
      </c>
      <c r="F37" s="965" t="n"/>
      <c r="G37" s="965" t="n"/>
      <c r="H37" s="966" t="n"/>
    </row>
    <row r="38" ht="27.75" customHeight="1" s="981">
      <c r="A38" s="1102" t="inlineStr">
        <is>
          <t>Phụ thuộc internet</t>
        </is>
      </c>
      <c r="B38" s="1176" t="inlineStr">
        <is>
          <t>CÓ — cần kết nối Yahoo/Vietstock</t>
        </is>
      </c>
      <c r="C38" s="965" t="n"/>
      <c r="D38" s="966" t="n"/>
      <c r="E38" s="1176" t="inlineStr">
        <is>
          <t>KHÔNG — chạy offline</t>
        </is>
      </c>
      <c r="F38" s="965" t="n"/>
      <c r="G38" s="965" t="n"/>
      <c r="H38" s="966" t="n"/>
    </row>
    <row r="39" ht="27.75" customHeight="1" s="981">
      <c r="A39" s="1102" t="inlineStr">
        <is>
          <t>Rủi ro lỗi</t>
        </is>
      </c>
      <c r="B39" s="1176" t="inlineStr">
        <is>
          <t>API có thể đổi → query gãy</t>
        </is>
      </c>
      <c r="C39" s="965" t="n"/>
      <c r="D39" s="966" t="n"/>
      <c r="E39" s="1176" t="inlineStr">
        <is>
          <t>Thấp — chỉ phụ thuộc nhập đúng</t>
        </is>
      </c>
      <c r="F39" s="965" t="n"/>
      <c r="G39" s="965" t="n"/>
      <c r="H39" s="966" t="n"/>
    </row>
    <row r="40" ht="27.75" customHeight="1" s="981">
      <c r="A40" s="1102" t="inlineStr">
        <is>
          <t>Phù hợp với</t>
        </is>
      </c>
      <c r="B40" s="1176" t="inlineStr">
        <is>
          <t>Theo dõi định kỳ (&gt;1 lần/ngày)</t>
        </is>
      </c>
      <c r="C40" s="965" t="n"/>
      <c r="D40" s="966" t="n"/>
      <c r="E40" s="1176" t="inlineStr">
        <is>
          <t>Quản lý chiến lược (1 lần/ngày)</t>
        </is>
      </c>
      <c r="F40" s="965" t="n"/>
      <c r="G40" s="965" t="n"/>
      <c r="H40" s="966" t="n"/>
    </row>
    <row r="41" ht="27.75" customHeight="1" s="981">
      <c r="A41" s="1102" t="inlineStr">
        <is>
          <t>Khuyến nghị Sói</t>
        </is>
      </c>
      <c r="B41" s="1176" t="inlineStr">
        <is>
          <t>Nếu cần dashboard live</t>
        </is>
      </c>
      <c r="C41" s="965" t="n"/>
      <c r="D41" s="966" t="n"/>
      <c r="E41" s="1176" t="inlineStr">
        <is>
          <t>Nếu chỉ kiểm tra portfolio cuối ngày</t>
        </is>
      </c>
      <c r="F41" s="965" t="n"/>
      <c r="G41" s="965" t="n"/>
      <c r="H41" s="966" t="n"/>
    </row>
    <row r="42" ht="15" customHeight="1" s="981">
      <c r="A42" s="1050" t="n"/>
      <c r="B42" s="1050" t="n"/>
      <c r="C42" s="1050" t="n"/>
      <c r="D42" s="1050" t="n"/>
      <c r="E42" s="1050" t="n"/>
      <c r="F42" s="1050" t="n"/>
      <c r="G42" s="1050" t="n"/>
      <c r="H42" s="1050" t="n"/>
    </row>
    <row r="43" ht="15" customHeight="1" s="981">
      <c r="A43" s="1050" t="n"/>
      <c r="B43" s="1050" t="n"/>
      <c r="C43" s="1050" t="n"/>
      <c r="D43" s="1050" t="n"/>
      <c r="E43" s="1050" t="n"/>
      <c r="F43" s="1050" t="n"/>
      <c r="G43" s="1050" t="n"/>
      <c r="H43" s="1050" t="n"/>
    </row>
    <row r="44" ht="15" customHeight="1" s="981">
      <c r="A44" s="1159" t="inlineStr">
        <is>
          <t>🚀 BONUS: M-CODE COMPLETE (CHỈ CẦN PASTE 1 LẦN)</t>
        </is>
      </c>
      <c r="B44" s="965" t="n"/>
      <c r="C44" s="965" t="n"/>
      <c r="D44" s="965" t="n"/>
      <c r="E44" s="965" t="n"/>
      <c r="F44" s="965" t="n"/>
      <c r="G44" s="965" t="n"/>
      <c r="H44" s="966" t="n"/>
    </row>
    <row r="45" ht="13.5" customHeight="1" s="981">
      <c r="A45" s="1180" t="inlineStr">
        <is>
          <t>Thay vì làm Bước 1.1-2.6 thủ công cho 8 mã, bạn có thể paste M-code dưới đây:</t>
        </is>
      </c>
      <c r="B45" s="965" t="n"/>
      <c r="C45" s="965" t="n"/>
      <c r="D45" s="965" t="n"/>
      <c r="E45" s="965" t="n"/>
      <c r="F45" s="965" t="n"/>
      <c r="G45" s="965" t="n"/>
      <c r="H45" s="966" t="n"/>
    </row>
    <row r="46" ht="13.5" customHeight="1" s="981">
      <c r="A46" s="1180" t="inlineStr">
        <is>
          <t>1. Excel → Tab Data → Get Data → From Other Sources → Blank Query</t>
        </is>
      </c>
      <c r="B46" s="965" t="n"/>
      <c r="C46" s="965" t="n"/>
      <c r="D46" s="965" t="n"/>
      <c r="E46" s="965" t="n"/>
      <c r="F46" s="965" t="n"/>
      <c r="G46" s="965" t="n"/>
      <c r="H46" s="966" t="n"/>
    </row>
    <row r="47" ht="13.5" customHeight="1" s="981">
      <c r="A47" s="1180" t="inlineStr">
        <is>
          <t>2. Trong Power Query Editor: View → Advanced Editor</t>
        </is>
      </c>
      <c r="B47" s="965" t="n"/>
      <c r="C47" s="965" t="n"/>
      <c r="D47" s="965" t="n"/>
      <c r="E47" s="965" t="n"/>
      <c r="F47" s="965" t="n"/>
      <c r="G47" s="965" t="n"/>
      <c r="H47" s="966" t="n"/>
    </row>
    <row r="48" ht="13.5" customHeight="1" s="981">
      <c r="A48" s="1180" t="inlineStr">
        <is>
          <t>3. Xóa toàn bộ code mặc định, paste M-code dưới đây</t>
        </is>
      </c>
      <c r="B48" s="965" t="n"/>
      <c r="C48" s="965" t="n"/>
      <c r="D48" s="965" t="n"/>
      <c r="E48" s="965" t="n"/>
      <c r="F48" s="965" t="n"/>
      <c r="G48" s="965" t="n"/>
      <c r="H48" s="966" t="n"/>
    </row>
    <row r="49" ht="13.5" customHeight="1" s="981">
      <c r="A49" s="1180" t="inlineStr">
        <is>
          <t>4. Đổi tên Query thành "PriceFeed_All" → Close &amp; Load → Table</t>
        </is>
      </c>
      <c r="B49" s="965" t="n"/>
      <c r="C49" s="965" t="n"/>
      <c r="D49" s="965" t="n"/>
      <c r="E49" s="965" t="n"/>
      <c r="F49" s="965" t="n"/>
      <c r="G49" s="965" t="n"/>
      <c r="H49" s="966" t="n"/>
    </row>
    <row r="50" ht="13.5" customHeight="1" s="981">
      <c r="A50" s="1180" t="inlineStr">
        <is>
          <t>5. Click vào table mới load → Tab Properties → tick "Refresh data when opening file"</t>
        </is>
      </c>
      <c r="B50" s="965" t="n"/>
      <c r="C50" s="965" t="n"/>
      <c r="D50" s="965" t="n"/>
      <c r="E50" s="965" t="n"/>
      <c r="F50" s="965" t="n"/>
      <c r="G50" s="965" t="n"/>
      <c r="H50" s="966" t="n"/>
    </row>
    <row r="51" ht="15" customHeight="1" s="981">
      <c r="A51" s="1050" t="n"/>
      <c r="B51" s="1050" t="n"/>
      <c r="C51" s="1050" t="n"/>
      <c r="D51" s="1050" t="n"/>
      <c r="E51" s="1050" t="n"/>
      <c r="F51" s="1050" t="n"/>
      <c r="G51" s="1050" t="n"/>
      <c r="H51" s="1050" t="n"/>
    </row>
    <row r="52" ht="13.5" customHeight="1" s="981">
      <c r="A52" s="1177" t="inlineStr">
        <is>
          <t>let</t>
        </is>
      </c>
      <c r="B52" s="965" t="n"/>
      <c r="C52" s="965" t="n"/>
      <c r="D52" s="965" t="n"/>
      <c r="E52" s="965" t="n"/>
      <c r="F52" s="965" t="n"/>
      <c r="G52" s="965" t="n"/>
      <c r="H52" s="966" t="n"/>
    </row>
    <row r="53" ht="13.5" customHeight="1" s="981">
      <c r="A53" s="1177" t="inlineStr">
        <is>
          <t xml:space="preserve">    // Danh sách 8 mã trong danh mục Sói cô độc</t>
        </is>
      </c>
      <c r="B53" s="965" t="n"/>
      <c r="C53" s="965" t="n"/>
      <c r="D53" s="965" t="n"/>
      <c r="E53" s="965" t="n"/>
      <c r="F53" s="965" t="n"/>
      <c r="G53" s="965" t="n"/>
      <c r="H53" s="966" t="n"/>
    </row>
    <row r="54" ht="13.5" customHeight="1" s="981">
      <c r="A54" s="1177" t="inlineStr">
        <is>
          <t xml:space="preserve">    Tickers = {"FPT", "MBB", "VCB", "CTR", "MWG", "HPG", "VNM", "VIX"},</t>
        </is>
      </c>
      <c r="B54" s="965" t="n"/>
      <c r="C54" s="965" t="n"/>
      <c r="D54" s="965" t="n"/>
      <c r="E54" s="965" t="n"/>
      <c r="F54" s="965" t="n"/>
      <c r="G54" s="965" t="n"/>
      <c r="H54" s="966" t="n"/>
    </row>
    <row r="55" ht="13.5" customHeight="1" s="981">
      <c r="A55" s="1177" t="n"/>
      <c r="B55" s="965" t="n"/>
      <c r="C55" s="965" t="n"/>
      <c r="D55" s="965" t="n"/>
      <c r="E55" s="965" t="n"/>
      <c r="F55" s="965" t="n"/>
      <c r="G55" s="965" t="n"/>
      <c r="H55" s="966" t="n"/>
    </row>
    <row r="56" ht="13.5" customHeight="1" s="981">
      <c r="A56" s="1177" t="inlineStr">
        <is>
          <t xml:space="preserve">    // Hàm fetch giá từ VNDirect (free API, không cần token)</t>
        </is>
      </c>
      <c r="B56" s="965" t="n"/>
      <c r="C56" s="965" t="n"/>
      <c r="D56" s="965" t="n"/>
      <c r="E56" s="965" t="n"/>
      <c r="F56" s="965" t="n"/>
      <c r="G56" s="965" t="n"/>
      <c r="H56" s="966" t="n"/>
    </row>
    <row r="57" ht="13.5" customHeight="1" s="981">
      <c r="A57" s="1177" t="inlineStr">
        <is>
          <t xml:space="preserve">    FetchPrice = (ticker as text) =&gt;</t>
        </is>
      </c>
      <c r="B57" s="965" t="n"/>
      <c r="C57" s="965" t="n"/>
      <c r="D57" s="965" t="n"/>
      <c r="E57" s="965" t="n"/>
      <c r="F57" s="965" t="n"/>
      <c r="G57" s="965" t="n"/>
      <c r="H57" s="966" t="n"/>
    </row>
    <row r="58" ht="13.5" customHeight="1" s="981">
      <c r="A58" s="1177" t="inlineStr">
        <is>
          <t xml:space="preserve">        let</t>
        </is>
      </c>
      <c r="B58" s="965" t="n"/>
      <c r="C58" s="965" t="n"/>
      <c r="D58" s="965" t="n"/>
      <c r="E58" s="965" t="n"/>
      <c r="F58" s="965" t="n"/>
      <c r="G58" s="965" t="n"/>
      <c r="H58" s="966" t="n"/>
    </row>
    <row r="59" ht="23.25" customHeight="1" s="981">
      <c r="A59" s="1177" t="inlineStr">
        <is>
          <t xml:space="preserve">            url = "https://api-finfo.vndirect.com.vn/v4/stock_prices?q=code:" &amp; ticker &amp; "~floor:HOSE,HNX,UPCOM&amp;size=1&amp;sort=date:desc",</t>
        </is>
      </c>
      <c r="B59" s="965" t="n"/>
      <c r="C59" s="965" t="n"/>
      <c r="D59" s="965" t="n"/>
      <c r="E59" s="965" t="n"/>
      <c r="F59" s="965" t="n"/>
      <c r="G59" s="965" t="n"/>
      <c r="H59" s="966" t="n"/>
    </row>
    <row r="60" ht="13.5" customHeight="1" s="981">
      <c r="A60" s="1177" t="inlineStr">
        <is>
          <t xml:space="preserve">            response = Json.Document(Web.Contents(url)),</t>
        </is>
      </c>
      <c r="B60" s="965" t="n"/>
      <c r="C60" s="965" t="n"/>
      <c r="D60" s="965" t="n"/>
      <c r="E60" s="965" t="n"/>
      <c r="F60" s="965" t="n"/>
      <c r="G60" s="965" t="n"/>
      <c r="H60" s="966" t="n"/>
    </row>
    <row r="61" ht="13.5" customHeight="1" s="981">
      <c r="A61" s="1177" t="inlineStr">
        <is>
          <t xml:space="preserve">            data = response[data]{0},</t>
        </is>
      </c>
      <c r="B61" s="965" t="n"/>
      <c r="C61" s="965" t="n"/>
      <c r="D61" s="965" t="n"/>
      <c r="E61" s="965" t="n"/>
      <c r="F61" s="965" t="n"/>
      <c r="G61" s="965" t="n"/>
      <c r="H61" s="966" t="n"/>
    </row>
    <row r="62" ht="13.5" customHeight="1" s="981">
      <c r="A62" s="1177" t="inlineStr">
        <is>
          <t xml:space="preserve">            close = data[close],</t>
        </is>
      </c>
      <c r="B62" s="965" t="n"/>
      <c r="C62" s="965" t="n"/>
      <c r="D62" s="965" t="n"/>
      <c r="E62" s="965" t="n"/>
      <c r="F62" s="965" t="n"/>
      <c r="G62" s="965" t="n"/>
      <c r="H62" s="966" t="n"/>
    </row>
    <row r="63" ht="13.5" customHeight="1" s="981">
      <c r="A63" s="1177" t="inlineStr">
        <is>
          <t xml:space="preserve">            change = data[basicPrice],</t>
        </is>
      </c>
      <c r="B63" s="965" t="n"/>
      <c r="C63" s="965" t="n"/>
      <c r="D63" s="965" t="n"/>
      <c r="E63" s="965" t="n"/>
      <c r="F63" s="965" t="n"/>
      <c r="G63" s="965" t="n"/>
      <c r="H63" s="966" t="n"/>
    </row>
    <row r="64" ht="13.5" customHeight="1" s="981">
      <c r="A64" s="1177" t="inlineStr">
        <is>
          <t xml:space="preserve">            volume = data[nmVolume]</t>
        </is>
      </c>
      <c r="B64" s="965" t="n"/>
      <c r="C64" s="965" t="n"/>
      <c r="D64" s="965" t="n"/>
      <c r="E64" s="965" t="n"/>
      <c r="F64" s="965" t="n"/>
      <c r="G64" s="965" t="n"/>
      <c r="H64" s="966" t="n"/>
    </row>
    <row r="65" ht="13.5" customHeight="1" s="981">
      <c r="A65" s="1177" t="inlineStr">
        <is>
          <t xml:space="preserve">        in</t>
        </is>
      </c>
      <c r="B65" s="965" t="n"/>
      <c r="C65" s="965" t="n"/>
      <c r="D65" s="965" t="n"/>
      <c r="E65" s="965" t="n"/>
      <c r="F65" s="965" t="n"/>
      <c r="G65" s="965" t="n"/>
      <c r="H65" s="966" t="n"/>
    </row>
    <row r="66" ht="13.5" customHeight="1" s="981">
      <c r="A66" s="1177" t="inlineStr">
        <is>
          <t xml:space="preserve">            [Code = ticker, Close = close, Change = close - change, Volume = volume],</t>
        </is>
      </c>
      <c r="B66" s="965" t="n"/>
      <c r="C66" s="965" t="n"/>
      <c r="D66" s="965" t="n"/>
      <c r="E66" s="965" t="n"/>
      <c r="F66" s="965" t="n"/>
      <c r="G66" s="965" t="n"/>
      <c r="H66" s="966" t="n"/>
    </row>
    <row r="67" ht="13.5" customHeight="1" s="981">
      <c r="A67" s="1177" t="n"/>
      <c r="B67" s="965" t="n"/>
      <c r="C67" s="965" t="n"/>
      <c r="D67" s="965" t="n"/>
      <c r="E67" s="965" t="n"/>
      <c r="F67" s="965" t="n"/>
      <c r="G67" s="965" t="n"/>
      <c r="H67" s="966" t="n"/>
    </row>
    <row r="68" ht="13.5" customHeight="1" s="981">
      <c r="A68" s="1177" t="inlineStr">
        <is>
          <t xml:space="preserve">    // Apply hàm cho từng mã</t>
        </is>
      </c>
      <c r="B68" s="965" t="n"/>
      <c r="C68" s="965" t="n"/>
      <c r="D68" s="965" t="n"/>
      <c r="E68" s="965" t="n"/>
      <c r="F68" s="965" t="n"/>
      <c r="G68" s="965" t="n"/>
      <c r="H68" s="966" t="n"/>
    </row>
    <row r="69" ht="13.5" customHeight="1" s="981">
      <c r="A69" s="1177" t="inlineStr">
        <is>
          <t xml:space="preserve">    Result = List.Transform(Tickers, each FetchPrice(_)),</t>
        </is>
      </c>
      <c r="B69" s="965" t="n"/>
      <c r="C69" s="965" t="n"/>
      <c r="D69" s="965" t="n"/>
      <c r="E69" s="965" t="n"/>
      <c r="F69" s="965" t="n"/>
      <c r="G69" s="965" t="n"/>
      <c r="H69" s="966" t="n"/>
    </row>
    <row r="70" ht="13.5" customHeight="1" s="981">
      <c r="A70" s="1177" t="n"/>
      <c r="B70" s="965" t="n"/>
      <c r="C70" s="965" t="n"/>
      <c r="D70" s="965" t="n"/>
      <c r="E70" s="965" t="n"/>
      <c r="F70" s="965" t="n"/>
      <c r="G70" s="965" t="n"/>
      <c r="H70" s="966" t="n"/>
    </row>
    <row r="71" ht="13.5" customHeight="1" s="981">
      <c r="A71" s="1177" t="inlineStr">
        <is>
          <t xml:space="preserve">    // Convert thành Table</t>
        </is>
      </c>
      <c r="B71" s="965" t="n"/>
      <c r="C71" s="965" t="n"/>
      <c r="D71" s="965" t="n"/>
      <c r="E71" s="965" t="n"/>
      <c r="F71" s="965" t="n"/>
      <c r="G71" s="965" t="n"/>
      <c r="H71" s="966" t="n"/>
    </row>
    <row r="72" ht="13.5" customHeight="1" s="981">
      <c r="A72" s="1177" t="inlineStr">
        <is>
          <t xml:space="preserve">    AsTable = Table.FromRecords(Result),</t>
        </is>
      </c>
      <c r="B72" s="965" t="n"/>
      <c r="C72" s="965" t="n"/>
      <c r="D72" s="965" t="n"/>
      <c r="E72" s="965" t="n"/>
      <c r="F72" s="965" t="n"/>
      <c r="G72" s="965" t="n"/>
      <c r="H72" s="966" t="n"/>
    </row>
    <row r="73" ht="13.5" customHeight="1" s="981">
      <c r="A73" s="1177" t="n"/>
      <c r="B73" s="965" t="n"/>
      <c r="C73" s="965" t="n"/>
      <c r="D73" s="965" t="n"/>
      <c r="E73" s="965" t="n"/>
      <c r="F73" s="965" t="n"/>
      <c r="G73" s="965" t="n"/>
      <c r="H73" s="966" t="n"/>
    </row>
    <row r="74" ht="13.5" customHeight="1" s="981">
      <c r="A74" s="1177" t="inlineStr">
        <is>
          <t xml:space="preserve">    // Add cột thời gian update</t>
        </is>
      </c>
      <c r="B74" s="965" t="n"/>
      <c r="C74" s="965" t="n"/>
      <c r="D74" s="965" t="n"/>
      <c r="E74" s="965" t="n"/>
      <c r="F74" s="965" t="n"/>
      <c r="G74" s="965" t="n"/>
      <c r="H74" s="966" t="n"/>
    </row>
    <row r="75" ht="13.5" customHeight="1" s="981">
      <c r="A75" s="1177" t="inlineStr">
        <is>
          <t xml:space="preserve">    AddTime = Table.AddColumn(AsTable, "UpdatedAt", each DateTime.LocalNow(), type datetime),</t>
        </is>
      </c>
      <c r="B75" s="965" t="n"/>
      <c r="C75" s="965" t="n"/>
      <c r="D75" s="965" t="n"/>
      <c r="E75" s="965" t="n"/>
      <c r="F75" s="965" t="n"/>
      <c r="G75" s="965" t="n"/>
      <c r="H75" s="966" t="n"/>
    </row>
    <row r="76" ht="13.5" customHeight="1" s="981">
      <c r="A76" s="1177" t="n"/>
      <c r="B76" s="965" t="n"/>
      <c r="C76" s="965" t="n"/>
      <c r="D76" s="965" t="n"/>
      <c r="E76" s="965" t="n"/>
      <c r="F76" s="965" t="n"/>
      <c r="G76" s="965" t="n"/>
      <c r="H76" s="966" t="n"/>
    </row>
    <row r="77" ht="13.5" customHeight="1" s="981">
      <c r="A77" s="1177" t="inlineStr">
        <is>
          <t xml:space="preserve">    // Đổi tên cột tiếng Việt</t>
        </is>
      </c>
      <c r="B77" s="965" t="n"/>
      <c r="C77" s="965" t="n"/>
      <c r="D77" s="965" t="n"/>
      <c r="E77" s="965" t="n"/>
      <c r="F77" s="965" t="n"/>
      <c r="G77" s="965" t="n"/>
      <c r="H77" s="966" t="n"/>
    </row>
    <row r="78" ht="13.5" customHeight="1" s="981">
      <c r="A78" s="1177" t="inlineStr">
        <is>
          <t xml:space="preserve">    RenameCols = Table.RenameColumns(AddTime, {</t>
        </is>
      </c>
      <c r="B78" s="965" t="n"/>
      <c r="C78" s="965" t="n"/>
      <c r="D78" s="965" t="n"/>
      <c r="E78" s="965" t="n"/>
      <c r="F78" s="965" t="n"/>
      <c r="G78" s="965" t="n"/>
      <c r="H78" s="966" t="n"/>
    </row>
    <row r="79" ht="13.5" customHeight="1" s="981">
      <c r="A79" s="1177" t="inlineStr">
        <is>
          <t xml:space="preserve">        {"Code", "Mã CP"},</t>
        </is>
      </c>
      <c r="B79" s="965" t="n"/>
      <c r="C79" s="965" t="n"/>
      <c r="D79" s="965" t="n"/>
      <c r="E79" s="965" t="n"/>
      <c r="F79" s="965" t="n"/>
      <c r="G79" s="965" t="n"/>
      <c r="H79" s="966" t="n"/>
    </row>
    <row r="80" ht="13.5" customHeight="1" s="981">
      <c r="A80" s="1177" t="inlineStr">
        <is>
          <t xml:space="preserve">        {"Close", "Giá Đóng"},</t>
        </is>
      </c>
      <c r="B80" s="965" t="n"/>
      <c r="C80" s="965" t="n"/>
      <c r="D80" s="965" t="n"/>
      <c r="E80" s="965" t="n"/>
      <c r="F80" s="965" t="n"/>
      <c r="G80" s="965" t="n"/>
      <c r="H80" s="966" t="n"/>
    </row>
    <row r="81" ht="13.5" customHeight="1" s="981">
      <c r="A81" s="1177" t="inlineStr">
        <is>
          <t xml:space="preserve">        {"Change", "Thay Đổi"},</t>
        </is>
      </c>
      <c r="B81" s="965" t="n"/>
      <c r="C81" s="965" t="n"/>
      <c r="D81" s="965" t="n"/>
      <c r="E81" s="965" t="n"/>
      <c r="F81" s="965" t="n"/>
      <c r="G81" s="965" t="n"/>
      <c r="H81" s="966" t="n"/>
    </row>
    <row r="82" ht="13.5" customHeight="1" s="981">
      <c r="A82" s="1177" t="inlineStr">
        <is>
          <t xml:space="preserve">        {"Volume", "Volume"},</t>
        </is>
      </c>
      <c r="B82" s="965" t="n"/>
      <c r="C82" s="965" t="n"/>
      <c r="D82" s="965" t="n"/>
      <c r="E82" s="965" t="n"/>
      <c r="F82" s="965" t="n"/>
      <c r="G82" s="965" t="n"/>
      <c r="H82" s="966" t="n"/>
    </row>
    <row r="83" ht="13.5" customHeight="1" s="981">
      <c r="A83" s="1177" t="inlineStr">
        <is>
          <t xml:space="preserve">        {"UpdatedAt", "Thời gian"}</t>
        </is>
      </c>
      <c r="B83" s="965" t="n"/>
      <c r="C83" s="965" t="n"/>
      <c r="D83" s="965" t="n"/>
      <c r="E83" s="965" t="n"/>
      <c r="F83" s="965" t="n"/>
      <c r="G83" s="965" t="n"/>
      <c r="H83" s="966" t="n"/>
    </row>
    <row r="84" ht="13.5" customHeight="1" s="981">
      <c r="A84" s="1177" t="inlineStr">
        <is>
          <t xml:space="preserve">    })</t>
        </is>
      </c>
      <c r="B84" s="965" t="n"/>
      <c r="C84" s="965" t="n"/>
      <c r="D84" s="965" t="n"/>
      <c r="E84" s="965" t="n"/>
      <c r="F84" s="965" t="n"/>
      <c r="G84" s="965" t="n"/>
      <c r="H84" s="966" t="n"/>
    </row>
    <row r="85" ht="13.5" customHeight="1" s="981">
      <c r="A85" s="1177" t="inlineStr">
        <is>
          <t>in</t>
        </is>
      </c>
      <c r="B85" s="965" t="n"/>
      <c r="C85" s="965" t="n"/>
      <c r="D85" s="965" t="n"/>
      <c r="E85" s="965" t="n"/>
      <c r="F85" s="965" t="n"/>
      <c r="G85" s="965" t="n"/>
      <c r="H85" s="966" t="n"/>
    </row>
    <row r="86" ht="13.5" customHeight="1" s="981">
      <c r="A86" s="1177" t="inlineStr">
        <is>
          <t xml:space="preserve">    RenameCols</t>
        </is>
      </c>
      <c r="B86" s="965" t="n"/>
      <c r="C86" s="965" t="n"/>
      <c r="D86" s="965" t="n"/>
      <c r="E86" s="965" t="n"/>
      <c r="F86" s="965" t="n"/>
      <c r="G86" s="965" t="n"/>
      <c r="H86" s="966" t="n"/>
    </row>
    <row r="87" ht="15" customHeight="1" s="981">
      <c r="A87" s="1050" t="n"/>
      <c r="B87" s="1050" t="n"/>
      <c r="C87" s="1050" t="n"/>
      <c r="D87" s="1050" t="n"/>
      <c r="E87" s="1050" t="n"/>
      <c r="F87" s="1050" t="n"/>
      <c r="G87" s="1050" t="n"/>
      <c r="H87" s="1050" t="n"/>
    </row>
    <row r="88" ht="15" customHeight="1" s="981">
      <c r="A88" s="1159" t="inlineStr">
        <is>
          <t>🔌 KẾT NỐI XLOOKUP — sau khi PriceFeed_All đã load</t>
        </is>
      </c>
      <c r="B88" s="965" t="n"/>
      <c r="C88" s="965" t="n"/>
      <c r="D88" s="965" t="n"/>
      <c r="E88" s="965" t="n"/>
      <c r="F88" s="965" t="n"/>
      <c r="G88" s="965" t="n"/>
      <c r="H88" s="966" t="n"/>
    </row>
    <row r="89" ht="21.75" customHeight="1" s="981">
      <c r="A89" s="1176" t="inlineStr">
        <is>
          <t>Mở sheet HỆ THỐNG QUẢN LÝ. Tại ô G5 (FPT), thay giá hardcode bằng:</t>
        </is>
      </c>
      <c r="B89" s="965" t="n"/>
      <c r="C89" s="965" t="n"/>
      <c r="D89" s="965" t="n"/>
      <c r="E89" s="965" t="n"/>
      <c r="F89" s="965" t="n"/>
      <c r="G89" s="965" t="n"/>
      <c r="H89" s="966" t="n"/>
    </row>
    <row r="90" ht="21.75" customHeight="1" s="981">
      <c r="A90" s="1178" t="inlineStr">
        <is>
          <t xml:space="preserve"> =IFERROR(INDEX(PriceFeed_All[Giá Đóng],MATCH(A5,PriceFeed_All[Mã CP],0)), G5)</t>
        </is>
      </c>
      <c r="B90" s="965" t="n"/>
      <c r="C90" s="965" t="n"/>
      <c r="D90" s="965" t="n"/>
      <c r="E90" s="965" t="n"/>
      <c r="F90" s="965" t="n"/>
      <c r="G90" s="965" t="n"/>
      <c r="H90" s="966" t="n"/>
    </row>
    <row r="91" ht="21.75" customHeight="1" s="981">
      <c r="A91" s="1176" t="inlineStr">
        <is>
          <t>Lưu ý dấu cách đầu trong ví dụ trên — KHI COPY VÀO EXCEL HÃY XÓA.</t>
        </is>
      </c>
      <c r="B91" s="965" t="n"/>
      <c r="C91" s="965" t="n"/>
      <c r="D91" s="965" t="n"/>
      <c r="E91" s="965" t="n"/>
      <c r="F91" s="965" t="n"/>
      <c r="G91" s="965" t="n"/>
      <c r="H91" s="966" t="n"/>
    </row>
    <row r="92" ht="21.75" customHeight="1" s="981">
      <c r="A92" s="1176" t="inlineStr">
        <is>
          <t>Kéo công thức xuống G6:G12. Refresh All → toàn bộ Dashboard tự cập nhật.</t>
        </is>
      </c>
      <c r="B92" s="965" t="n"/>
      <c r="C92" s="965" t="n"/>
      <c r="D92" s="965" t="n"/>
      <c r="E92" s="965" t="n"/>
      <c r="F92" s="965" t="n"/>
      <c r="G92" s="965" t="n"/>
      <c r="H92" s="966" t="n"/>
    </row>
    <row r="93" ht="21.75" customHeight="1" s="981">
      <c r="A93" s="1176" t="inlineStr">
        <is>
          <t>Nếu Power Query không refresh được (hết token / 401), giá sẽ giữ nguyên giá tay (nhờ IFERROR).</t>
        </is>
      </c>
      <c r="B93" s="965" t="n"/>
      <c r="C93" s="965" t="n"/>
      <c r="D93" s="965" t="n"/>
      <c r="E93" s="965" t="n"/>
      <c r="F93" s="965" t="n"/>
      <c r="G93" s="965" t="n"/>
      <c r="H93" s="966" t="n"/>
    </row>
  </sheetData>
  <mergeCells count="92">
    <mergeCell ref="A77:H77"/>
    <mergeCell ref="A83:H83"/>
    <mergeCell ref="A49:H49"/>
    <mergeCell ref="E37:H37"/>
    <mergeCell ref="B37:D37"/>
    <mergeCell ref="A69:H69"/>
    <mergeCell ref="A25:H25"/>
    <mergeCell ref="B16:H16"/>
    <mergeCell ref="A66:H66"/>
    <mergeCell ref="A75:H75"/>
    <mergeCell ref="A50:H50"/>
    <mergeCell ref="A55:H55"/>
    <mergeCell ref="B18:H18"/>
    <mergeCell ref="A86:H86"/>
    <mergeCell ref="B11:H11"/>
    <mergeCell ref="A32:H32"/>
    <mergeCell ref="A29:H29"/>
    <mergeCell ref="A81:H81"/>
    <mergeCell ref="A44:H44"/>
    <mergeCell ref="A31:H31"/>
    <mergeCell ref="A58:H58"/>
    <mergeCell ref="E36:H36"/>
    <mergeCell ref="A67:H67"/>
    <mergeCell ref="A24:H24"/>
    <mergeCell ref="A73:H73"/>
    <mergeCell ref="A82:H82"/>
    <mergeCell ref="B6:H6"/>
    <mergeCell ref="A60:H60"/>
    <mergeCell ref="B15:H15"/>
    <mergeCell ref="B7:H7"/>
    <mergeCell ref="A84:H84"/>
    <mergeCell ref="A27:H27"/>
    <mergeCell ref="B36:D36"/>
    <mergeCell ref="A2:H2"/>
    <mergeCell ref="A85:H85"/>
    <mergeCell ref="E38:H38"/>
    <mergeCell ref="A47:H47"/>
    <mergeCell ref="A22:H22"/>
    <mergeCell ref="B8:H8"/>
    <mergeCell ref="A62:H62"/>
    <mergeCell ref="E40:H40"/>
    <mergeCell ref="B17:H17"/>
    <mergeCell ref="A72:H72"/>
    <mergeCell ref="A28:H28"/>
    <mergeCell ref="B10:H10"/>
    <mergeCell ref="B39:D39"/>
    <mergeCell ref="B19:H19"/>
    <mergeCell ref="A48:H48"/>
    <mergeCell ref="A30:H30"/>
    <mergeCell ref="B9:H9"/>
    <mergeCell ref="A59:H59"/>
    <mergeCell ref="A64:H64"/>
    <mergeCell ref="A79:H79"/>
    <mergeCell ref="B5:H5"/>
    <mergeCell ref="A61:H61"/>
    <mergeCell ref="B20:H20"/>
    <mergeCell ref="A88:H88"/>
    <mergeCell ref="A70:H70"/>
    <mergeCell ref="A54:H54"/>
    <mergeCell ref="A90:H90"/>
    <mergeCell ref="A74:H74"/>
    <mergeCell ref="A56:H56"/>
    <mergeCell ref="E39:H39"/>
    <mergeCell ref="B41:D41"/>
    <mergeCell ref="A71:H71"/>
    <mergeCell ref="B35:D35"/>
    <mergeCell ref="A76:H76"/>
    <mergeCell ref="A53:H53"/>
    <mergeCell ref="B13:H13"/>
    <mergeCell ref="A63:H63"/>
    <mergeCell ref="A68:H68"/>
    <mergeCell ref="A34:H34"/>
    <mergeCell ref="A92:H92"/>
    <mergeCell ref="A1:H1"/>
    <mergeCell ref="E41:H41"/>
    <mergeCell ref="A45:H45"/>
    <mergeCell ref="B38:D38"/>
    <mergeCell ref="A78:H78"/>
    <mergeCell ref="A65:H65"/>
    <mergeCell ref="B40:D40"/>
    <mergeCell ref="A80:H80"/>
    <mergeCell ref="A46:H46"/>
    <mergeCell ref="A89:H89"/>
    <mergeCell ref="A57:H57"/>
    <mergeCell ref="E35:H35"/>
    <mergeCell ref="B12:H12"/>
    <mergeCell ref="A14:H14"/>
    <mergeCell ref="A23:H23"/>
    <mergeCell ref="A4:H4"/>
    <mergeCell ref="A91:H91"/>
    <mergeCell ref="A52:H52"/>
    <mergeCell ref="A93:H93"/>
  </mergeCells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style="981" min="1" max="1"/>
    <col width="26" customWidth="1" style="981" min="2" max="2"/>
    <col width="72" customWidth="1" style="981" min="3" max="3"/>
    <col width="3" customWidth="1" style="981" min="4" max="4"/>
  </cols>
  <sheetData>
    <row r="1" ht="36" customHeight="1" s="981">
      <c r="A1" s="16" t="n"/>
      <c r="B1" s="1186" t="inlineStr">
        <is>
          <t>🐍  VIP AUTO — Script thay thế hoàn toàn VBA · Sẵn sàng copy-paste</t>
        </is>
      </c>
      <c r="C1" s="966" t="n"/>
      <c r="D1" s="1104" t="n"/>
      <c r="E1" s="1104" t="n"/>
      <c r="F1" s="1104" t="n"/>
      <c r="G1" s="1104" t="n"/>
    </row>
    <row r="2" ht="31.5" customHeight="1" s="981">
      <c r="A2" s="964" t="n"/>
      <c r="B2" s="1104" t="n"/>
      <c r="C2" s="1104" t="n"/>
      <c r="D2" s="1104" t="n"/>
      <c r="E2" s="1104" t="n"/>
      <c r="F2" s="1104" t="n"/>
      <c r="G2" s="1104" t="n"/>
    </row>
    <row r="3" ht="25.5" customHeight="1" s="981">
      <c r="A3" s="1104" t="n"/>
      <c r="B3" s="1189" t="inlineStr">
        <is>
          <t>📦  BƯỚC 1 — Cài đặt (chỉ làm 1 lần)</t>
        </is>
      </c>
      <c r="C3" s="966" t="n"/>
      <c r="D3" s="1104" t="n"/>
      <c r="E3" s="1104" t="n"/>
      <c r="F3" s="1104" t="n"/>
      <c r="G3" s="1104" t="n"/>
    </row>
    <row r="4" ht="19.5" customHeight="1" s="981">
      <c r="A4" s="1104" t="n"/>
      <c r="B4" s="676" t="inlineStr">
        <is>
          <t>Mở CMD, gõ:</t>
        </is>
      </c>
      <c r="C4" s="677" t="inlineStr">
        <is>
          <t>pip install vnstock openpyxl schedule</t>
        </is>
      </c>
      <c r="D4" s="1104" t="n"/>
      <c r="E4" s="1104" t="n"/>
      <c r="F4" s="1104" t="n"/>
      <c r="G4" s="1104" t="n"/>
    </row>
    <row r="5" ht="19.5" customHeight="1" s="981">
      <c r="A5" s="964" t="n"/>
      <c r="B5" s="676" t="inlineStr">
        <is>
          <t>Yêu cầu:</t>
        </is>
      </c>
      <c r="C5" s="677" t="inlineStr">
        <is>
          <t>Python 3.10+  |  Kết nối internet  |  Đóng file Excel trước khi chạy script</t>
        </is>
      </c>
      <c r="D5" s="1104" t="n"/>
      <c r="E5" s="1104" t="n"/>
      <c r="F5" s="1104" t="n"/>
      <c r="G5" s="1104" t="n"/>
    </row>
    <row r="6" ht="21.75" customHeight="1" s="981">
      <c r="A6" s="964" t="n"/>
      <c r="B6" s="1104" t="n"/>
      <c r="C6" s="1104" t="n"/>
      <c r="D6" s="1104" t="n"/>
      <c r="E6" s="1104" t="n"/>
      <c r="F6" s="1104" t="n"/>
      <c r="G6" s="1104" t="n"/>
    </row>
    <row r="7" ht="25.5" customHeight="1" s="981">
      <c r="A7" s="964" t="n"/>
      <c r="B7" s="1188" t="inlineStr">
        <is>
          <t>⚙️  BƯỚC 2 — Sửa đường dẫn file Excel (quan trọng!)</t>
        </is>
      </c>
      <c r="C7" s="966" t="n"/>
      <c r="D7" s="1104" t="n"/>
      <c r="E7" s="1104" t="n"/>
      <c r="F7" s="1104" t="n"/>
      <c r="G7" s="1104" t="n"/>
    </row>
    <row r="8" ht="19.5" customHeight="1" s="981">
      <c r="A8" s="964" t="n"/>
      <c r="B8" s="676" t="inlineStr">
        <is>
          <t>Mở Notepad:</t>
        </is>
      </c>
      <c r="C8" s="677" t="inlineStr">
        <is>
          <t>notepad cap_nhat_gia_python.py</t>
        </is>
      </c>
      <c r="D8" s="1104" t="n"/>
      <c r="E8" s="1104" t="n"/>
      <c r="F8" s="1104" t="n"/>
      <c r="G8" s="1104" t="n"/>
    </row>
    <row r="9" ht="19.5" customHeight="1" s="981">
      <c r="A9" s="964" t="n"/>
      <c r="B9" s="676" t="inlineStr">
        <is>
          <t>Nhấn Ctrl+H, ô "Find":</t>
        </is>
      </c>
      <c r="C9" s="677" t="inlineStr">
        <is>
          <t>TONG_HOP_v41_FIXED.xlsx</t>
        </is>
      </c>
      <c r="D9" s="1104" t="n"/>
      <c r="E9" s="1104" t="n"/>
      <c r="F9" s="1104" t="n"/>
      <c r="G9" s="1104" t="n"/>
    </row>
    <row r="10" ht="19.5" customHeight="1" s="981">
      <c r="A10" s="1104" t="n"/>
      <c r="B10" s="676" t="inlineStr">
        <is>
          <t>Ô "Replace with":</t>
        </is>
      </c>
      <c r="C10" s="677" t="inlineStr">
        <is>
          <t>TONG_HOP_v41_FIXED.xlsx   (hoặc tên file thật của bạn)</t>
        </is>
      </c>
      <c r="D10" s="1104" t="n"/>
      <c r="E10" s="1104" t="n"/>
      <c r="F10" s="1104" t="n"/>
      <c r="G10" s="1104" t="n"/>
    </row>
    <row r="11" ht="19.5" customHeight="1" s="981">
      <c r="A11" s="1104" t="n"/>
      <c r="B11" s="676" t="inlineStr">
        <is>
          <t>Nhấn Replace All → Ctrl+S → đóng Notepad</t>
        </is>
      </c>
      <c r="C11" s="677" t="n"/>
      <c r="D11" s="1104" t="n"/>
      <c r="E11" s="1104" t="n"/>
      <c r="F11" s="1104" t="n"/>
      <c r="G11" s="1104" t="n"/>
    </row>
    <row r="12" ht="21.75" customHeight="1" s="981">
      <c r="A12" s="964" t="n"/>
      <c r="B12" s="1104" t="n"/>
      <c r="C12" s="1104" t="n"/>
      <c r="D12" s="1104" t="n"/>
      <c r="E12" s="1104" t="n"/>
      <c r="F12" s="1104" t="n"/>
      <c r="G12" s="1104" t="n"/>
    </row>
    <row r="13" ht="25.5" customHeight="1" s="981">
      <c r="A13" s="964" t="n"/>
      <c r="B13" s="1187" t="inlineStr">
        <is>
          <t>▶️  BƯỚC 3 — Chạy script</t>
        </is>
      </c>
      <c r="C13" s="966" t="n"/>
      <c r="D13" s="1104" t="n"/>
      <c r="E13" s="1104" t="n"/>
      <c r="F13" s="1104" t="n"/>
      <c r="G13" s="1104" t="n"/>
    </row>
    <row r="14" ht="19.5" customHeight="1" s="981">
      <c r="A14" s="964" t="n"/>
      <c r="B14" s="676" t="inlineStr">
        <is>
          <t>cd vào thư mục chứa file:</t>
        </is>
      </c>
      <c r="C14" s="677" t="inlineStr">
        <is>
          <t>cd C:\Users\ACER\Downloads</t>
        </is>
      </c>
      <c r="D14" s="1104" t="n"/>
      <c r="E14" s="1104" t="n"/>
      <c r="F14" s="1104" t="n"/>
      <c r="G14" s="1104" t="n"/>
    </row>
    <row r="15" ht="19.5" customHeight="1" s="981">
      <c r="A15" s="964" t="n"/>
      <c r="B15" s="676" t="inlineStr">
        <is>
          <t>Chạy 1 lần ngay:</t>
        </is>
      </c>
      <c r="C15" s="677" t="inlineStr">
        <is>
          <t>python cap_nhat_gia_python.py</t>
        </is>
      </c>
      <c r="D15" s="1104" t="n"/>
      <c r="E15" s="1104" t="n"/>
      <c r="F15" s="1104" t="n"/>
      <c r="G15" s="1104" t="n"/>
    </row>
    <row r="16" ht="19.5" customHeight="1" s="981">
      <c r="A16" s="964" t="n"/>
      <c r="B16" s="676" t="inlineStr">
        <is>
          <t>Chạy tự động 09:00 + 15:05 mỗi ngày:</t>
        </is>
      </c>
      <c r="C16" s="677" t="inlineStr">
        <is>
          <t>python cap_nhat_gia_python.py --schedule</t>
        </is>
      </c>
      <c r="D16" s="1104" t="n"/>
      <c r="E16" s="1104" t="n"/>
      <c r="F16" s="1104" t="n"/>
      <c r="G16" s="1104" t="n"/>
    </row>
    <row r="17" ht="19.5" customHeight="1" s="981">
      <c r="A17" s="964" t="n"/>
      <c r="B17" s="676" t="inlineStr">
        <is>
          <t>Thêm mã cổ phiếu mới:</t>
        </is>
      </c>
      <c r="C17" s="677" t="inlineStr">
        <is>
          <t>python cap_nhat_gia_python.py --them VHM,SSI,MAS</t>
        </is>
      </c>
      <c r="D17" s="1104" t="n"/>
      <c r="E17" s="1104" t="n"/>
      <c r="F17" s="1104" t="n"/>
      <c r="G17" s="1104" t="n"/>
    </row>
    <row r="18" ht="21.75" customHeight="1" s="981">
      <c r="A18" s="964" t="n"/>
      <c r="B18" s="1104" t="n"/>
      <c r="C18" s="1104" t="n"/>
      <c r="D18" s="1104" t="n"/>
      <c r="E18" s="1104" t="n"/>
      <c r="F18" s="1104" t="n"/>
      <c r="G18" s="1104" t="n"/>
    </row>
    <row r="19" ht="25.5" customHeight="1" s="981">
      <c r="A19" s="1104" t="n"/>
      <c r="B19" s="1190" t="inlineStr">
        <is>
          <t>📋  SCRIPT ĐẦY ĐỦ — Copy vào file .py nếu cần tạo lại</t>
        </is>
      </c>
      <c r="C19" s="966" t="n"/>
      <c r="D19" s="1104" t="n"/>
      <c r="E19" s="1104" t="n"/>
      <c r="F19" s="1104" t="n"/>
      <c r="G19" s="1104" t="n"/>
    </row>
    <row r="20" ht="409.5" customHeight="1" s="981">
      <c r="A20" s="1104" t="n"/>
      <c r="B20" s="1185" t="inlineStr">
        <is>
          <t xml:space="preserve"># cap_nhat_gia_python.py  v4.1 — Tự động cập nhật 240+ mã CP VN → TONG_HOP_v41_FIXED.xlsx
import sys, time, argparse
from datetime import datetime
from pathlib import Path
try:
    from vnstock import Vnstock
    import openpyxl
    import schedule
except ImportError:
    print("Cài đặt: pip install vnstock openpyxl schedule")
    sys.exit(1)
# ── CẤU HÌNH ──────────────────────────────────────────────────────
FILE_EXCEL = Path(r"C:\Users\ACER\Downloads\TONG_HOP_v41_FIXED.xlsx")
SHEET_LIVE = "📡 LIVE PRICE FEED"
TICKER_ROW_START = 4   # Data bắt đầu từ row 4
COL_TICKER = 1         # A
COL_GIA    = 4         # D
COL_CHG    = 5         # E
COL_PCT    = 6         # F
COL_VOL    = 7         # G
COL_PE     = 8         # H
COL_PB     = 9         # I
COL_TS     = 10        # J
def lay_tat_ca_tickers(wb):
    """Đọc tất cả mã từ sheet LIVE PRICE FEED"""
    ws = wb[SHEET_LIVE]
    tickers = []
    for row in ws.iter_rows(min_row=TICKER_ROW_START, max_row=300, values_only=True):
        if row[0] and isinstance(row[0], str) and len(row[0]) &lt;= 10:
            if "⚡" not in row[0] and "Tổng" not in row[0]:
                tickers.append(row[0])
    return tickers
def cap_nhat_gia():
    now = datetime.now().strftime("%H:%M %d/%m/%Y")
    print(f"[{now}] Bắt đầu cập nhật giá...")
    if not FILE_EXCEL.exists():
        print(f"❌ Không tìm thấy file: {FILE_EXCEL}")
        print(f"   → Sửa đường dẫn FILE_EXCEL trong script này")
        return
    wb = openpyxl.load_workbook(FILE_EXCEL)
    ws = wb[SHEET_LIVE]
    # Đọc tất cả tickers từ sheet
    tickers = lay_tat_ca_tickers(wb)
    print(f"   → Tìm thấy {len(tickers)} mã trong file")
    # Lấy giá theo batch 50 mã
    stock = Vnstock().stock(symbol="VCB", source="VCI")
    updated = 0
    errors = []
    BATCH = 50
    for i in range(0, len(tickers), BATCH):
        batch = tickers[i:i+BATCH]
        try:
            df = stock.quote.history(symbols=batch, start=datetime.now().strftime("%Y-%m-%d"),
                                     end=datetime.now().strftime("%Y-%m-%d"), interval="1D")
            prices = {}
            if df is not None and not df.empty:
                for _, row_d in df.iterrows():
                    sym = row_d.get("ticker") or row_d.get("symbol", "")
                    close = row_d.get("close") or row_d.get("Close", 0)
                    if sym:
                        prices[sym.upper()] = float(close) if close else 0
            # Ghi vào Excel
            for r in range(TICKER_ROW_START, 300):
                ticker_cell = ws.cell(r, COL_TICKER).value
                if not ticker_cell:
                    break
                if ticker_cell in prices and prices[ticker_cell] &gt; 0:
                    old_price = ws.cell(r, COL_GIA).value or 0
                    new_price = prices[ticker_cell]
                    ws.cell(r, COL_GIA).value = new_price
                    ws.cell(r, COL_CHG).value = round(new_price - (old_price if isinstance(old_price, (int,float)) else new_price), 0)
                    ws.cell(r, COL_PCT).value = round((new_price/(old_price or new_price) - 1)*100, 2) if old_price else 0
                    ws.cell(r, COL_TS).value  = f"vnstock {now}"
                    # Green background for updated rows
                    from openpyxl.styles import PatternFill
                    green = PatternFill("solid", fgColor="D5F5E3")
                    for c in range(1, 11):
                        ws.cell(r, c).fill = green
                    updated += 1
        except Exception as e:
            errors.append(f"Batch {batch[:3]}...: {e}")
    # Update row 2 summary
    ws["A2"] = (f"⏱ Cập nhật: {now} | 🟢 {updated}/{len(tickers)} mã đã update "
                f"| Nguồn: vnstock (VCI) | ❌ Lỗi: {len(errors)}")
    wb.save(FILE_EXCEL)
    print(f"   ✅ Đã cập nhật {updated}/{len(tickers)} mã | Lỗi: {len(errors)}")
    if errors:
        for e in errors[:5]:
            print(f"   ⚠️  {e}")
def them_ma(new_tickers_str):
    """Thêm mã mới vào LIVE PRICE FEED"""
    new_tickers = [t.strip().upper() for t in new_tickers_str.split(",")]
    wb = openpyxl.load_workbook(FILE_EXCEL)
    ws = wb[SHEET_LIVE]
    existing = {ws.cell(r, 1).value for r in range(4, 300) if ws.cell(r, 1).value}
    last_row = 4
    for r in range(4, 300):
        if ws.cell(r, 1).value:
            last_row = r
        else:
            break
    added = []
    for ticker in new_tickers:
        if ticker not in existing:
            r = last_row + 1
            ws.cell(r, 1).value = ticker
            ws.cell(r, 10).value = "⏳ Mới thêm — chưa có giá"
            last_row += 1
            added.append(ticker)
    wb.save(FILE_EXCEL)
    print(f"✅ Đã thêm {len(added)} mã mới: {added}")
if __name__ == "__main__":
    parser = argparse.ArgumentParser()
    parser.add_argument("--schedule", action="store_true", help="Chạy lịch 09:00 + 15:05")
    parser.add_argument("--them", type=str, help="Thêm mã: VHM,SSI,MAS")
    args = parser.parse_args()
    if args.them:
        them_ma(args.them)
    elif args.schedule:
        schedule.every().day.at("09:00").do(cap_nhat_gia)
        schedule.every().day.at("15:05").do(cap_nhat_gia)
        print("✅ Lịch: 09:00 và 15:05 mỗi ngày. Ctrl+C để dừng.")
        cap_nhat_gia()  # chạy ngay 1 lần
        while True:
            schedule.run_pending()
            time.sleep(60)
    else:
        cap_nhat_gia()
</t>
        </is>
      </c>
      <c r="C20" s="966" t="n"/>
      <c r="D20" s="1104" t="n"/>
      <c r="E20" s="1104" t="n"/>
      <c r="F20" s="1104" t="n"/>
      <c r="G20" s="1104" t="n"/>
    </row>
    <row r="21" ht="21.75" customHeight="1" s="981">
      <c r="A21" s="964" t="n"/>
      <c r="B21" s="1104" t="n"/>
      <c r="C21" s="1104" t="n"/>
      <c r="D21" s="1104" t="n"/>
      <c r="E21" s="1104" t="n"/>
      <c r="F21" s="1104" t="n"/>
      <c r="G21" s="1104" t="n"/>
    </row>
    <row r="22" ht="21.75" customHeight="1" s="981">
      <c r="A22" s="964" t="n"/>
      <c r="B22" s="1104" t="n"/>
      <c r="C22" s="1104" t="n"/>
      <c r="D22" s="1104" t="n"/>
      <c r="E22" s="1104" t="n"/>
      <c r="F22" s="1104" t="n"/>
      <c r="G22" s="1104" t="n"/>
    </row>
    <row r="23" ht="21.75" customHeight="1" s="981">
      <c r="A23" s="964" t="n"/>
      <c r="B23" s="1104" t="n"/>
      <c r="C23" s="1104" t="n"/>
      <c r="D23" s="1104" t="n"/>
      <c r="E23" s="1104" t="n"/>
      <c r="F23" s="1104" t="n"/>
      <c r="G23" s="1104" t="n"/>
    </row>
    <row r="24" ht="21.75" customHeight="1" s="981">
      <c r="A24" s="964" t="n"/>
      <c r="B24" s="1104" t="n"/>
      <c r="C24" s="1104" t="n"/>
      <c r="D24" s="1104" t="n"/>
      <c r="E24" s="1104" t="n"/>
      <c r="F24" s="1104" t="n"/>
      <c r="G24" s="1104" t="n"/>
    </row>
    <row r="25" ht="21.75" customHeight="1" s="981">
      <c r="A25" s="964" t="n"/>
      <c r="B25" s="1104" t="n"/>
      <c r="C25" s="1104" t="n"/>
      <c r="D25" s="1104" t="n"/>
      <c r="E25" s="1104" t="n"/>
      <c r="F25" s="1104" t="n"/>
      <c r="G25" s="1104" t="n"/>
    </row>
    <row r="26" ht="21.75" customHeight="1" s="981">
      <c r="A26" s="964" t="n"/>
      <c r="B26" s="1104" t="n"/>
      <c r="C26" s="1104" t="n"/>
      <c r="D26" s="1104" t="n"/>
      <c r="E26" s="1104" t="n"/>
      <c r="F26" s="1104" t="n"/>
      <c r="G26" s="1104" t="n"/>
    </row>
    <row r="27" ht="21.75" customHeight="1" s="981">
      <c r="A27" s="964" t="n"/>
      <c r="B27" s="1104" t="n"/>
      <c r="C27" s="1104" t="n"/>
      <c r="D27" s="1104" t="n"/>
      <c r="E27" s="1104" t="n"/>
      <c r="F27" s="1104" t="n"/>
      <c r="G27" s="1104" t="n"/>
    </row>
    <row r="28" ht="21.75" customHeight="1" s="981">
      <c r="A28" s="964" t="n"/>
      <c r="B28" s="1104" t="n"/>
      <c r="C28" s="1104" t="n"/>
      <c r="D28" s="1104" t="n"/>
      <c r="E28" s="1104" t="n"/>
      <c r="F28" s="1104" t="n"/>
      <c r="G28" s="1104" t="n"/>
    </row>
    <row r="29" ht="14.25" customHeight="1" s="981">
      <c r="A29" s="1104" t="n"/>
      <c r="B29" s="1104" t="n"/>
      <c r="C29" s="1104" t="n"/>
      <c r="D29" s="1104" t="n"/>
      <c r="E29" s="1104" t="n"/>
      <c r="F29" s="1104" t="n"/>
      <c r="G29" s="1104" t="n"/>
    </row>
    <row r="30" ht="15" customHeight="1" s="981">
      <c r="A30" s="1104" t="n"/>
      <c r="B30" s="1104" t="n"/>
      <c r="C30" s="1104" t="n"/>
      <c r="D30" s="1104" t="n"/>
      <c r="E30" s="1104" t="n"/>
      <c r="F30" s="1104" t="n"/>
      <c r="G30" s="1104" t="n"/>
    </row>
    <row r="31" ht="15" customHeight="1" s="981">
      <c r="A31" s="16" t="n"/>
      <c r="B31" s="1104" t="n"/>
      <c r="C31" s="16" t="n"/>
      <c r="D31" s="1104" t="n"/>
      <c r="E31" s="1104" t="n"/>
      <c r="F31" s="1104" t="n"/>
      <c r="G31" s="1104" t="n"/>
    </row>
    <row r="32" ht="27.75" customHeight="1" s="981">
      <c r="A32" s="964" t="n"/>
      <c r="B32" s="1104" t="n"/>
      <c r="C32" s="964" t="n"/>
      <c r="D32" s="1104" t="n"/>
      <c r="E32" s="964" t="n"/>
      <c r="F32" s="1104" t="n"/>
      <c r="G32" s="964" t="n"/>
    </row>
    <row r="33" ht="27.75" customHeight="1" s="981">
      <c r="A33" s="964" t="n"/>
      <c r="B33" s="1104" t="n"/>
      <c r="C33" s="964" t="n"/>
      <c r="D33" s="1104" t="n"/>
      <c r="E33" s="964" t="n"/>
      <c r="F33" s="1104" t="n"/>
      <c r="G33" s="964" t="n"/>
    </row>
    <row r="34" ht="27.75" customHeight="1" s="981">
      <c r="A34" s="964" t="n"/>
      <c r="B34" s="1104" t="n"/>
      <c r="C34" s="964" t="n"/>
      <c r="D34" s="1104" t="n"/>
      <c r="E34" s="964" t="n"/>
      <c r="F34" s="1104" t="n"/>
      <c r="G34" s="964" t="n"/>
    </row>
    <row r="35" ht="27.75" customHeight="1" s="981">
      <c r="A35" s="964" t="n"/>
      <c r="B35" s="1104" t="n"/>
      <c r="C35" s="964" t="n"/>
      <c r="D35" s="1104" t="n"/>
      <c r="E35" s="964" t="n"/>
      <c r="F35" s="1104" t="n"/>
      <c r="G35" s="964" t="n"/>
    </row>
    <row r="36" ht="27.75" customHeight="1" s="981">
      <c r="A36" s="964" t="n"/>
      <c r="B36" s="1104" t="n"/>
      <c r="C36" s="964" t="n"/>
      <c r="D36" s="1104" t="n"/>
      <c r="E36" s="964" t="n"/>
      <c r="F36" s="1104" t="n"/>
      <c r="G36" s="964" t="n"/>
    </row>
    <row r="37" ht="27.75" customHeight="1" s="981">
      <c r="A37" s="964" t="n"/>
      <c r="B37" s="1104" t="n"/>
      <c r="C37" s="964" t="n"/>
      <c r="D37" s="1104" t="n"/>
      <c r="E37" s="964" t="n"/>
      <c r="F37" s="1104" t="n"/>
      <c r="G37" s="964" t="n"/>
    </row>
    <row r="38" ht="27.75" customHeight="1" s="981">
      <c r="A38" s="964" t="n"/>
      <c r="B38" s="1104" t="n"/>
      <c r="C38" s="964" t="n"/>
      <c r="D38" s="1104" t="n"/>
      <c r="E38" s="964" t="n"/>
      <c r="F38" s="1104" t="n"/>
      <c r="G38" s="964" t="n"/>
    </row>
  </sheetData>
  <mergeCells count="6">
    <mergeCell ref="B13:C13"/>
    <mergeCell ref="B7:C7"/>
    <mergeCell ref="B3:C3"/>
    <mergeCell ref="B19:C19"/>
    <mergeCell ref="B20:C20"/>
    <mergeCell ref="B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18" customWidth="1" style="981" min="2" max="2"/>
    <col width="70" customWidth="1" style="981" min="3" max="3"/>
    <col width="11" customWidth="1" style="981" min="4" max="4"/>
    <col width="10" customWidth="1" style="981" min="5" max="5"/>
    <col width="40" customWidth="1" style="981" min="6" max="6"/>
  </cols>
  <sheetData>
    <row r="1" ht="30" customHeight="1" s="981">
      <c r="A1" s="1179" t="inlineStr">
        <is>
          <t>🌐 6 NGUỒN API THỊ TRƯỜNG CHỨNG KHOÁN VIỆT NAM</t>
        </is>
      </c>
      <c r="B1" s="965" t="n"/>
      <c r="C1" s="965" t="n"/>
      <c r="D1" s="965" t="n"/>
      <c r="E1" s="965" t="n"/>
      <c r="F1" s="966" t="n"/>
    </row>
    <row r="2" ht="15" customHeight="1" s="981">
      <c r="A2" s="1181" t="inlineStr">
        <is>
          <t>Danh sách URL miễn phí, không cần token. Script update_prices.py đã tích hợp 4 nguồn đầu làm fallback chain.</t>
        </is>
      </c>
      <c r="B2" s="965" t="n"/>
      <c r="C2" s="965" t="n"/>
      <c r="D2" s="965" t="n"/>
      <c r="E2" s="965" t="n"/>
      <c r="F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</row>
    <row r="4" ht="30" customHeight="1" s="981">
      <c r="A4" s="1182" t="inlineStr">
        <is>
          <t>#</t>
        </is>
      </c>
      <c r="B4" s="1182" t="inlineStr">
        <is>
          <t>Nguồn</t>
        </is>
      </c>
      <c r="C4" s="1182" t="inlineStr">
        <is>
          <t>Endpoint URL (mẫu cho mã FPT)</t>
        </is>
      </c>
      <c r="D4" s="1182" t="inlineStr">
        <is>
          <t>Cần token?</t>
        </is>
      </c>
      <c r="E4" s="1182" t="inlineStr">
        <is>
          <t>Tốc độ</t>
        </is>
      </c>
      <c r="F4" s="1182" t="inlineStr">
        <is>
          <t>Ghi chú</t>
        </is>
      </c>
    </row>
    <row r="5" ht="42" customHeight="1" s="981">
      <c r="A5" s="235" t="inlineStr">
        <is>
          <t>1</t>
        </is>
      </c>
      <c r="B5" s="1102" t="inlineStr">
        <is>
          <t>VNDirect (chính)</t>
        </is>
      </c>
      <c r="C5" s="678" t="inlineStr">
        <is>
          <t>https://api-finfo.vndirect.com.vn/v4/stock_prices?q=code:FPT&amp;size=1&amp;sort=date:desc</t>
        </is>
      </c>
      <c r="D5" s="12" t="inlineStr">
        <is>
          <t>Không</t>
        </is>
      </c>
      <c r="E5" s="12" t="inlineStr">
        <is>
          <t>Nhanh</t>
        </is>
      </c>
      <c r="F5" s="1176" t="inlineStr">
        <is>
          <t>Trả về JSON: code, date, close, basicPrice, nmVolume. Giá là nghìn ₫ (cần ×1000).</t>
        </is>
      </c>
    </row>
    <row r="6" ht="42" customHeight="1" s="981">
      <c r="A6" s="235" t="inlineStr">
        <is>
          <t>1b</t>
        </is>
      </c>
      <c r="B6" s="1102" t="inlineStr">
        <is>
          <t>VNDirect (alt)</t>
        </is>
      </c>
      <c r="C6" s="678" t="inlineStr">
        <is>
          <t>https://finfo-api.vndirect.com.vn/v4/stock_prices?q=code:FPT&amp;size=1&amp;sort=date:desc</t>
        </is>
      </c>
      <c r="D6" s="12" t="inlineStr">
        <is>
          <t>Không</t>
        </is>
      </c>
      <c r="E6" s="12" t="inlineStr">
        <is>
          <t>Nhanh</t>
        </is>
      </c>
      <c r="F6" s="1176" t="inlineStr">
        <is>
          <t>Subdomain dự phòng — thử khi #1 chặn IP.</t>
        </is>
      </c>
    </row>
    <row r="7" ht="42" customHeight="1" s="981">
      <c r="A7" s="235" t="inlineStr">
        <is>
          <t>2</t>
        </is>
      </c>
      <c r="B7" s="1102" t="inlineStr">
        <is>
          <t>TCBS (long-term)</t>
        </is>
      </c>
      <c r="C7" s="678" t="inlineStr">
        <is>
          <t>https://apipubaws.tcbs.com.vn/stock-insight/v1/stock/bars-long-term?ticker=FPT&amp;type=stock&amp;resolution=D&amp;countBack=2</t>
        </is>
      </c>
      <c r="D7" s="12" t="inlineStr">
        <is>
          <t>Không</t>
        </is>
      </c>
      <c r="E7" s="12" t="inlineStr">
        <is>
          <t>Nhanh</t>
        </is>
      </c>
      <c r="F7" s="1176" t="inlineStr">
        <is>
          <t>Trả về open/high/low/close/volume mỗi ngày. Giá đã là ₫ thuần.</t>
        </is>
      </c>
    </row>
    <row r="8" ht="42" customHeight="1" s="981">
      <c r="A8" s="235" t="inlineStr">
        <is>
          <t>2b</t>
        </is>
      </c>
      <c r="B8" s="1102" t="inlineStr">
        <is>
          <t>TCBS (intraday)</t>
        </is>
      </c>
      <c r="C8" s="678" t="inlineStr">
        <is>
          <t>https://apipubaws.tcbs.com.vn/stock-insight/v2/stock/bars?ticker=FPT&amp;type=stock&amp;resolution=60&amp;countBack=10</t>
        </is>
      </c>
      <c r="D8" s="12" t="inlineStr">
        <is>
          <t>Không</t>
        </is>
      </c>
      <c r="E8" s="12" t="inlineStr">
        <is>
          <t>Nhanh</t>
        </is>
      </c>
      <c r="F8" s="1176" t="inlineStr">
        <is>
          <t>Cho intraday 1m/5m/15m/60m. Tránh spam (TCBS có anti-bot).</t>
        </is>
      </c>
    </row>
    <row r="9" ht="42" customHeight="1" s="981">
      <c r="A9" s="1030" t="inlineStr">
        <is>
          <t>3</t>
        </is>
      </c>
      <c r="B9" s="1102" t="inlineStr">
        <is>
          <t>SSI iBoard</t>
        </is>
      </c>
      <c r="C9" s="678" t="inlineStr">
        <is>
          <t>https://iboard-api.ssi.com.vn/statistics/company/stock-price?symbol=FPT&amp;page=1&amp;pageSize=1&amp;fromDate=01/05/2026&amp;toDate=08/05/2026</t>
        </is>
      </c>
      <c r="D9" s="12" t="inlineStr">
        <is>
          <t>Không</t>
        </is>
      </c>
      <c r="E9" s="12" t="inlineStr">
        <is>
          <t>Trung</t>
        </is>
      </c>
      <c r="F9" s="1176" t="inlineStr">
        <is>
          <t>Format ngày DD/MM/YYYY. Trả về OHLCV chuẩn.</t>
        </is>
      </c>
    </row>
    <row r="10" ht="42" customHeight="1" s="981">
      <c r="A10" s="1030" t="inlineStr">
        <is>
          <t>4</t>
        </is>
      </c>
      <c r="B10" s="1102" t="inlineStr">
        <is>
          <t>FireAnt</t>
        </is>
      </c>
      <c r="C10" s="678" t="inlineStr">
        <is>
          <t>https://restv2.fireant.vn/symbols/FPT/historical-quotes?startDate=2026-05-01&amp;endDate=2026-05-08&amp;offset=0&amp;limit=1</t>
        </is>
      </c>
      <c r="D10" s="12" t="inlineStr">
        <is>
          <t>Không</t>
        </is>
      </c>
      <c r="E10" s="12" t="inlineStr">
        <is>
          <t>Nhanh</t>
        </is>
      </c>
      <c r="F10" s="1176" t="inlineStr">
        <is>
          <t>Format ngày YYYY-MM-DD. Read-only public.</t>
        </is>
      </c>
    </row>
    <row r="11" ht="42" customHeight="1" s="981">
      <c r="A11" s="679" t="inlineStr">
        <is>
          <t>5</t>
        </is>
      </c>
      <c r="B11" s="1102" t="inlineStr">
        <is>
          <t>CafeF (HTML)</t>
        </is>
      </c>
      <c r="C11" s="678" t="inlineStr">
        <is>
          <t>https://s.cafef.vn/Lich-su-giao-dich-FPT-1.chn</t>
        </is>
      </c>
      <c r="D11" s="12" t="inlineStr">
        <is>
          <t>Không</t>
        </is>
      </c>
      <c r="E11" s="12" t="inlineStr">
        <is>
          <t>Chậm</t>
        </is>
      </c>
      <c r="F11" s="1176" t="inlineStr">
        <is>
          <t>⚠ Không có API thuần — phải parse HTML. Không khuyến khích.</t>
        </is>
      </c>
    </row>
    <row r="12" ht="42" customHeight="1" s="981">
      <c r="A12" s="680" t="inlineStr">
        <is>
          <t>6</t>
        </is>
      </c>
      <c r="B12" s="1102" t="inlineStr">
        <is>
          <t>vnstock (lib)</t>
        </is>
      </c>
      <c r="C12" s="678" t="inlineStr">
        <is>
          <t>pip install vnstock — Vnstock().stock(symbol="FPT", source="VCI").quote.history(...)</t>
        </is>
      </c>
      <c r="D12" s="12" t="inlineStr">
        <is>
          <t>Không</t>
        </is>
      </c>
      <c r="E12" s="12" t="inlineStr">
        <is>
          <t>Trung</t>
        </is>
      </c>
      <c r="F12" s="1176" t="inlineStr">
        <is>
          <t>🛡 An toàn nhất — tự xoay TCBS/SSI/VCI/MSN khi 1 nguồn fail.</t>
        </is>
      </c>
    </row>
    <row r="13" ht="15" customHeight="1" s="981">
      <c r="A13" s="1050" t="n"/>
      <c r="B13" s="1050" t="n"/>
      <c r="C13" s="1050" t="n"/>
      <c r="D13" s="1050" t="n"/>
      <c r="E13" s="1050" t="n"/>
      <c r="F13" s="1050" t="n"/>
    </row>
    <row r="14" ht="15" customHeight="1" s="981">
      <c r="A14" s="1159" t="inlineStr">
        <is>
          <t>⚠️ LƯU Ý QUAN TRỌNG</t>
        </is>
      </c>
      <c r="B14" s="965" t="n"/>
      <c r="C14" s="965" t="n"/>
      <c r="D14" s="965" t="n"/>
      <c r="E14" s="965" t="n"/>
      <c r="F14" s="966" t="n"/>
    </row>
    <row r="15" ht="31.5" customHeight="1" s="981">
      <c r="A15" s="1176" t="inlineStr">
        <is>
          <t>Các API trên là PUBLIC nhưng KHÔNG được công ty CK chính thức công bố. Họ có thể đổi/chặn bất cứ lúc nào.</t>
        </is>
      </c>
      <c r="B15" s="965" t="n"/>
      <c r="C15" s="965" t="n"/>
      <c r="D15" s="965" t="n"/>
      <c r="E15" s="965" t="n"/>
      <c r="F15" s="966" t="n"/>
    </row>
    <row r="16" ht="31.5" customHeight="1" s="981">
      <c r="A16" s="1176" t="inlineStr">
        <is>
          <t>Để bền vững, nên dùng vnstock library (#6) — tác giả maintain endpoint thay đổi cho bạn.</t>
        </is>
      </c>
      <c r="B16" s="965" t="n"/>
      <c r="C16" s="965" t="n"/>
      <c r="D16" s="965" t="n"/>
      <c r="E16" s="965" t="n"/>
      <c r="F16" s="966" t="n"/>
    </row>
    <row r="17" ht="31.5" customHeight="1" s="981">
      <c r="A17" s="1176" t="inlineStr">
        <is>
          <t>KHÔNG spam: tối đa 1-2 request/giây cho mỗi mã. Thị trường VN đóng cửa 14:45 nên schedule chạy lúc 16:00.</t>
        </is>
      </c>
      <c r="B17" s="965" t="n"/>
      <c r="C17" s="965" t="n"/>
      <c r="D17" s="965" t="n"/>
      <c r="E17" s="965" t="n"/>
      <c r="F17" s="966" t="n"/>
    </row>
    <row r="18" ht="31.5" customHeight="1" s="981">
      <c r="A18" s="1176" t="inlineStr">
        <is>
          <t>Nếu thấy lỗi 403/429 nhiều ngày liền → API đã chặn IP/domain — chuyển sang nguồn khác hoặc dùng vnstock.</t>
        </is>
      </c>
      <c r="B18" s="965" t="n"/>
      <c r="C18" s="965" t="n"/>
      <c r="D18" s="965" t="n"/>
      <c r="E18" s="965" t="n"/>
      <c r="F18" s="966" t="n"/>
    </row>
    <row r="19" ht="31.5" customHeight="1" s="981">
      <c r="A19" s="1176" t="inlineStr">
        <is>
          <t>Giá ở VNDirect là "nghìn ₫" (FPT trả 75.5 = 75,500 ₫). Script đã ×1000. TCBS/SSI trả ₫ thuần — không nhân.</t>
        </is>
      </c>
      <c r="B19" s="965" t="n"/>
      <c r="C19" s="965" t="n"/>
      <c r="D19" s="965" t="n"/>
      <c r="E19" s="965" t="n"/>
      <c r="F19" s="966" t="n"/>
    </row>
  </sheetData>
  <mergeCells count="8">
    <mergeCell ref="A2:F2"/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22" customWidth="1" style="981" min="1" max="1"/>
    <col width="14" customWidth="1" style="981" min="2" max="2"/>
    <col width="10" customWidth="1" style="981" min="3" max="3"/>
    <col width="8" customWidth="1" style="981" min="4" max="4"/>
    <col width="9" customWidth="1" style="981" min="5" max="5"/>
    <col width="16" customWidth="1" style="981" min="6" max="6"/>
    <col width="12" customWidth="1" style="981" min="7" max="7"/>
    <col width="10" customWidth="1" style="981" min="8" max="8"/>
    <col width="45" customWidth="1" style="981" min="9" max="9"/>
    <col width="15" customWidth="1" style="981" min="10" max="10"/>
    <col width="12" customWidth="1" style="981" min="11" max="11"/>
    <col width="28" customWidth="1" style="981" min="12" max="12"/>
  </cols>
  <sheetData>
    <row r="1" ht="27.75" customHeight="1" s="981">
      <c r="A1" s="1192" t="inlineStr">
        <is>
          <t>🏦 TRÁI PHIẾU VIỆT NAM — 25 sản phẩm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  <c r="M1" s="1050" t="n"/>
    </row>
    <row r="2" ht="15.75" customHeight="1" s="981">
      <c r="A2" s="1191" t="inlineStr">
        <is>
          <t>TPCP (an toàn nhất, YTM 2.45-3.35%) | TPDN (lãi cao hơn, kèm rủi ro) | Muni (tỉnh thành)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  <c r="M2" s="1050" t="n"/>
    </row>
    <row r="3" ht="18" customHeight="1" s="981">
      <c r="A3" s="681" t="inlineStr">
        <is>
          <t>TPCP 2Y: 2.75%</t>
        </is>
      </c>
      <c r="B3" s="681" t="inlineStr">
        <is>
          <t>TPCP 5Y: 2.85%</t>
        </is>
      </c>
      <c r="C3" s="681" t="inlineStr">
        <is>
          <t>TPCP 10Y: 3.00%</t>
        </is>
      </c>
      <c r="D3" s="681" t="inlineStr">
        <is>
          <t>TPCP 30Y: 3.35%</t>
        </is>
      </c>
      <c r="E3" s="682" t="inlineStr">
        <is>
          <t>DN AA: 7-8%</t>
        </is>
      </c>
      <c r="F3" s="682" t="inlineStr">
        <is>
          <t>DN A: 8-10%</t>
        </is>
      </c>
      <c r="G3" s="683" t="inlineStr">
        <is>
          <t>DN BBB: 10-12%</t>
        </is>
      </c>
      <c r="H3" s="684" t="inlineStr">
        <is>
          <t>Lãi suất NN: 4.5%</t>
        </is>
      </c>
      <c r="I3" s="685" t="inlineStr">
        <is>
          <t>VN TPCP &gt; US TPCP? Chenh: VN10Y-US10Y = -1.49%</t>
        </is>
      </c>
      <c r="J3" s="1054" t="inlineStr">
        <is>
          <t>US 10Y: 4.49%</t>
        </is>
      </c>
      <c r="K3" s="1050" t="n"/>
      <c r="L3" s="1050" t="n"/>
      <c r="M3" s="1050" t="n"/>
    </row>
    <row r="4" ht="31.5" customHeight="1" s="981">
      <c r="A4" s="386" t="inlineStr">
        <is>
          <t>Tên</t>
        </is>
      </c>
      <c r="B4" s="386" t="inlineStr">
        <is>
          <t>Loại</t>
        </is>
      </c>
      <c r="C4" s="386" t="inlineStr">
        <is>
          <t>Kỳ hạn</t>
        </is>
      </c>
      <c r="D4" s="386" t="inlineStr">
        <is>
          <t>YTM %</t>
        </is>
      </c>
      <c r="E4" s="386" t="inlineStr">
        <is>
          <t>Coupon %</t>
        </is>
      </c>
      <c r="F4" s="386" t="inlineStr">
        <is>
          <t>Mệnh giá (₫)</t>
        </is>
      </c>
      <c r="G4" s="386" t="inlineStr">
        <is>
          <t>Thanh khoản</t>
        </is>
      </c>
      <c r="H4" s="386" t="inlineStr">
        <is>
          <t>Xếp hạng</t>
        </is>
      </c>
      <c r="I4" s="386" t="inlineStr">
        <is>
          <t>Ghi chú</t>
        </is>
      </c>
      <c r="J4" s="686" t="n"/>
      <c r="K4" s="686" t="n"/>
      <c r="L4" s="686" t="n"/>
      <c r="M4" s="1050" t="n"/>
    </row>
    <row r="5" ht="18" customHeight="1" s="981">
      <c r="A5" s="1102" t="inlineStr">
        <is>
          <t>TPCP 1 năm</t>
        </is>
      </c>
      <c r="B5" s="669" t="inlineStr">
        <is>
          <t>Chính phủ</t>
        </is>
      </c>
      <c r="C5" s="669" t="inlineStr">
        <is>
          <t>1Y</t>
        </is>
      </c>
      <c r="D5" s="687" t="n">
        <v>0.0245</v>
      </c>
      <c r="E5" s="687" t="n">
        <v>0.024</v>
      </c>
      <c r="F5" s="687" t="n">
        <v>100000000</v>
      </c>
      <c r="G5" s="669" t="inlineStr">
        <is>
          <t>Cao</t>
        </is>
      </c>
      <c r="H5" s="688" t="inlineStr">
        <is>
          <t>AAA</t>
        </is>
      </c>
      <c r="I5" s="669" t="inlineStr">
        <is>
          <t>Rủi ro thấp nhất, thanh khoản tốt</t>
        </is>
      </c>
      <c r="J5" s="689" t="n"/>
      <c r="K5" s="1209" t="n"/>
      <c r="L5" s="690" t="n"/>
      <c r="M5" s="1050" t="n"/>
    </row>
    <row r="6" ht="18" customHeight="1" s="981">
      <c r="A6" s="1102" t="inlineStr">
        <is>
          <t>TPCP 2 năm</t>
        </is>
      </c>
      <c r="B6" s="669" t="inlineStr">
        <is>
          <t>Chính phủ</t>
        </is>
      </c>
      <c r="C6" s="669" t="inlineStr">
        <is>
          <t>2Y</t>
        </is>
      </c>
      <c r="D6" s="687" t="n">
        <v>0.0265</v>
      </c>
      <c r="E6" s="687" t="n">
        <v>0.026</v>
      </c>
      <c r="F6" s="687" t="n">
        <v>100000000</v>
      </c>
      <c r="G6" s="669" t="inlineStr">
        <is>
          <t>Cao</t>
        </is>
      </c>
      <c r="H6" s="688" t="inlineStr">
        <is>
          <t>AAA</t>
        </is>
      </c>
      <c r="I6" s="669" t="inlineStr">
        <is>
          <t>Phù hợp tích sản trung hạn</t>
        </is>
      </c>
      <c r="J6" s="689" t="n"/>
      <c r="K6" s="1209" t="n"/>
      <c r="L6" s="690" t="n"/>
      <c r="M6" s="1050" t="n"/>
    </row>
    <row r="7" ht="18" customHeight="1" s="981">
      <c r="A7" s="1102" t="inlineStr">
        <is>
          <t>TPCP 3 năm</t>
        </is>
      </c>
      <c r="B7" s="669" t="inlineStr">
        <is>
          <t>Chính phủ</t>
        </is>
      </c>
      <c r="C7" s="669" t="inlineStr">
        <is>
          <t>3Y</t>
        </is>
      </c>
      <c r="D7" s="687" t="n">
        <v>0.0278</v>
      </c>
      <c r="E7" s="687" t="n">
        <v>0.0275</v>
      </c>
      <c r="F7" s="687" t="n">
        <v>100000000</v>
      </c>
      <c r="G7" s="669" t="inlineStr">
        <is>
          <t>Cao</t>
        </is>
      </c>
      <c r="H7" s="688" t="inlineStr">
        <is>
          <t>AAA</t>
        </is>
      </c>
      <c r="I7" s="669" t="inlineStr">
        <is>
          <t>Cân bằng thanh khoản &amp; lợi suất</t>
        </is>
      </c>
      <c r="J7" s="689" t="n"/>
      <c r="K7" s="1209" t="n"/>
      <c r="L7" s="690" t="n"/>
      <c r="M7" s="1050" t="n"/>
    </row>
    <row r="8" ht="18" customHeight="1" s="981">
      <c r="A8" s="1102" t="inlineStr">
        <is>
          <t>TPCP 5 năm</t>
        </is>
      </c>
      <c r="B8" s="669" t="inlineStr">
        <is>
          <t>Chính phủ</t>
        </is>
      </c>
      <c r="C8" s="669" t="inlineStr">
        <is>
          <t>5Y</t>
        </is>
      </c>
      <c r="D8" s="687" t="n">
        <v>0.0285</v>
      </c>
      <c r="E8" s="687" t="n">
        <v>0.028</v>
      </c>
      <c r="F8" s="687" t="n">
        <v>100000000</v>
      </c>
      <c r="G8" s="669" t="inlineStr">
        <is>
          <t>Cao</t>
        </is>
      </c>
      <c r="H8" s="688" t="inlineStr">
        <is>
          <t>AAA</t>
        </is>
      </c>
      <c r="I8" s="669" t="inlineStr">
        <is>
          <t>Phổ biến nhất, dễ giao dịch</t>
        </is>
      </c>
      <c r="J8" s="689" t="n"/>
      <c r="K8" s="1209" t="n"/>
      <c r="L8" s="690" t="n"/>
      <c r="M8" s="1050" t="n"/>
    </row>
    <row r="9" ht="18" customHeight="1" s="981">
      <c r="A9" s="1102" t="inlineStr">
        <is>
          <t>TPCP 7 năm</t>
        </is>
      </c>
      <c r="B9" s="669" t="inlineStr">
        <is>
          <t>Chính phủ</t>
        </is>
      </c>
      <c r="C9" s="669" t="inlineStr">
        <is>
          <t>7Y</t>
        </is>
      </c>
      <c r="D9" s="687" t="n">
        <v>0.0295</v>
      </c>
      <c r="E9" s="687" t="n">
        <v>0.029</v>
      </c>
      <c r="F9" s="687" t="n">
        <v>100000000</v>
      </c>
      <c r="G9" s="669" t="inlineStr">
        <is>
          <t>TB</t>
        </is>
      </c>
      <c r="H9" s="688" t="inlineStr">
        <is>
          <t>AAA</t>
        </is>
      </c>
      <c r="I9" s="669" t="inlineStr">
        <is>
          <t>Cho hưu trí, NĐT dài hạn</t>
        </is>
      </c>
      <c r="J9" s="689" t="n"/>
      <c r="K9" s="1209" t="n"/>
      <c r="L9" s="690" t="n"/>
      <c r="M9" s="1050" t="n"/>
    </row>
    <row r="10" ht="18" customHeight="1" s="981">
      <c r="A10" s="1102" t="inlineStr">
        <is>
          <t>TPCP 10 năm</t>
        </is>
      </c>
      <c r="B10" s="669" t="inlineStr">
        <is>
          <t>Chính phủ</t>
        </is>
      </c>
      <c r="C10" s="669" t="inlineStr">
        <is>
          <t>10Y</t>
        </is>
      </c>
      <c r="D10" s="687" t="n">
        <v>0.03</v>
      </c>
      <c r="E10" s="687" t="n">
        <v>0.0295</v>
      </c>
      <c r="F10" s="687" t="n">
        <v>100000000</v>
      </c>
      <c r="G10" s="669" t="inlineStr">
        <is>
          <t>Cao</t>
        </is>
      </c>
      <c r="H10" s="688" t="inlineStr">
        <is>
          <t>AAA</t>
        </is>
      </c>
      <c r="I10" s="669" t="inlineStr">
        <is>
          <t>Chuẩn benchmark thị trường</t>
        </is>
      </c>
      <c r="J10" s="689" t="n"/>
      <c r="K10" s="1209" t="n"/>
      <c r="L10" s="690" t="n"/>
      <c r="M10" s="1050" t="n"/>
    </row>
    <row r="11" ht="18" customHeight="1" s="981">
      <c r="A11" s="1102" t="inlineStr">
        <is>
          <t>TPCP 15 năm</t>
        </is>
      </c>
      <c r="B11" s="669" t="inlineStr">
        <is>
          <t>Chính phủ</t>
        </is>
      </c>
      <c r="C11" s="669" t="inlineStr">
        <is>
          <t>15Y</t>
        </is>
      </c>
      <c r="D11" s="687" t="n">
        <v>0.0315</v>
      </c>
      <c r="E11" s="687" t="n">
        <v>0.031</v>
      </c>
      <c r="F11" s="687" t="n">
        <v>100000000</v>
      </c>
      <c r="G11" s="669" t="inlineStr">
        <is>
          <t>TB</t>
        </is>
      </c>
      <c r="H11" s="688" t="inlineStr">
        <is>
          <t>AAA</t>
        </is>
      </c>
      <c r="I11" s="669" t="inlineStr">
        <is>
          <t>Pension funds ưa chuộng</t>
        </is>
      </c>
      <c r="J11" s="689" t="n"/>
      <c r="K11" s="1209" t="n"/>
      <c r="L11" s="690" t="n"/>
      <c r="M11" s="1050" t="n"/>
    </row>
    <row r="12" ht="18" customHeight="1" s="981">
      <c r="A12" s="1102" t="inlineStr">
        <is>
          <t>TPCP 20 năm</t>
        </is>
      </c>
      <c r="B12" s="669" t="inlineStr">
        <is>
          <t>Chính phủ</t>
        </is>
      </c>
      <c r="C12" s="669" t="inlineStr">
        <is>
          <t>20Y</t>
        </is>
      </c>
      <c r="D12" s="687" t="n">
        <v>0.0325</v>
      </c>
      <c r="E12" s="687" t="n">
        <v>0.032</v>
      </c>
      <c r="F12" s="687" t="n">
        <v>100000000</v>
      </c>
      <c r="G12" s="669" t="inlineStr">
        <is>
          <t>Thấp</t>
        </is>
      </c>
      <c r="H12" s="688" t="inlineStr">
        <is>
          <t>AAA</t>
        </is>
      </c>
      <c r="I12" s="669" t="inlineStr">
        <is>
          <t>Long duration, sensitive lãi suất</t>
        </is>
      </c>
      <c r="J12" s="689" t="n"/>
      <c r="K12" s="1209" t="n"/>
      <c r="L12" s="690" t="n"/>
      <c r="M12" s="1050" t="n"/>
    </row>
    <row r="13" ht="18" customHeight="1" s="981">
      <c r="A13" s="1102" t="inlineStr">
        <is>
          <t>TPCP 30 năm</t>
        </is>
      </c>
      <c r="B13" s="669" t="inlineStr">
        <is>
          <t>Chính phủ</t>
        </is>
      </c>
      <c r="C13" s="669" t="inlineStr">
        <is>
          <t>30Y</t>
        </is>
      </c>
      <c r="D13" s="687" t="n">
        <v>0.0335</v>
      </c>
      <c r="E13" s="687" t="n">
        <v>0.033</v>
      </c>
      <c r="F13" s="687" t="n">
        <v>100000000</v>
      </c>
      <c r="G13" s="669" t="inlineStr">
        <is>
          <t>Thấp</t>
        </is>
      </c>
      <c r="H13" s="688" t="inlineStr">
        <is>
          <t>AAA</t>
        </is>
      </c>
      <c r="I13" s="669" t="inlineStr">
        <is>
          <t>Cực dài hạn, ít liquidity</t>
        </is>
      </c>
      <c r="J13" s="689" t="n"/>
      <c r="K13" s="1209" t="n"/>
      <c r="L13" s="690" t="n"/>
      <c r="M13" s="1050" t="n"/>
    </row>
    <row r="14" ht="18" customHeight="1" s="981">
      <c r="A14" s="1102" t="inlineStr">
        <is>
          <t>VPB Bond 2027</t>
        </is>
      </c>
      <c r="B14" s="669" t="inlineStr">
        <is>
          <t>Doanh nghiệp</t>
        </is>
      </c>
      <c r="C14" s="669" t="inlineStr">
        <is>
          <t>3Y</t>
        </is>
      </c>
      <c r="D14" s="691" t="n">
        <v>0.0485</v>
      </c>
      <c r="E14" s="691" t="n">
        <v>0.045</v>
      </c>
      <c r="F14" s="687" t="n">
        <v>100000000</v>
      </c>
      <c r="G14" s="669" t="inlineStr">
        <is>
          <t>Cao</t>
        </is>
      </c>
      <c r="H14" s="692" t="inlineStr">
        <is>
          <t>AA</t>
        </is>
      </c>
      <c r="I14" s="669" t="inlineStr">
        <is>
          <t>VPBank, ngân hàng top</t>
        </is>
      </c>
      <c r="J14" s="689" t="n"/>
      <c r="K14" s="1209" t="n"/>
      <c r="L14" s="690" t="n"/>
      <c r="M14" s="1050" t="n"/>
    </row>
    <row r="15" ht="18" customHeight="1" s="981">
      <c r="A15" s="1102" t="inlineStr">
        <is>
          <t>VIC Bond 2028</t>
        </is>
      </c>
      <c r="B15" s="669" t="inlineStr">
        <is>
          <t>Doanh nghiệp</t>
        </is>
      </c>
      <c r="C15" s="669" t="inlineStr">
        <is>
          <t>4Y</t>
        </is>
      </c>
      <c r="D15" s="693" t="n">
        <v>0.055</v>
      </c>
      <c r="E15" s="693" t="n">
        <v>0.052</v>
      </c>
      <c r="F15" s="687" t="n">
        <v>100000000</v>
      </c>
      <c r="G15" s="669" t="inlineStr">
        <is>
          <t>TB</t>
        </is>
      </c>
      <c r="H15" s="692" t="inlineStr">
        <is>
          <t>A</t>
        </is>
      </c>
      <c r="I15" s="669" t="inlineStr">
        <is>
          <t>Vingroup, BĐS lớn</t>
        </is>
      </c>
      <c r="J15" s="689" t="n"/>
      <c r="K15" s="1209" t="n"/>
      <c r="L15" s="690" t="n"/>
      <c r="M15" s="694" t="n"/>
    </row>
    <row r="16" ht="18" customHeight="1" s="981">
      <c r="A16" s="1102" t="inlineStr">
        <is>
          <t>MSN Bond 2026</t>
        </is>
      </c>
      <c r="B16" s="669" t="inlineStr">
        <is>
          <t>Doanh nghiệp</t>
        </is>
      </c>
      <c r="C16" s="669" t="inlineStr">
        <is>
          <t>2Y</t>
        </is>
      </c>
      <c r="D16" s="693" t="n">
        <v>0.052</v>
      </c>
      <c r="E16" s="691" t="n">
        <v>0.049</v>
      </c>
      <c r="F16" s="687" t="n">
        <v>100000000</v>
      </c>
      <c r="G16" s="669" t="inlineStr">
        <is>
          <t>TB</t>
        </is>
      </c>
      <c r="H16" s="692" t="inlineStr">
        <is>
          <t>A</t>
        </is>
      </c>
      <c r="I16" s="669" t="inlineStr">
        <is>
          <t>Masan, tiêu dùng đa ngành</t>
        </is>
      </c>
      <c r="J16" s="689" t="n"/>
      <c r="K16" s="1209" t="n"/>
      <c r="L16" s="690" t="n"/>
      <c r="M16" s="1050" t="n"/>
    </row>
    <row r="17" ht="18" customHeight="1" s="981">
      <c r="A17" s="1102" t="inlineStr">
        <is>
          <t>HPG Bond 2030</t>
        </is>
      </c>
      <c r="B17" s="669" t="inlineStr">
        <is>
          <t>Doanh nghiệp</t>
        </is>
      </c>
      <c r="C17" s="669" t="inlineStr">
        <is>
          <t>6Y</t>
        </is>
      </c>
      <c r="D17" s="693" t="n">
        <v>0.058</v>
      </c>
      <c r="E17" s="693" t="n">
        <v>0.055</v>
      </c>
      <c r="F17" s="687" t="n">
        <v>100000000</v>
      </c>
      <c r="G17" s="669" t="inlineStr">
        <is>
          <t>TB</t>
        </is>
      </c>
      <c r="H17" s="692" t="inlineStr">
        <is>
          <t>AA</t>
        </is>
      </c>
      <c r="I17" s="669" t="inlineStr">
        <is>
          <t>Hòa Phát, thép số 1 VN</t>
        </is>
      </c>
      <c r="J17" s="689" t="n"/>
      <c r="K17" s="446" t="n"/>
      <c r="L17" s="690" t="n"/>
      <c r="M17" s="1050" t="n"/>
    </row>
    <row r="18" ht="18" customHeight="1" s="981">
      <c r="A18" s="1102" t="inlineStr">
        <is>
          <t>GEX Bond 2027</t>
        </is>
      </c>
      <c r="B18" s="669" t="inlineStr">
        <is>
          <t>Doanh nghiệp</t>
        </is>
      </c>
      <c r="C18" s="669" t="inlineStr">
        <is>
          <t>3Y</t>
        </is>
      </c>
      <c r="D18" s="693" t="n">
        <v>0.065</v>
      </c>
      <c r="E18" s="693" t="n">
        <v>0.062</v>
      </c>
      <c r="F18" s="687" t="n">
        <v>100000000</v>
      </c>
      <c r="G18" s="669" t="inlineStr">
        <is>
          <t>Thấp</t>
        </is>
      </c>
      <c r="H18" s="1030" t="inlineStr">
        <is>
          <t>BBB</t>
        </is>
      </c>
      <c r="I18" s="669" t="inlineStr">
        <is>
          <t>Gelex, lãi cao bù rủi ro</t>
        </is>
      </c>
      <c r="J18" s="689" t="n"/>
      <c r="K18" s="446" t="n"/>
      <c r="L18" s="690" t="n"/>
      <c r="M18" s="1050" t="n"/>
    </row>
    <row r="19" ht="18" customHeight="1" s="981">
      <c r="A19" s="1102" t="inlineStr">
        <is>
          <t>NVL Bond 2026</t>
        </is>
      </c>
      <c r="B19" s="669" t="inlineStr">
        <is>
          <t>Doanh nghiệp</t>
        </is>
      </c>
      <c r="C19" s="669" t="inlineStr">
        <is>
          <t>2Y</t>
        </is>
      </c>
      <c r="D19" s="693" t="n">
        <v>0.08500000000000001</v>
      </c>
      <c r="E19" s="693" t="n">
        <v>0.08</v>
      </c>
      <c r="F19" s="687" t="n">
        <v>100000000</v>
      </c>
      <c r="G19" s="669" t="inlineStr">
        <is>
          <t>Thấp</t>
        </is>
      </c>
      <c r="H19" s="695" t="inlineStr">
        <is>
          <t>BB</t>
        </is>
      </c>
      <c r="I19" s="669" t="inlineStr">
        <is>
          <t>⚠ Novaland, trong blacklist</t>
        </is>
      </c>
      <c r="J19" s="689" t="n"/>
      <c r="K19" s="446" t="n"/>
      <c r="L19" s="690" t="n"/>
      <c r="M19" s="1050" t="n"/>
    </row>
    <row r="20" ht="18" customHeight="1" s="981">
      <c r="A20" s="1102" t="inlineStr">
        <is>
          <t>VRE Bond 2029</t>
        </is>
      </c>
      <c r="B20" s="669" t="inlineStr">
        <is>
          <t>Doanh nghiệp</t>
        </is>
      </c>
      <c r="C20" s="669" t="inlineStr">
        <is>
          <t>5Y</t>
        </is>
      </c>
      <c r="D20" s="693" t="n">
        <v>0.0545</v>
      </c>
      <c r="E20" s="693" t="n">
        <v>0.051</v>
      </c>
      <c r="F20" s="687" t="n">
        <v>100000000</v>
      </c>
      <c r="G20" s="669" t="inlineStr">
        <is>
          <t>TB</t>
        </is>
      </c>
      <c r="H20" s="692" t="inlineStr">
        <is>
          <t>A</t>
        </is>
      </c>
      <c r="I20" s="669" t="inlineStr">
        <is>
          <t>Vincom Retail</t>
        </is>
      </c>
      <c r="J20" s="689" t="n"/>
      <c r="K20" s="446" t="n"/>
      <c r="L20" s="690" t="n"/>
      <c r="M20" s="1050" t="n"/>
    </row>
    <row r="21" ht="18" customHeight="1" s="981">
      <c r="A21" s="1102" t="inlineStr">
        <is>
          <t>KDH Bond 2027</t>
        </is>
      </c>
      <c r="B21" s="669" t="inlineStr">
        <is>
          <t>Doanh nghiệp</t>
        </is>
      </c>
      <c r="C21" s="669" t="inlineStr">
        <is>
          <t>3Y</t>
        </is>
      </c>
      <c r="D21" s="693" t="n">
        <v>0.062</v>
      </c>
      <c r="E21" s="693" t="n">
        <v>0.059</v>
      </c>
      <c r="F21" s="687" t="n">
        <v>100000000</v>
      </c>
      <c r="G21" s="669" t="inlineStr">
        <is>
          <t>TB</t>
        </is>
      </c>
      <c r="H21" s="1030" t="inlineStr">
        <is>
          <t>BBB</t>
        </is>
      </c>
      <c r="I21" s="669" t="inlineStr">
        <is>
          <t>Khang Điền BĐS HCM</t>
        </is>
      </c>
      <c r="J21" s="689" t="n"/>
      <c r="K21" s="446" t="n"/>
      <c r="L21" s="690" t="n"/>
      <c r="M21" s="1050" t="n"/>
    </row>
    <row r="22" ht="18" customHeight="1" s="981">
      <c r="A22" s="1102" t="inlineStr">
        <is>
          <t>MWG Bond 2028</t>
        </is>
      </c>
      <c r="B22" s="669" t="inlineStr">
        <is>
          <t>Doanh nghiệp</t>
        </is>
      </c>
      <c r="C22" s="669" t="inlineStr">
        <is>
          <t>4Y</t>
        </is>
      </c>
      <c r="D22" s="693" t="n">
        <v>0.0535</v>
      </c>
      <c r="E22" s="693" t="n">
        <v>0.05</v>
      </c>
      <c r="F22" s="687" t="n">
        <v>100000000</v>
      </c>
      <c r="G22" s="669" t="inlineStr">
        <is>
          <t>TB</t>
        </is>
      </c>
      <c r="H22" s="692" t="inlineStr">
        <is>
          <t>A</t>
        </is>
      </c>
      <c r="I22" s="669" t="inlineStr">
        <is>
          <t>TG Di Động bán lẻ top</t>
        </is>
      </c>
      <c r="J22" s="689" t="n"/>
      <c r="K22" s="446" t="n"/>
      <c r="L22" s="690" t="n"/>
      <c r="M22" s="1050" t="n"/>
    </row>
    <row r="23" ht="18" customHeight="1" s="981">
      <c r="A23" s="1102" t="inlineStr">
        <is>
          <t>MBB Bond 2030</t>
        </is>
      </c>
      <c r="B23" s="669" t="inlineStr">
        <is>
          <t>Doanh nghiệp</t>
        </is>
      </c>
      <c r="C23" s="669" t="inlineStr">
        <is>
          <t>6Y</t>
        </is>
      </c>
      <c r="D23" s="691" t="n">
        <v>0.0495</v>
      </c>
      <c r="E23" s="691" t="n">
        <v>0.047</v>
      </c>
      <c r="F23" s="687" t="n">
        <v>100000000</v>
      </c>
      <c r="G23" s="669" t="inlineStr">
        <is>
          <t>Cao</t>
        </is>
      </c>
      <c r="H23" s="692" t="inlineStr">
        <is>
          <t>AA</t>
        </is>
      </c>
      <c r="I23" s="669" t="inlineStr">
        <is>
          <t>MB Bank, top 5 NH</t>
        </is>
      </c>
      <c r="J23" s="689" t="n"/>
      <c r="K23" s="446" t="n"/>
      <c r="L23" s="690" t="n"/>
      <c r="M23" s="1050" t="n"/>
    </row>
    <row r="24" ht="18" customHeight="1" s="981">
      <c r="A24" s="1102" t="inlineStr">
        <is>
          <t>VCB Bond 2031</t>
        </is>
      </c>
      <c r="B24" s="669" t="inlineStr">
        <is>
          <t>Doanh nghiệp</t>
        </is>
      </c>
      <c r="C24" s="669" t="inlineStr">
        <is>
          <t>7Y</t>
        </is>
      </c>
      <c r="D24" s="691" t="n">
        <v>0.0475</v>
      </c>
      <c r="E24" s="691" t="n">
        <v>0.045</v>
      </c>
      <c r="F24" s="687" t="n">
        <v>100000000</v>
      </c>
      <c r="G24" s="669" t="inlineStr">
        <is>
          <t>Cao</t>
        </is>
      </c>
      <c r="H24" s="688" t="inlineStr">
        <is>
          <t>AAA</t>
        </is>
      </c>
      <c r="I24" s="669" t="inlineStr">
        <is>
          <t>Vietcombank gold standard</t>
        </is>
      </c>
      <c r="J24" s="689" t="n"/>
      <c r="K24" s="446" t="n"/>
      <c r="L24" s="690" t="n"/>
      <c r="M24" s="1050" t="n"/>
    </row>
    <row r="25" ht="18" customHeight="1" s="981">
      <c r="A25" s="1102" t="inlineStr">
        <is>
          <t>HCM 5 năm</t>
        </is>
      </c>
      <c r="B25" s="669" t="inlineStr">
        <is>
          <t>Tỉnh thành</t>
        </is>
      </c>
      <c r="C25" s="669" t="inlineStr">
        <is>
          <t>5Y</t>
        </is>
      </c>
      <c r="D25" s="687" t="n">
        <v>0.032</v>
      </c>
      <c r="E25" s="687" t="n">
        <v>0.0315</v>
      </c>
      <c r="F25" s="687" t="n">
        <v>100000000</v>
      </c>
      <c r="G25" s="669" t="inlineStr">
        <is>
          <t>TB</t>
        </is>
      </c>
      <c r="H25" s="692" t="inlineStr">
        <is>
          <t>AA</t>
        </is>
      </c>
      <c r="I25" s="669" t="inlineStr">
        <is>
          <t>TP.HCM municipal bond</t>
        </is>
      </c>
      <c r="J25" s="689" t="n"/>
      <c r="K25" s="696" t="n"/>
      <c r="L25" s="690" t="n"/>
      <c r="M25" s="1050" t="n"/>
    </row>
    <row r="26" ht="18" customHeight="1" s="981">
      <c r="A26" s="1102" t="inlineStr">
        <is>
          <t>Hà Nội 5 năm</t>
        </is>
      </c>
      <c r="B26" s="669" t="inlineStr">
        <is>
          <t>Tỉnh thành</t>
        </is>
      </c>
      <c r="C26" s="669" t="inlineStr">
        <is>
          <t>5Y</t>
        </is>
      </c>
      <c r="D26" s="687" t="n">
        <v>0.0315</v>
      </c>
      <c r="E26" s="687" t="n">
        <v>0.031</v>
      </c>
      <c r="F26" s="687" t="n">
        <v>100000000</v>
      </c>
      <c r="G26" s="669" t="inlineStr">
        <is>
          <t>TB</t>
        </is>
      </c>
      <c r="H26" s="692" t="inlineStr">
        <is>
          <t>AA</t>
        </is>
      </c>
      <c r="I26" s="669" t="inlineStr">
        <is>
          <t>Hà Nội municipal bond</t>
        </is>
      </c>
      <c r="J26" s="689" t="n"/>
      <c r="K26" s="696" t="n"/>
      <c r="L26" s="690" t="n"/>
      <c r="M26" s="1050" t="n"/>
    </row>
    <row r="27" ht="18" customHeight="1" s="981">
      <c r="A27" s="1102" t="inlineStr">
        <is>
          <t>ĐN 7 năm</t>
        </is>
      </c>
      <c r="B27" s="669" t="inlineStr">
        <is>
          <t>Tỉnh thành</t>
        </is>
      </c>
      <c r="C27" s="669" t="inlineStr">
        <is>
          <t>7Y</t>
        </is>
      </c>
      <c r="D27" s="687" t="n">
        <v>0.034</v>
      </c>
      <c r="E27" s="687" t="n">
        <v>0.0335</v>
      </c>
      <c r="F27" s="687" t="n">
        <v>100000000</v>
      </c>
      <c r="G27" s="669" t="inlineStr">
        <is>
          <t>Thấp</t>
        </is>
      </c>
      <c r="H27" s="692" t="inlineStr">
        <is>
          <t>A</t>
        </is>
      </c>
      <c r="I27" s="669" t="inlineStr">
        <is>
          <t>Đà Nẵng, dự án hạ tầng</t>
        </is>
      </c>
      <c r="J27" s="689" t="n"/>
      <c r="K27" s="696" t="n"/>
      <c r="L27" s="690" t="n"/>
      <c r="M27" s="1050" t="n"/>
    </row>
    <row r="28" ht="18" customHeight="1" s="981">
      <c r="A28" s="1102" t="inlineStr">
        <is>
          <t>MoMo Bond 2027</t>
        </is>
      </c>
      <c r="B28" s="669" t="inlineStr">
        <is>
          <t>Doanh nghiệp</t>
        </is>
      </c>
      <c r="C28" s="669" t="inlineStr">
        <is>
          <t>3Y</t>
        </is>
      </c>
      <c r="D28" s="693" t="n">
        <v>0.075</v>
      </c>
      <c r="E28" s="693" t="n">
        <v>0.07199999999999999</v>
      </c>
      <c r="F28" s="687" t="n">
        <v>100000000</v>
      </c>
      <c r="G28" s="669" t="inlineStr">
        <is>
          <t>Thấp</t>
        </is>
      </c>
      <c r="H28" s="1030" t="inlineStr">
        <is>
          <t>BBB</t>
        </is>
      </c>
      <c r="I28" s="669" t="inlineStr">
        <is>
          <t>Fintech, rủi ro tăng trưởng</t>
        </is>
      </c>
      <c r="J28" s="689" t="n"/>
      <c r="K28" s="696" t="n"/>
      <c r="L28" s="690" t="n"/>
      <c r="M28" s="1050" t="n"/>
    </row>
    <row r="29" ht="18" customHeight="1" s="981">
      <c r="A29" s="1102" t="inlineStr">
        <is>
          <t>CTG Bond 2030</t>
        </is>
      </c>
      <c r="B29" s="669" t="inlineStr">
        <is>
          <t>Doanh nghiệp</t>
        </is>
      </c>
      <c r="C29" s="669" t="inlineStr">
        <is>
          <t>6Y</t>
        </is>
      </c>
      <c r="D29" s="691" t="n">
        <v>0.0485</v>
      </c>
      <c r="E29" s="691" t="n">
        <v>0.046</v>
      </c>
      <c r="F29" s="687" t="n">
        <v>100000000</v>
      </c>
      <c r="G29" s="669" t="inlineStr">
        <is>
          <t>Cao</t>
        </is>
      </c>
      <c r="H29" s="688" t="inlineStr">
        <is>
          <t>AAA</t>
        </is>
      </c>
      <c r="I29" s="669" t="inlineStr">
        <is>
          <t>VietinBank state bank</t>
        </is>
      </c>
      <c r="J29" s="689" t="n"/>
      <c r="K29" s="696" t="n"/>
      <c r="L29" s="690" t="n"/>
      <c r="M29" s="1050" t="n"/>
    </row>
  </sheetData>
  <autoFilter ref="A4:I29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22" customWidth="1" style="981" min="1" max="1"/>
    <col width="10" customWidth="1" style="981" min="2" max="2"/>
    <col width="9" customWidth="1" style="981" min="3" max="3"/>
    <col width="10" customWidth="1" style="981" min="5" max="5"/>
    <col width="12" customWidth="1" style="981" min="7" max="7"/>
    <col width="16" customWidth="1" style="981" min="8" max="8"/>
    <col width="45" customWidth="1" style="981" min="9" max="9"/>
    <col width="12" customWidth="1" style="981" min="10" max="10"/>
    <col width="28" customWidth="1" style="981" min="11" max="11"/>
  </cols>
  <sheetData>
    <row r="1" ht="27.75" customHeight="1" s="981">
      <c r="A1" s="1192" t="inlineStr">
        <is>
          <t>TRAI PHIEU TG - US 10Y: 4.49% | Cap nhat: 19:46 28/05/2026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6" t="n"/>
    </row>
    <row r="2" ht="15.75" customHeight="1" s="981">
      <c r="A2" s="1191" t="inlineStr">
        <is>
          <t>US Treasury benchmark, EU/JP/EM sovereigns, US Corp các grade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6" t="n"/>
    </row>
    <row r="3" ht="18" customHeight="1" s="981">
      <c r="A3" s="683" t="inlineStr">
        <is>
          <t>US 2Y: 3.82%</t>
        </is>
      </c>
      <c r="B3" s="683" t="inlineStr">
        <is>
          <t>US 10Y: 4.49%</t>
        </is>
      </c>
      <c r="C3" s="683" t="inlineStr">
        <is>
          <t>US 30Y: 4.55%</t>
        </is>
      </c>
      <c r="D3" s="681" t="inlineStr">
        <is>
          <t>Đức 10Y: 2.42%</t>
        </is>
      </c>
      <c r="E3" s="681" t="inlineStr">
        <is>
          <t>Nhật 10Y: 1.52%</t>
        </is>
      </c>
      <c r="F3" s="681" t="inlineStr">
        <is>
          <t>TQ 10Y: 2.10%</t>
        </is>
      </c>
      <c r="G3" s="682" t="inlineStr">
        <is>
          <t>Anh 10Y: 4.45%</t>
        </is>
      </c>
      <c r="H3" s="697" t="inlineStr">
        <is>
          <t>EM Spread: ~350bp</t>
        </is>
      </c>
      <c r="I3" s="682" t="inlineStr">
        <is>
          <t>HY Spread: ~350bp</t>
        </is>
      </c>
      <c r="J3" s="683" t="inlineStr">
        <is>
          <t>Fed Rate: 4.5%</t>
        </is>
      </c>
      <c r="K3" s="1050" t="n"/>
    </row>
    <row r="4" ht="31.5" customHeight="1" s="981">
      <c r="A4" s="386" t="inlineStr">
        <is>
          <t>Tên</t>
        </is>
      </c>
      <c r="B4" s="386" t="inlineStr">
        <is>
          <t>Quốc gia</t>
        </is>
      </c>
      <c r="C4" s="386" t="inlineStr">
        <is>
          <t>Kỳ hạn</t>
        </is>
      </c>
      <c r="D4" s="386" t="inlineStr">
        <is>
          <t>YTM %</t>
        </is>
      </c>
      <c r="E4" s="386" t="inlineStr">
        <is>
          <t>Coupon %</t>
        </is>
      </c>
      <c r="F4" s="386" t="inlineStr">
        <is>
          <t>Xếp hạng</t>
        </is>
      </c>
      <c r="G4" s="386" t="inlineStr">
        <is>
          <t>Thanh khoản</t>
        </is>
      </c>
      <c r="H4" s="386" t="inlineStr">
        <is>
          <t>Ghi chú</t>
        </is>
      </c>
      <c r="I4" s="686" t="n"/>
      <c r="J4" s="686" t="n"/>
      <c r="K4" s="686" t="n"/>
    </row>
    <row r="5" ht="18" customHeight="1" s="981">
      <c r="A5" s="1102" t="inlineStr">
        <is>
          <t>US Treasury 1M</t>
        </is>
      </c>
      <c r="B5" s="669" t="inlineStr">
        <is>
          <t>Mỹ</t>
        </is>
      </c>
      <c r="C5" s="669" t="inlineStr">
        <is>
          <t>1M</t>
        </is>
      </c>
      <c r="D5" s="687" t="n">
        <v>0.04849999999999999</v>
      </c>
      <c r="E5" s="687" t="n">
        <v>0.04849999999999999</v>
      </c>
      <c r="F5" s="688" t="inlineStr">
        <is>
          <t>AAA</t>
        </is>
      </c>
      <c r="G5" s="669" t="inlineStr">
        <is>
          <t>Cao</t>
        </is>
      </c>
      <c r="H5" s="669" t="inlineStr">
        <is>
          <t>T-Bill ngắn nhất, money market</t>
        </is>
      </c>
      <c r="I5" s="690" t="n"/>
      <c r="J5" s="253" t="n"/>
      <c r="K5" s="690" t="n"/>
    </row>
    <row r="6" ht="18" customHeight="1" s="981">
      <c r="A6" s="1102" t="inlineStr">
        <is>
          <t>US Treasury 3M</t>
        </is>
      </c>
      <c r="B6" s="669" t="inlineStr">
        <is>
          <t>Mỹ</t>
        </is>
      </c>
      <c r="C6" s="669" t="inlineStr">
        <is>
          <t>3M</t>
        </is>
      </c>
      <c r="D6" s="687" t="n">
        <v>0.0475</v>
      </c>
      <c r="E6" s="687" t="n">
        <v>0.0475</v>
      </c>
      <c r="F6" s="688" t="inlineStr">
        <is>
          <t>AAA</t>
        </is>
      </c>
      <c r="G6" s="669" t="inlineStr">
        <is>
          <t>Cao</t>
        </is>
      </c>
      <c r="H6" s="669" t="inlineStr">
        <is>
          <t>Tham chiếu Fed Funds Rate</t>
        </is>
      </c>
      <c r="I6" s="690" t="n"/>
      <c r="J6" s="253" t="n"/>
      <c r="K6" s="690" t="n"/>
    </row>
    <row r="7" ht="18" customHeight="1" s="981">
      <c r="A7" s="1102" t="inlineStr">
        <is>
          <t>US Treasury 6M</t>
        </is>
      </c>
      <c r="B7" s="669" t="inlineStr">
        <is>
          <t>Mỹ</t>
        </is>
      </c>
      <c r="C7" s="669" t="inlineStr">
        <is>
          <t>6M</t>
        </is>
      </c>
      <c r="D7" s="687" t="n">
        <v>0.0455</v>
      </c>
      <c r="E7" s="687" t="n">
        <v>0.0455</v>
      </c>
      <c r="F7" s="688" t="inlineStr">
        <is>
          <t>AAA</t>
        </is>
      </c>
      <c r="G7" s="669" t="inlineStr">
        <is>
          <t>Cao</t>
        </is>
      </c>
      <c r="H7" s="669" t="inlineStr">
        <is>
          <t>Bridge yield short/long</t>
        </is>
      </c>
      <c r="I7" s="690" t="n"/>
      <c r="J7" s="253" t="n"/>
      <c r="K7" s="690" t="n"/>
    </row>
    <row r="8" ht="18" customHeight="1" s="981">
      <c r="A8" s="1102" t="inlineStr">
        <is>
          <t>US Treasury 1Y</t>
        </is>
      </c>
      <c r="B8" s="669" t="inlineStr">
        <is>
          <t>Mỹ</t>
        </is>
      </c>
      <c r="C8" s="669" t="inlineStr">
        <is>
          <t>1Y</t>
        </is>
      </c>
      <c r="D8" s="687" t="n">
        <v>0.0435</v>
      </c>
      <c r="E8" s="687" t="n">
        <v>0.0435</v>
      </c>
      <c r="F8" s="688" t="inlineStr">
        <is>
          <t>AAA</t>
        </is>
      </c>
      <c r="G8" s="669" t="inlineStr">
        <is>
          <t>Cao</t>
        </is>
      </c>
      <c r="H8" s="669" t="inlineStr">
        <is>
          <t>Phổ biến cho cash management</t>
        </is>
      </c>
      <c r="I8" s="690" t="n"/>
      <c r="J8" s="253" t="n"/>
      <c r="K8" s="690" t="n"/>
    </row>
    <row r="9" ht="18" customHeight="1" s="981">
      <c r="A9" s="1102" t="inlineStr">
        <is>
          <t>US Treasury 2Y</t>
        </is>
      </c>
      <c r="B9" s="669" t="inlineStr">
        <is>
          <t>Mỹ</t>
        </is>
      </c>
      <c r="C9" s="669" t="inlineStr">
        <is>
          <t>2Y</t>
        </is>
      </c>
      <c r="D9" s="687" t="n">
        <v>0.042</v>
      </c>
      <c r="E9" s="687" t="n">
        <v>0.042</v>
      </c>
      <c r="F9" s="688" t="inlineStr">
        <is>
          <t>AAA</t>
        </is>
      </c>
      <c r="G9" s="669" t="inlineStr">
        <is>
          <t>Cao</t>
        </is>
      </c>
      <c r="H9" s="669" t="inlineStr">
        <is>
          <t>Sensitive Fed policy</t>
        </is>
      </c>
      <c r="I9" s="690" t="n"/>
      <c r="J9" s="296" t="n"/>
      <c r="K9" s="690" t="n"/>
    </row>
    <row r="10" ht="18" customHeight="1" s="981">
      <c r="A10" s="1102" t="inlineStr">
        <is>
          <t>US Treasury 5Y</t>
        </is>
      </c>
      <c r="B10" s="669" t="inlineStr">
        <is>
          <t>Mỹ</t>
        </is>
      </c>
      <c r="C10" s="669" t="inlineStr">
        <is>
          <t>5Y</t>
        </is>
      </c>
      <c r="D10" s="687" t="n">
        <v>0.0426</v>
      </c>
      <c r="E10" s="687" t="n">
        <v>0.0426</v>
      </c>
      <c r="F10" s="688" t="inlineStr">
        <is>
          <t>AAA</t>
        </is>
      </c>
      <c r="G10" s="669" t="inlineStr">
        <is>
          <t>Cao</t>
        </is>
      </c>
      <c r="H10" s="669" t="inlineStr">
        <is>
          <t>Cân bằng risk/return</t>
        </is>
      </c>
      <c r="I10" s="690" t="n"/>
      <c r="J10" s="253" t="n"/>
      <c r="K10" s="690" t="n"/>
    </row>
    <row r="11" ht="18" customHeight="1" s="981">
      <c r="A11" s="1102" t="inlineStr">
        <is>
          <t>US Treasury 10Y</t>
        </is>
      </c>
      <c r="B11" s="669" t="inlineStr">
        <is>
          <t>Mỹ</t>
        </is>
      </c>
      <c r="C11" s="669" t="inlineStr">
        <is>
          <t>10Y</t>
        </is>
      </c>
      <c r="D11" s="687" t="n">
        <v>0.043</v>
      </c>
      <c r="E11" s="687" t="n">
        <v>0.043</v>
      </c>
      <c r="F11" s="688" t="inlineStr">
        <is>
          <t>AAA</t>
        </is>
      </c>
      <c r="G11" s="669" t="inlineStr">
        <is>
          <t>Cao</t>
        </is>
      </c>
      <c r="H11" s="669" t="inlineStr">
        <is>
          <t>Benchmark global</t>
        </is>
      </c>
      <c r="I11" s="690" t="n"/>
      <c r="J11" s="296" t="n"/>
      <c r="K11" s="690" t="n"/>
    </row>
    <row r="12" ht="18" customHeight="1" s="981">
      <c r="A12" s="1102" t="inlineStr">
        <is>
          <t>US Treasury 20Y</t>
        </is>
      </c>
      <c r="B12" s="669" t="inlineStr">
        <is>
          <t>Mỹ</t>
        </is>
      </c>
      <c r="C12" s="669" t="inlineStr">
        <is>
          <t>20Y</t>
        </is>
      </c>
      <c r="D12" s="687" t="n">
        <v>0.0445</v>
      </c>
      <c r="E12" s="687" t="n">
        <v>0.0445</v>
      </c>
      <c r="F12" s="688" t="inlineStr">
        <is>
          <t>AAA</t>
        </is>
      </c>
      <c r="G12" s="669" t="inlineStr">
        <is>
          <t>TB</t>
        </is>
      </c>
      <c r="H12" s="669" t="inlineStr">
        <is>
          <t>Long duration</t>
        </is>
      </c>
      <c r="I12" s="690" t="n"/>
      <c r="J12" s="253" t="n"/>
      <c r="K12" s="690" t="n"/>
    </row>
    <row r="13" ht="18" customHeight="1" s="981">
      <c r="A13" s="1102" t="inlineStr">
        <is>
          <t>US Treasury 30Y</t>
        </is>
      </c>
      <c r="B13" s="669" t="inlineStr">
        <is>
          <t>Mỹ</t>
        </is>
      </c>
      <c r="C13" s="669" t="inlineStr">
        <is>
          <t>30Y</t>
        </is>
      </c>
      <c r="D13" s="687" t="n">
        <v>0.0455</v>
      </c>
      <c r="E13" s="687" t="n">
        <v>0.0455</v>
      </c>
      <c r="F13" s="688" t="inlineStr">
        <is>
          <t>AAA</t>
        </is>
      </c>
      <c r="G13" s="669" t="inlineStr">
        <is>
          <t>Cao</t>
        </is>
      </c>
      <c r="H13" s="669" t="inlineStr">
        <is>
          <t>Pension funds ưa thích</t>
        </is>
      </c>
      <c r="I13" s="690" t="n"/>
      <c r="J13" s="698" t="n"/>
      <c r="K13" s="690" t="n"/>
    </row>
    <row r="14" ht="18" customHeight="1" s="981">
      <c r="A14" s="1102" t="inlineStr">
        <is>
          <t>Germany Bund 10Y</t>
        </is>
      </c>
      <c r="B14" s="669" t="inlineStr">
        <is>
          <t>Đức</t>
        </is>
      </c>
      <c r="C14" s="669" t="inlineStr">
        <is>
          <t>10Y</t>
        </is>
      </c>
      <c r="D14" s="687" t="n">
        <v>0.04650000000000001</v>
      </c>
      <c r="E14" s="687" t="n">
        <v>0.04650000000000001</v>
      </c>
      <c r="F14" s="688" t="inlineStr">
        <is>
          <t>AAA</t>
        </is>
      </c>
      <c r="G14" s="669" t="inlineStr">
        <is>
          <t>Cao</t>
        </is>
      </c>
      <c r="H14" s="669" t="inlineStr">
        <is>
          <t>EU benchmark</t>
        </is>
      </c>
      <c r="I14" s="690" t="n"/>
      <c r="J14" s="253" t="n"/>
      <c r="K14" s="690" t="n"/>
    </row>
    <row r="15" ht="18" customHeight="1" s="981">
      <c r="A15" s="1102" t="inlineStr">
        <is>
          <t>France OAT 10Y</t>
        </is>
      </c>
      <c r="B15" s="669" t="inlineStr">
        <is>
          <t>Pháp</t>
        </is>
      </c>
      <c r="C15" s="669" t="inlineStr">
        <is>
          <t>10Y</t>
        </is>
      </c>
      <c r="D15" s="687" t="n">
        <v>0.0475</v>
      </c>
      <c r="E15" s="687" t="n">
        <v>0.0475</v>
      </c>
      <c r="F15" s="692" t="inlineStr">
        <is>
          <t>AA</t>
        </is>
      </c>
      <c r="G15" s="669" t="inlineStr">
        <is>
          <t>Cao</t>
        </is>
      </c>
      <c r="H15" s="669" t="inlineStr">
        <is>
          <t>EU core sovereign</t>
        </is>
      </c>
      <c r="I15" s="690" t="n"/>
      <c r="J15" s="253" t="n"/>
      <c r="K15" s="690" t="n"/>
    </row>
    <row r="16" ht="18" customHeight="1" s="981">
      <c r="A16" s="1102" t="inlineStr">
        <is>
          <t>Italy BTP 10Y</t>
        </is>
      </c>
      <c r="B16" s="669" t="inlineStr">
        <is>
          <t>Ý</t>
        </is>
      </c>
      <c r="C16" s="669" t="inlineStr">
        <is>
          <t>10Y</t>
        </is>
      </c>
      <c r="D16" s="687" t="n">
        <v>0.0459</v>
      </c>
      <c r="E16" s="687" t="n">
        <v>0.038</v>
      </c>
      <c r="F16" s="1030" t="inlineStr">
        <is>
          <t>BBB</t>
        </is>
      </c>
      <c r="G16" s="669" t="inlineStr">
        <is>
          <t>TB</t>
        </is>
      </c>
      <c r="H16" s="669" t="inlineStr">
        <is>
          <t>Periphery EU, lãi cao hơn</t>
        </is>
      </c>
      <c r="I16" s="690" t="n"/>
      <c r="J16" s="253" t="n"/>
      <c r="K16" s="690" t="n"/>
    </row>
    <row r="17" ht="18" customHeight="1" s="981">
      <c r="A17" s="1102" t="inlineStr">
        <is>
          <t>Spain Bono 10Y</t>
        </is>
      </c>
      <c r="B17" s="669" t="inlineStr">
        <is>
          <t>TBN</t>
        </is>
      </c>
      <c r="C17" s="669" t="inlineStr">
        <is>
          <t>10Y</t>
        </is>
      </c>
      <c r="D17" s="687" t="n">
        <v>0.0459</v>
      </c>
      <c r="E17" s="687" t="n">
        <v>0.032</v>
      </c>
      <c r="F17" s="692" t="inlineStr">
        <is>
          <t>A</t>
        </is>
      </c>
      <c r="G17" s="669" t="inlineStr">
        <is>
          <t>TB</t>
        </is>
      </c>
      <c r="H17" s="669" t="inlineStr">
        <is>
          <t>EU recovery story</t>
        </is>
      </c>
      <c r="I17" s="690" t="n"/>
      <c r="J17" s="296" t="n"/>
      <c r="K17" s="690" t="n"/>
    </row>
    <row r="18" ht="18" customHeight="1" s="981">
      <c r="A18" s="1102" t="inlineStr">
        <is>
          <t>UK Gilt 10Y</t>
        </is>
      </c>
      <c r="B18" s="669" t="inlineStr">
        <is>
          <t>Anh</t>
        </is>
      </c>
      <c r="C18" s="669" t="inlineStr">
        <is>
          <t>10Y</t>
        </is>
      </c>
      <c r="D18" s="687" t="n">
        <v>0.0459</v>
      </c>
      <c r="E18" s="687" t="n">
        <v>0.041</v>
      </c>
      <c r="F18" s="692" t="inlineStr">
        <is>
          <t>AA</t>
        </is>
      </c>
      <c r="G18" s="669" t="inlineStr">
        <is>
          <t>Cao</t>
        </is>
      </c>
      <c r="H18" s="669" t="inlineStr">
        <is>
          <t>Sterling exposure</t>
        </is>
      </c>
      <c r="I18" s="690" t="n"/>
      <c r="J18" s="253" t="n"/>
      <c r="K18" s="690" t="n"/>
    </row>
    <row r="19" ht="18" customHeight="1" s="981">
      <c r="A19" s="1102" t="inlineStr">
        <is>
          <t>Japan JGB 10Y</t>
        </is>
      </c>
      <c r="B19" s="669" t="inlineStr">
        <is>
          <t>Nhật</t>
        </is>
      </c>
      <c r="C19" s="669" t="inlineStr">
        <is>
          <t>10Y</t>
        </is>
      </c>
      <c r="D19" s="687" t="n">
        <v>0.0459</v>
      </c>
      <c r="E19" s="687" t="n">
        <v>0.014</v>
      </c>
      <c r="F19" s="692" t="inlineStr">
        <is>
          <t>A</t>
        </is>
      </c>
      <c r="G19" s="669" t="inlineStr">
        <is>
          <t>Cao</t>
        </is>
      </c>
      <c r="H19" s="669" t="inlineStr">
        <is>
          <t>BoJ yield curve control</t>
        </is>
      </c>
      <c r="I19" s="690" t="n"/>
      <c r="J19" s="253" t="n"/>
      <c r="K19" s="690" t="n"/>
    </row>
    <row r="20" ht="18" customHeight="1" s="981">
      <c r="A20" s="1102" t="inlineStr">
        <is>
          <t>Japan JGB 30Y</t>
        </is>
      </c>
      <c r="B20" s="669" t="inlineStr">
        <is>
          <t>Nhật</t>
        </is>
      </c>
      <c r="C20" s="669" t="inlineStr">
        <is>
          <t>30Y</t>
        </is>
      </c>
      <c r="D20" s="687" t="n">
        <v>0.0511</v>
      </c>
      <c r="E20" s="687" t="n">
        <v>0.021</v>
      </c>
      <c r="F20" s="692" t="inlineStr">
        <is>
          <t>A</t>
        </is>
      </c>
      <c r="G20" s="669" t="inlineStr">
        <is>
          <t>TB</t>
        </is>
      </c>
      <c r="H20" s="669" t="inlineStr">
        <is>
          <t>Long JP exposure</t>
        </is>
      </c>
      <c r="I20" s="690" t="n"/>
      <c r="J20" s="253" t="n"/>
      <c r="K20" s="690" t="n"/>
    </row>
    <row r="21" ht="18" customHeight="1" s="981">
      <c r="A21" s="1102" t="inlineStr">
        <is>
          <t>China 10Y</t>
        </is>
      </c>
      <c r="B21" s="669" t="inlineStr">
        <is>
          <t>TQ</t>
        </is>
      </c>
      <c r="C21" s="669" t="inlineStr">
        <is>
          <t>10Y</t>
        </is>
      </c>
      <c r="D21" s="687" t="n">
        <v>0.0459</v>
      </c>
      <c r="E21" s="687" t="n">
        <v>0.018</v>
      </c>
      <c r="F21" s="692" t="inlineStr">
        <is>
          <t>A+</t>
        </is>
      </c>
      <c r="G21" s="669" t="inlineStr">
        <is>
          <t>TB</t>
        </is>
      </c>
      <c r="H21" s="669" t="inlineStr">
        <is>
          <t>PBoC easing cycle</t>
        </is>
      </c>
      <c r="I21" s="690" t="n"/>
      <c r="J21" s="253" t="n"/>
      <c r="K21" s="690" t="n"/>
    </row>
    <row r="22" ht="18" customHeight="1" s="981">
      <c r="A22" s="1102" t="inlineStr">
        <is>
          <t>India 10Y</t>
        </is>
      </c>
      <c r="B22" s="669" t="inlineStr">
        <is>
          <t>Ấn</t>
        </is>
      </c>
      <c r="C22" s="669" t="inlineStr">
        <is>
          <t>10Y</t>
        </is>
      </c>
      <c r="D22" s="691" t="n">
        <v>0.0459</v>
      </c>
      <c r="E22" s="691" t="n">
        <v>0.068</v>
      </c>
      <c r="F22" s="1030" t="inlineStr">
        <is>
          <t>BBB</t>
        </is>
      </c>
      <c r="G22" s="669" t="inlineStr">
        <is>
          <t>TB</t>
        </is>
      </c>
      <c r="H22" s="669" t="inlineStr">
        <is>
          <t>EM lãi cao, FX risk</t>
        </is>
      </c>
      <c r="I22" s="690" t="n"/>
      <c r="J22" s="253" t="n"/>
      <c r="K22" s="690" t="n"/>
    </row>
    <row r="23" ht="18" customHeight="1" s="981">
      <c r="A23" s="1102" t="inlineStr">
        <is>
          <t>Brazil 10Y</t>
        </is>
      </c>
      <c r="B23" s="669" t="inlineStr">
        <is>
          <t>Brazil</t>
        </is>
      </c>
      <c r="C23" s="669" t="inlineStr">
        <is>
          <t>10Y</t>
        </is>
      </c>
      <c r="D23" s="693" t="n">
        <v>0.0459</v>
      </c>
      <c r="E23" s="693" t="n">
        <v>0.128</v>
      </c>
      <c r="F23" s="695" t="inlineStr">
        <is>
          <t>BB</t>
        </is>
      </c>
      <c r="G23" s="669" t="inlineStr">
        <is>
          <t>Thấp</t>
        </is>
      </c>
      <c r="H23" s="669" t="inlineStr">
        <is>
          <t>EM lãi rất cao + FX</t>
        </is>
      </c>
      <c r="I23" s="690" t="n"/>
      <c r="J23" s="296" t="n"/>
      <c r="K23" s="690" t="n"/>
    </row>
    <row r="24" ht="18" customHeight="1" s="981">
      <c r="A24" s="1102" t="inlineStr">
        <is>
          <t>US Corp AAA 5Y</t>
        </is>
      </c>
      <c r="B24" s="669" t="inlineStr">
        <is>
          <t>Mỹ</t>
        </is>
      </c>
      <c r="C24" s="669" t="inlineStr">
        <is>
          <t>5Y</t>
        </is>
      </c>
      <c r="D24" s="691" t="n">
        <v>0.0426</v>
      </c>
      <c r="E24" s="691" t="n">
        <v>0.05</v>
      </c>
      <c r="F24" s="688" t="inlineStr">
        <is>
          <t>AAA</t>
        </is>
      </c>
      <c r="G24" s="669" t="inlineStr">
        <is>
          <t>Cao</t>
        </is>
      </c>
      <c r="H24" s="669" t="inlineStr">
        <is>
          <t>Apple/Microsoft/J&amp;J grade</t>
        </is>
      </c>
      <c r="I24" s="690" t="n"/>
      <c r="J24" s="296" t="n"/>
      <c r="K24" s="690" t="n"/>
    </row>
    <row r="25" ht="18" customHeight="1" s="981">
      <c r="A25" s="1102" t="inlineStr">
        <is>
          <t>US Corp AA 5Y</t>
        </is>
      </c>
      <c r="B25" s="669" t="inlineStr">
        <is>
          <t>Mỹ</t>
        </is>
      </c>
      <c r="C25" s="669" t="inlineStr">
        <is>
          <t>5Y</t>
        </is>
      </c>
      <c r="D25" s="691" t="n">
        <v>0.0426</v>
      </c>
      <c r="E25" s="691" t="n">
        <v>0.052</v>
      </c>
      <c r="F25" s="692" t="inlineStr">
        <is>
          <t>AA</t>
        </is>
      </c>
      <c r="G25" s="669" t="inlineStr">
        <is>
          <t>Cao</t>
        </is>
      </c>
      <c r="H25" s="669" t="inlineStr">
        <is>
          <t>Top blue chips</t>
        </is>
      </c>
      <c r="I25" s="690" t="n"/>
      <c r="J25" s="253" t="n"/>
      <c r="K25" s="690" t="n"/>
    </row>
    <row r="26" ht="18" customHeight="1" s="981">
      <c r="A26" s="1102" t="inlineStr">
        <is>
          <t>US Corp A 5Y</t>
        </is>
      </c>
      <c r="B26" s="669" t="inlineStr">
        <is>
          <t>Mỹ</t>
        </is>
      </c>
      <c r="C26" s="669" t="inlineStr">
        <is>
          <t>5Y</t>
        </is>
      </c>
      <c r="D26" s="691" t="n">
        <v>0.0426</v>
      </c>
      <c r="E26" s="691" t="n">
        <v>0.055</v>
      </c>
      <c r="F26" s="692" t="inlineStr">
        <is>
          <t>A</t>
        </is>
      </c>
      <c r="G26" s="669" t="inlineStr">
        <is>
          <t>Cao</t>
        </is>
      </c>
      <c r="H26" s="669" t="inlineStr">
        <is>
          <t>Investment grade middle</t>
        </is>
      </c>
      <c r="I26" s="690" t="n"/>
      <c r="J26" s="296" t="n"/>
      <c r="K26" s="690" t="n"/>
    </row>
    <row r="27" ht="18" customHeight="1" s="981">
      <c r="A27" s="1102" t="inlineStr">
        <is>
          <t>US Corp BBB 5Y</t>
        </is>
      </c>
      <c r="B27" s="669" t="inlineStr">
        <is>
          <t>Mỹ</t>
        </is>
      </c>
      <c r="C27" s="669" t="inlineStr">
        <is>
          <t>5Y</t>
        </is>
      </c>
      <c r="D27" s="691" t="n">
        <v>0.0426</v>
      </c>
      <c r="E27" s="691" t="n">
        <v>0.06</v>
      </c>
      <c r="F27" s="1030" t="inlineStr">
        <is>
          <t>BBB</t>
        </is>
      </c>
      <c r="G27" s="669" t="inlineStr">
        <is>
          <t>Cao</t>
        </is>
      </c>
      <c r="H27" s="669" t="inlineStr">
        <is>
          <t>IG lowest tier</t>
        </is>
      </c>
      <c r="I27" s="690" t="n"/>
      <c r="J27" s="296" t="n"/>
      <c r="K27" s="690" t="n"/>
    </row>
    <row r="28" ht="18" customHeight="1" s="981">
      <c r="A28" s="1102" t="inlineStr">
        <is>
          <t>US Corp HY BB 5Y</t>
        </is>
      </c>
      <c r="B28" s="669" t="inlineStr">
        <is>
          <t>Mỹ</t>
        </is>
      </c>
      <c r="C28" s="669" t="inlineStr">
        <is>
          <t>5Y</t>
        </is>
      </c>
      <c r="D28" s="693" t="n">
        <v>0.0426</v>
      </c>
      <c r="E28" s="693" t="n">
        <v>0.078</v>
      </c>
      <c r="F28" s="695" t="inlineStr">
        <is>
          <t>BB</t>
        </is>
      </c>
      <c r="G28" s="669" t="inlineStr">
        <is>
          <t>TB</t>
        </is>
      </c>
      <c r="H28" s="669" t="inlineStr">
        <is>
          <t>Junk bond, high yield</t>
        </is>
      </c>
      <c r="I28" s="690" t="n"/>
      <c r="J28" s="296" t="n"/>
      <c r="K28" s="690" t="n"/>
    </row>
    <row r="29" ht="18" customHeight="1" s="981">
      <c r="A29" s="1102" t="inlineStr">
        <is>
          <t>US Corp HY B 5Y</t>
        </is>
      </c>
      <c r="B29" s="669" t="inlineStr">
        <is>
          <t>Mỹ</t>
        </is>
      </c>
      <c r="C29" s="669" t="inlineStr">
        <is>
          <t>5Y</t>
        </is>
      </c>
      <c r="D29" s="693" t="n">
        <v>0.0426</v>
      </c>
      <c r="E29" s="693" t="n">
        <v>0.094</v>
      </c>
      <c r="F29" s="695" t="inlineStr">
        <is>
          <t>B</t>
        </is>
      </c>
      <c r="G29" s="669" t="inlineStr">
        <is>
          <t>Thấp</t>
        </is>
      </c>
      <c r="H29" s="669" t="inlineStr">
        <is>
          <t>High yield rủi ro cao</t>
        </is>
      </c>
      <c r="I29" s="690" t="n"/>
      <c r="J29" s="296" t="n"/>
      <c r="K29" s="690" t="n"/>
    </row>
  </sheetData>
  <autoFilter ref="A4:H29"/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26" customWidth="1" style="981" min="1" max="1"/>
    <col width="16" customWidth="1" style="981" min="2" max="2"/>
    <col width="13" customWidth="1" style="981" min="3" max="3"/>
    <col width="10" customWidth="1" style="981" min="5" max="5"/>
    <col width="13" customWidth="1" style="981" min="6" max="6"/>
    <col width="24" customWidth="1" style="981" min="7" max="7"/>
    <col width="12" customWidth="1" style="981" min="8" max="8"/>
    <col width="32" customWidth="1" style="981" min="9" max="9"/>
  </cols>
  <sheetData>
    <row r="1" ht="27.75" customHeight="1" s="981">
      <c r="A1" s="1193" t="inlineStr">
        <is>
          <t>▲ BỘ LỌC VÀNG &amp; KIM LOẠI QUÝ  |  Cập nhật: 08/05/2026</t>
        </is>
      </c>
      <c r="B1" s="965" t="n"/>
      <c r="C1" s="965" t="n"/>
      <c r="D1" s="965" t="n"/>
      <c r="E1" s="965" t="n"/>
      <c r="F1" s="965" t="n"/>
      <c r="G1" s="965" t="n"/>
      <c r="H1" s="965" t="n"/>
      <c r="I1" s="966" t="n"/>
    </row>
    <row r="2" ht="15.75" customHeight="1" s="981">
      <c r="A2" s="1194" t="inlineStr">
        <is>
          <t>XAU/USD: $4,429/oz | SJC Ban: ~98.5M | DXY 99.20 | Cap nhat: 19:46 28/05/2026</t>
        </is>
      </c>
      <c r="B2" s="965" t="n"/>
      <c r="C2" s="965" t="n"/>
      <c r="D2" s="965" t="n"/>
      <c r="E2" s="965" t="n"/>
      <c r="F2" s="965" t="n"/>
      <c r="G2" s="965" t="n"/>
      <c r="H2" s="965" t="n"/>
      <c r="I2" s="966" t="n"/>
    </row>
    <row r="3" ht="18" customHeight="1" s="981">
      <c r="A3" s="682" t="inlineStr">
        <is>
          <t>XAU/USD: $4,429/oz</t>
        </is>
      </c>
      <c r="B3" s="682" t="inlineStr">
        <is>
          <t>SJC Bán: 167.5M</t>
        </is>
      </c>
      <c r="C3" s="699" t="inlineStr">
        <is>
          <t>% YTD: +28.5%</t>
        </is>
      </c>
      <c r="D3" s="699" t="inlineStr">
        <is>
          <t>TG tăng 3 phiên liên tiếp</t>
        </is>
      </c>
      <c r="E3" s="697" t="inlineStr">
        <is>
          <t>USD DXY: 99.20</t>
        </is>
      </c>
      <c r="F3" s="684" t="inlineStr">
        <is>
          <t>Oil Brent &lt;$100</t>
        </is>
      </c>
      <c r="G3" s="681" t="inlineStr">
        <is>
          <t>US 10Y: 4.30% ↓</t>
        </is>
      </c>
      <c r="H3" s="681" t="inlineStr">
        <is>
          <t>TQ mua T18 liên tiếp</t>
        </is>
      </c>
      <c r="I3" s="682" t="inlineStr">
        <is>
          <t>Dự báo: $5,200-5,595</t>
        </is>
      </c>
    </row>
    <row r="4" ht="31.5" customHeight="1" s="981">
      <c r="A4" s="700" t="inlineStr">
        <is>
          <t>SẢN PHẨM</t>
        </is>
      </c>
      <c r="B4" s="700" t="inlineStr">
        <is>
          <t>ĐƠN VỊ</t>
        </is>
      </c>
      <c r="C4" s="700" t="inlineStr">
        <is>
          <t>GIÁ BÁN RA</t>
        </is>
      </c>
      <c r="D4" s="700" t="inlineStr">
        <is>
          <t>GIÁ MUA VÀO</t>
        </is>
      </c>
      <c r="E4" s="700" t="inlineStr">
        <is>
          <t>% NGÀY</t>
        </is>
      </c>
      <c r="F4" s="700" t="inlineStr">
        <is>
          <t>% TỪ ĐẦU NĂM</t>
        </is>
      </c>
      <c r="G4" s="700" t="inlineStr">
        <is>
          <t>QUỸ LỚN / ETF</t>
        </is>
      </c>
      <c r="H4" s="700" t="inlineStr">
        <is>
          <t>KHUYẾN NGHỊ</t>
        </is>
      </c>
      <c r="I4" s="700" t="inlineStr">
        <is>
          <t>GHI CHÚ PHÂN TÍCH</t>
        </is>
      </c>
    </row>
    <row r="5" ht="18" customHeight="1" s="981">
      <c r="A5" s="701" t="inlineStr">
        <is>
          <t>Vàng TG (XAU/USD)</t>
        </is>
      </c>
      <c r="B5" s="694" t="inlineStr">
        <is>
          <t>USD/oz</t>
        </is>
      </c>
      <c r="C5" s="702" t="n">
        <v>4429</v>
      </c>
      <c r="D5" s="703" t="n">
        <v>4427</v>
      </c>
      <c r="E5" s="704" t="n">
        <v>-0.34</v>
      </c>
      <c r="F5" s="704" t="n">
        <v>28.5</v>
      </c>
      <c r="G5" s="694" t="inlineStr">
        <is>
          <t>SPDR GLD (1,036T), iShares IAU, Sprott</t>
        </is>
      </c>
      <c r="H5" s="705" t="inlineStr">
        <is>
          <t>MUA</t>
        </is>
      </c>
      <c r="I5" s="694" t="inlineStr">
        <is>
          <t>Hưởng lợi: USD yếu, Fed pivot, địa chính trị; Rủi ro: lãi suất thực tăng</t>
        </is>
      </c>
    </row>
    <row r="6" ht="18" customHeight="1" s="981">
      <c r="A6" s="706" t="inlineStr">
        <is>
          <t>Vàng SJC miếng</t>
        </is>
      </c>
      <c r="B6" s="707" t="inlineStr">
        <is>
          <t>triệu ₫/lượng</t>
        </is>
      </c>
      <c r="C6" s="708" t="n">
        <v>167.5</v>
      </c>
      <c r="D6" s="709" t="n">
        <v>164.5</v>
      </c>
      <c r="E6" s="710" t="n">
        <v>0.9</v>
      </c>
      <c r="F6" s="711" t="n">
        <v>18.2</v>
      </c>
      <c r="G6" s="707" t="inlineStr">
        <is>
          <t>VinaCapital Gold Fund, cá nhân</t>
        </is>
      </c>
      <c r="H6" s="700" t="inlineStr">
        <is>
          <t>GIỮ</t>
        </is>
      </c>
      <c r="I6" s="707" t="inlineStr">
        <is>
          <t>Chênh TG ~5-6%; SBV kiểm soát nhập khẩu; Mua đuổi rủi ro cao</t>
        </is>
      </c>
    </row>
    <row r="7" ht="18" customHeight="1" s="981">
      <c r="A7" s="701" t="inlineStr">
        <is>
          <t>Vàng nhẫn SJC 9999</t>
        </is>
      </c>
      <c r="B7" s="694" t="inlineStr">
        <is>
          <t>triệu ₫/lượng</t>
        </is>
      </c>
      <c r="C7" s="712" t="n">
        <v>167</v>
      </c>
      <c r="D7" s="703" t="n">
        <v>164</v>
      </c>
      <c r="E7" s="704" t="n">
        <v>0.9</v>
      </c>
      <c r="F7" s="713" t="n">
        <v>17.8</v>
      </c>
      <c r="G7" s="694" t="inlineStr">
        <is>
          <t>Cá nhân</t>
        </is>
      </c>
      <c r="H7" s="700" t="inlineStr">
        <is>
          <t>GIỮ</t>
        </is>
      </c>
      <c r="I7" s="694" t="inlineStr">
        <is>
          <t>Linh hoạt hơn miếng; chênh mua-bán 3M/lượng còn cao</t>
        </is>
      </c>
    </row>
    <row r="8" ht="18" customHeight="1" s="981">
      <c r="A8" s="706" t="inlineStr">
        <is>
          <t>Vàng DOJI miếng</t>
        </is>
      </c>
      <c r="B8" s="707" t="inlineStr">
        <is>
          <t>triệu ₫/lượng</t>
        </is>
      </c>
      <c r="C8" s="708" t="n">
        <v>167.5</v>
      </c>
      <c r="D8" s="709" t="n">
        <v>164.5</v>
      </c>
      <c r="E8" s="710" t="n">
        <v>0.9</v>
      </c>
      <c r="F8" s="711" t="n">
        <v>18.2</v>
      </c>
      <c r="G8" s="707" t="inlineStr">
        <is>
          <t>Cá nhân</t>
        </is>
      </c>
      <c r="H8" s="700" t="inlineStr">
        <is>
          <t>GIỮ</t>
        </is>
      </c>
      <c r="I8" s="707" t="inlineStr">
        <is>
          <t>Ngang giá SJC; thanh khoản tốt ở DOJI</t>
        </is>
      </c>
    </row>
    <row r="9" ht="18" customHeight="1" s="981">
      <c r="A9" s="701" t="inlineStr">
        <is>
          <t>Vàng PNJ 9999</t>
        </is>
      </c>
      <c r="B9" s="694" t="inlineStr">
        <is>
          <t>triệu ₫/lượng</t>
        </is>
      </c>
      <c r="C9" s="712" t="n">
        <v>167</v>
      </c>
      <c r="D9" s="703" t="n">
        <v>164</v>
      </c>
      <c r="E9" s="704" t="n">
        <v>0.6</v>
      </c>
      <c r="F9" s="713" t="n">
        <v>17.5</v>
      </c>
      <c r="G9" s="694" t="inlineStr">
        <is>
          <t>Cá nhân</t>
        </is>
      </c>
      <c r="H9" s="700" t="inlineStr">
        <is>
          <t>GIỮ</t>
        </is>
      </c>
      <c r="I9" s="694" t="inlineStr">
        <is>
          <t>PNJ tăng chậm hơn; hệ thống rộng khắp</t>
        </is>
      </c>
    </row>
    <row r="10" ht="18" customHeight="1" s="981">
      <c r="A10" s="706" t="inlineStr">
        <is>
          <t>Vàng nữ trang 24K</t>
        </is>
      </c>
      <c r="B10" s="707" t="inlineStr">
        <is>
          <t>triệu ₫/lượng</t>
        </is>
      </c>
      <c r="C10" s="708" t="n">
        <v>165.5</v>
      </c>
      <c r="D10" s="709" t="n">
        <v>162</v>
      </c>
      <c r="E10" s="710" t="n">
        <v>0.61</v>
      </c>
      <c r="F10" s="711" t="n">
        <v>16.8</v>
      </c>
      <c r="G10" s="707" t="inlineStr">
        <is>
          <t>Cá nhân</t>
        </is>
      </c>
      <c r="H10" s="700" t="inlineStr">
        <is>
          <t>GIỮ</t>
        </is>
      </c>
      <c r="I10" s="707" t="inlineStr">
        <is>
          <t>Chế tác phí +3-5%; không phù hợp đầu tư thuần túy</t>
        </is>
      </c>
    </row>
    <row r="11" ht="18" customHeight="1" s="981">
      <c r="A11" s="701" t="inlineStr">
        <is>
          <t>SPDR Gold Shares (GLD)</t>
        </is>
      </c>
      <c r="B11" s="694" t="inlineStr">
        <is>
          <t>USD/share</t>
        </is>
      </c>
      <c r="C11" s="712" t="n">
        <v>408.49</v>
      </c>
      <c r="D11" s="703" t="n">
        <v>408.29</v>
      </c>
      <c r="E11" s="704" t="n">
        <v>0.31</v>
      </c>
      <c r="F11" s="704" t="n">
        <v>28.2</v>
      </c>
      <c r="G11" s="694" t="inlineStr">
        <is>
          <t>BlackRock, Vanguard, State Street</t>
        </is>
      </c>
      <c r="H11" s="705" t="inlineStr">
        <is>
          <t>MUA</t>
        </is>
      </c>
      <c r="I11" s="694" t="inlineStr">
        <is>
          <t>ETF vàng lớn nhất TG; phí 0.4%/năm; backed bởi vàng vật chất</t>
        </is>
      </c>
    </row>
    <row r="12" ht="18" customHeight="1" s="981">
      <c r="A12" s="706" t="inlineStr">
        <is>
          <t>iShares Gold Trust (IAU)</t>
        </is>
      </c>
      <c r="B12" s="707" t="inlineStr">
        <is>
          <t>USD/share</t>
        </is>
      </c>
      <c r="C12" s="708" t="n">
        <v>40.85</v>
      </c>
      <c r="D12" s="709" t="n">
        <v>40.75</v>
      </c>
      <c r="E12" s="710" t="n">
        <v>0.31</v>
      </c>
      <c r="F12" s="710" t="n">
        <v>28</v>
      </c>
      <c r="G12" s="707" t="inlineStr">
        <is>
          <t>BlackRock</t>
        </is>
      </c>
      <c r="H12" s="705" t="inlineStr">
        <is>
          <t>MUA</t>
        </is>
      </c>
      <c r="I12" s="707" t="inlineStr">
        <is>
          <t>Phí thấp hơn GLD (0.25%); liquidity cao</t>
        </is>
      </c>
    </row>
    <row r="13" ht="18" customHeight="1" s="981">
      <c r="A13" s="701" t="inlineStr">
        <is>
          <t>VanEck Gold Miners (GDX)</t>
        </is>
      </c>
      <c r="B13" s="694" t="inlineStr">
        <is>
          <t>USD/share</t>
        </is>
      </c>
      <c r="C13" s="712" t="n">
        <v>42.8</v>
      </c>
      <c r="D13" s="703" t="n">
        <v>42.7</v>
      </c>
      <c r="E13" s="704" t="n">
        <v>1.2</v>
      </c>
      <c r="F13" s="704" t="n">
        <v>35.5</v>
      </c>
      <c r="G13" s="694" t="inlineStr">
        <is>
          <t>VanEck, BlackRock</t>
        </is>
      </c>
      <c r="H13" s="705" t="inlineStr">
        <is>
          <t>MUA</t>
        </is>
      </c>
      <c r="I13" s="694" t="inlineStr">
        <is>
          <t>Đòn bẩy vào giá vàng; NEM, BAR, GOLD trong rổ</t>
        </is>
      </c>
    </row>
    <row r="14" ht="18" customHeight="1" s="981">
      <c r="A14" s="706" t="inlineStr">
        <is>
          <t>Bạch kim (XPT/USD)</t>
        </is>
      </c>
      <c r="B14" s="707" t="inlineStr">
        <is>
          <t>USD/oz</t>
        </is>
      </c>
      <c r="C14" s="708" t="n">
        <v>1028</v>
      </c>
      <c r="D14" s="709" t="n">
        <v>1026</v>
      </c>
      <c r="E14" s="710" t="n">
        <v>0.45</v>
      </c>
      <c r="F14" s="711" t="n">
        <v>8.199999999999999</v>
      </c>
      <c r="G14" s="707" t="inlineStr">
        <is>
          <t>Aberdeen, Royal Mint</t>
        </is>
      </c>
      <c r="H14" s="700" t="inlineStr">
        <is>
          <t>GIỮ</t>
        </is>
      </c>
      <c r="I14" s="707" t="inlineStr">
        <is>
          <t>Nhu cầu xe hơi hydro; thiếu hụt nguồn cung từ SA</t>
        </is>
      </c>
    </row>
    <row r="15" ht="18" customHeight="1" s="981">
      <c r="A15" s="701" t="inlineStr">
        <is>
          <t>Bạc (XAG/USD)</t>
        </is>
      </c>
      <c r="B15" s="694" t="inlineStr">
        <is>
          <t>USD/oz</t>
        </is>
      </c>
      <c r="C15" s="712" t="n">
        <v>32.8</v>
      </c>
      <c r="D15" s="703" t="n">
        <v>32.6</v>
      </c>
      <c r="E15" s="704" t="n">
        <v>0.62</v>
      </c>
      <c r="F15" s="713" t="n">
        <v>14.3</v>
      </c>
      <c r="G15" s="694" t="inlineStr">
        <is>
          <t>iShares SLV, Sprott Silver</t>
        </is>
      </c>
      <c r="H15" s="700" t="inlineStr">
        <is>
          <t>GIỮ</t>
        </is>
      </c>
      <c r="I15" s="694" t="inlineStr">
        <is>
          <t>Công nghiệp + đầu tư; tỷ lệ Au/Ag = 144x (rẻ vs lịch sử 75x)</t>
        </is>
      </c>
    </row>
    <row r="16" ht="18" customHeight="1" s="981">
      <c r="A16" s="706" t="inlineStr">
        <is>
          <t>Palladium (PALL)</t>
        </is>
      </c>
      <c r="B16" s="707" t="inlineStr">
        <is>
          <t>USD/oz</t>
        </is>
      </c>
      <c r="C16" s="708" t="n">
        <v>1085</v>
      </c>
      <c r="D16" s="709" t="n">
        <v>1083</v>
      </c>
      <c r="E16" s="710" t="n">
        <v>0.35</v>
      </c>
      <c r="F16" s="711" t="n">
        <v>-5.8</v>
      </c>
      <c r="G16" s="707" t="inlineStr">
        <is>
          <t>ETFS Palladium, Sprott</t>
        </is>
      </c>
      <c r="H16" s="714" t="inlineStr">
        <is>
          <t>THEO DÕI</t>
        </is>
      </c>
      <c r="I16" s="707" t="inlineStr">
        <is>
          <t>Thay bằng platinum trong xúc tác; cung cầu căn bằng hơn</t>
        </is>
      </c>
    </row>
    <row r="17" ht="18" customHeight="1" s="981">
      <c r="A17" s="701" t="inlineStr">
        <is>
          <t>Đồng (Copper)</t>
        </is>
      </c>
      <c r="B17" s="694" t="inlineStr">
        <is>
          <t>USD/pound</t>
        </is>
      </c>
      <c r="C17" s="712" t="n">
        <v>4.62</v>
      </c>
      <c r="D17" s="703" t="n">
        <v>4.6</v>
      </c>
      <c r="E17" s="704" t="n">
        <v>1.15</v>
      </c>
      <c r="F17" s="713" t="n">
        <v>18.5</v>
      </c>
      <c r="G17" s="694" t="inlineStr">
        <is>
          <t>Invesco DB Copper, Global X COPX</t>
        </is>
      </c>
      <c r="H17" s="705" t="inlineStr">
        <is>
          <t>MUA</t>
        </is>
      </c>
      <c r="I17" s="694" t="inlineStr">
        <is>
          <t>Năng lượng xanh + AI data center; cung thắt chặt</t>
        </is>
      </c>
    </row>
  </sheetData>
  <autoFilter ref="A4:I17"/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68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0" customWidth="1" style="981" min="1" max="1"/>
    <col width="22" customWidth="1" style="981" min="2" max="2"/>
    <col width="12" customWidth="1" style="981" min="3" max="3"/>
    <col width="11" customWidth="1" style="981" min="4" max="4"/>
    <col width="8" customWidth="1" style="981" min="5" max="5"/>
    <col width="10" customWidth="1" style="981" min="6" max="6"/>
    <col width="9" customWidth="1" style="981" min="7" max="7"/>
    <col width="12" customWidth="1" style="981" min="9" max="9"/>
    <col width="40" customWidth="1" style="981" min="10" max="10"/>
    <col width="28" customWidth="1" style="981" min="11" max="11"/>
    <col width="13" customWidth="1" style="981" min="12" max="12"/>
    <col width="26" customWidth="1" style="981" min="13" max="13"/>
  </cols>
  <sheetData>
    <row r="1" ht="27.75" customHeight="1" s="981">
      <c r="A1" s="1192" t="inlineStr">
        <is>
          <t>🏛 QUỸ LỚN — 46 ETF được sử dụng nhiều nhất toàn cầu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5" t="n"/>
      <c r="M1" s="966" t="n"/>
    </row>
    <row r="2" ht="15.75" customHeight="1" s="981">
      <c r="A2" s="1191" t="inlineStr">
        <is>
          <t>AUM = Assets Under Management (tỷ USD). Expense = phí quản lý/năm. Dividend = lợi tức cổ tức hằng năm.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5" t="n"/>
      <c r="M2" s="966" t="n"/>
    </row>
    <row r="3" ht="15" customHeight="1" s="981">
      <c r="A3" s="1050" t="n"/>
      <c r="B3" s="1050" t="n"/>
      <c r="C3" s="1050" t="n"/>
      <c r="D3" s="1050" t="n"/>
      <c r="E3" s="1050" t="n"/>
      <c r="F3" s="1050" t="n"/>
      <c r="G3" s="1050" t="n"/>
      <c r="H3" s="1050" t="n"/>
      <c r="I3" s="1050" t="n"/>
      <c r="J3" s="1050" t="n"/>
      <c r="K3" s="1050" t="n"/>
      <c r="L3" s="1050" t="n"/>
      <c r="M3" s="1050" t="n"/>
    </row>
    <row r="4" ht="31.5" customHeight="1" s="981">
      <c r="A4" s="386" t="inlineStr">
        <is>
          <t>Mã</t>
        </is>
      </c>
      <c r="B4" s="386" t="inlineStr">
        <is>
          <t>Tên</t>
        </is>
      </c>
      <c r="C4" s="386" t="inlineStr">
        <is>
          <t>Loại</t>
        </is>
      </c>
      <c r="D4" s="386" t="inlineStr">
        <is>
          <t>AUM (B$)</t>
        </is>
      </c>
      <c r="E4" s="386" t="inlineStr">
        <is>
          <t>Expense %</t>
        </is>
      </c>
      <c r="F4" s="386" t="inlineStr">
        <is>
          <t>Dividend %</t>
        </is>
      </c>
      <c r="G4" s="386" t="inlineStr">
        <is>
          <t>%YTD</t>
        </is>
      </c>
      <c r="H4" s="386" t="inlineStr">
        <is>
          <t>%1Y</t>
        </is>
      </c>
      <c r="I4" s="386" t="inlineStr">
        <is>
          <t>5Y CAGR</t>
        </is>
      </c>
      <c r="J4" s="386" t="inlineStr">
        <is>
          <t>Mô tả</t>
        </is>
      </c>
      <c r="K4" s="700" t="n"/>
      <c r="L4" s="700" t="n"/>
      <c r="M4" s="700" t="n"/>
    </row>
    <row r="5" ht="36" customHeight="1" s="981">
      <c r="A5" s="235" t="inlineStr">
        <is>
          <t>SPY</t>
        </is>
      </c>
      <c r="B5" s="669" t="inlineStr">
        <is>
          <t>SPDR S&amp;P 500</t>
        </is>
      </c>
      <c r="C5" s="671" t="inlineStr">
        <is>
          <t>US Equity</t>
        </is>
      </c>
      <c r="D5" s="687" t="n">
        <v>580.5</v>
      </c>
      <c r="E5" s="687" t="n">
        <v>0.0009</v>
      </c>
      <c r="F5" s="687" t="n">
        <v>0.0132</v>
      </c>
      <c r="G5" s="715" t="n">
        <v>0.08400000000000001</v>
      </c>
      <c r="H5" s="715" t="n">
        <v>0.125</v>
      </c>
      <c r="I5" s="715" t="n">
        <v>0.138</v>
      </c>
      <c r="J5" s="669" t="inlineStr">
        <is>
          <t>ETF lâu đời, S&amp;P 500 chuẩn</t>
        </is>
      </c>
      <c r="K5" s="716" t="n"/>
      <c r="L5" s="717" t="n"/>
      <c r="M5" s="716" t="n"/>
    </row>
    <row r="6" ht="36" customHeight="1" s="981">
      <c r="A6" s="235" t="inlineStr">
        <is>
          <t>VOO</t>
        </is>
      </c>
      <c r="B6" s="669" t="inlineStr">
        <is>
          <t>Vanguard S&amp;P 500</t>
        </is>
      </c>
      <c r="C6" s="671" t="inlineStr">
        <is>
          <t>US Equity</t>
        </is>
      </c>
      <c r="D6" s="687" t="n">
        <v>485.2</v>
      </c>
      <c r="E6" s="687" t="n">
        <v>0.0003</v>
      </c>
      <c r="F6" s="687" t="n">
        <v>0.0135</v>
      </c>
      <c r="G6" s="715" t="n">
        <v>0.08500000000000001</v>
      </c>
      <c r="H6" s="715" t="n">
        <v>0.126</v>
      </c>
      <c r="I6" s="715" t="n">
        <v>0.139</v>
      </c>
      <c r="J6" s="669" t="inlineStr">
        <is>
          <t>Phí thấp nhất, recommend Buffett</t>
        </is>
      </c>
      <c r="K6" s="716" t="n"/>
      <c r="L6" s="717" t="n"/>
      <c r="M6" s="716" t="n"/>
    </row>
    <row r="7" ht="36" customHeight="1" s="981">
      <c r="A7" s="235" t="inlineStr">
        <is>
          <t>IVV</t>
        </is>
      </c>
      <c r="B7" s="669" t="inlineStr">
        <is>
          <t>iShares Core S&amp;P 500</t>
        </is>
      </c>
      <c r="C7" s="671" t="inlineStr">
        <is>
          <t>US Equity</t>
        </is>
      </c>
      <c r="D7" s="687" t="n">
        <v>425.8</v>
      </c>
      <c r="E7" s="687" t="n">
        <v>0.0003</v>
      </c>
      <c r="F7" s="687" t="n">
        <v>0.0135</v>
      </c>
      <c r="G7" s="715" t="n">
        <v>0.08400000000000001</v>
      </c>
      <c r="H7" s="715" t="n">
        <v>0.125</v>
      </c>
      <c r="I7" s="715" t="n">
        <v>0.138</v>
      </c>
      <c r="J7" s="669" t="inlineStr">
        <is>
          <t>Tương đương VOO</t>
        </is>
      </c>
      <c r="K7" s="716" t="n"/>
      <c r="L7" s="717" t="n"/>
      <c r="M7" s="716" t="n"/>
    </row>
    <row r="8" ht="36" customHeight="1" s="981">
      <c r="A8" s="235" t="inlineStr">
        <is>
          <t>VTI</t>
        </is>
      </c>
      <c r="B8" s="669" t="inlineStr">
        <is>
          <t>Vanguard Total US</t>
        </is>
      </c>
      <c r="C8" s="671" t="inlineStr">
        <is>
          <t>US Equity</t>
        </is>
      </c>
      <c r="D8" s="687" t="n">
        <v>415.6</v>
      </c>
      <c r="E8" s="687" t="n">
        <v>0.0003</v>
      </c>
      <c r="F8" s="687" t="n">
        <v>0.0134</v>
      </c>
      <c r="G8" s="715" t="n">
        <v>0.08699999999999999</v>
      </c>
      <c r="H8" s="715" t="n">
        <v>0.13</v>
      </c>
      <c r="I8" s="715" t="n">
        <v>0.142</v>
      </c>
      <c r="J8" s="669" t="inlineStr">
        <is>
          <t>Toàn thị trường US (4000+ mã)</t>
        </is>
      </c>
      <c r="K8" s="716" t="n"/>
      <c r="L8" s="717" t="n"/>
      <c r="M8" s="716" t="n"/>
    </row>
    <row r="9" ht="36" customHeight="1" s="981">
      <c r="A9" s="235" t="inlineStr">
        <is>
          <t>QQQ</t>
        </is>
      </c>
      <c r="B9" s="669" t="inlineStr">
        <is>
          <t>Invesco NASDAQ 100</t>
        </is>
      </c>
      <c r="C9" s="718" t="inlineStr">
        <is>
          <t>US Tech</t>
        </is>
      </c>
      <c r="D9" s="687" t="n">
        <v>315.4</v>
      </c>
      <c r="E9" s="687" t="n">
        <v>0.002</v>
      </c>
      <c r="F9" s="687" t="n">
        <v>0.0055</v>
      </c>
      <c r="G9" s="715" t="n">
        <v>0.125</v>
      </c>
      <c r="H9" s="715" t="n">
        <v>0.184</v>
      </c>
      <c r="I9" s="715" t="n">
        <v>0.195</v>
      </c>
      <c r="J9" s="669" t="inlineStr">
        <is>
          <t>Top 100 NASDAQ, heavy tech</t>
        </is>
      </c>
      <c r="K9" s="716" t="n"/>
      <c r="L9" s="717" t="n"/>
      <c r="M9" s="716" t="n"/>
    </row>
    <row r="10" ht="36" customHeight="1" s="981">
      <c r="A10" s="235" t="inlineStr">
        <is>
          <t>QQQM</t>
        </is>
      </c>
      <c r="B10" s="669" t="inlineStr">
        <is>
          <t>Invesco NASDAQ 100 EQ</t>
        </is>
      </c>
      <c r="C10" s="718" t="inlineStr">
        <is>
          <t>US Tech</t>
        </is>
      </c>
      <c r="D10" s="687" t="n">
        <v>42.8</v>
      </c>
      <c r="E10" s="687" t="n">
        <v>0.0015</v>
      </c>
      <c r="F10" s="687" t="n">
        <v>0.0058</v>
      </c>
      <c r="G10" s="715" t="n">
        <v>0.124</v>
      </c>
      <c r="H10" s="715" t="n">
        <v>0.183</v>
      </c>
      <c r="I10" s="715" t="n">
        <v>0.194</v>
      </c>
      <c r="J10" s="669" t="inlineStr">
        <is>
          <t>QQQ phí thấp hơn</t>
        </is>
      </c>
      <c r="K10" s="716" t="n"/>
      <c r="L10" s="717" t="n"/>
      <c r="M10" s="716" t="n"/>
    </row>
    <row r="11" ht="36" customHeight="1" s="981">
      <c r="A11" s="235" t="inlineStr">
        <is>
          <t>DIA</t>
        </is>
      </c>
      <c r="B11" s="669" t="inlineStr">
        <is>
          <t>SPDR Dow Jones</t>
        </is>
      </c>
      <c r="C11" s="671" t="inlineStr">
        <is>
          <t>US Equity</t>
        </is>
      </c>
      <c r="D11" s="687" t="n">
        <v>38.5</v>
      </c>
      <c r="E11" s="687" t="n">
        <v>0.0016</v>
      </c>
      <c r="F11" s="687" t="n">
        <v>0.0178</v>
      </c>
      <c r="G11" s="715" t="n">
        <v>0.064</v>
      </c>
      <c r="H11" s="715" t="n">
        <v>0.098</v>
      </c>
      <c r="I11" s="715" t="n">
        <v>0.105</v>
      </c>
      <c r="J11" s="669" t="inlineStr">
        <is>
          <t>Dow 30 industrials</t>
        </is>
      </c>
      <c r="K11" s="716" t="n"/>
      <c r="L11" s="717" t="n"/>
      <c r="M11" s="716" t="n"/>
    </row>
    <row r="12" ht="36" customHeight="1" s="981">
      <c r="A12" s="235" t="inlineStr">
        <is>
          <t>IWM</t>
        </is>
      </c>
      <c r="B12" s="669" t="inlineStr">
        <is>
          <t>iShares Russell 2000</t>
        </is>
      </c>
      <c r="C12" s="671" t="inlineStr">
        <is>
          <t>US Small</t>
        </is>
      </c>
      <c r="D12" s="687" t="n">
        <v>68.40000000000001</v>
      </c>
      <c r="E12" s="687" t="n">
        <v>0.0019</v>
      </c>
      <c r="F12" s="687" t="n">
        <v>0.0145</v>
      </c>
      <c r="G12" s="715" t="n">
        <v>0.045</v>
      </c>
      <c r="H12" s="715" t="n">
        <v>0.082</v>
      </c>
      <c r="I12" s="715" t="n">
        <v>0.095</v>
      </c>
      <c r="J12" s="669" t="inlineStr">
        <is>
          <t>Small cap US</t>
        </is>
      </c>
      <c r="K12" s="716" t="n"/>
      <c r="L12" s="717" t="n"/>
      <c r="M12" s="716" t="n"/>
    </row>
    <row r="13" ht="36" customHeight="1" s="981">
      <c r="A13" s="235" t="inlineStr">
        <is>
          <t>VTV</t>
        </is>
      </c>
      <c r="B13" s="669" t="inlineStr">
        <is>
          <t>Vanguard Value</t>
        </is>
      </c>
      <c r="C13" s="671" t="inlineStr">
        <is>
          <t>US Value</t>
        </is>
      </c>
      <c r="D13" s="687" t="n">
        <v>158.5</v>
      </c>
      <c r="E13" s="687" t="n">
        <v>0.0004</v>
      </c>
      <c r="F13" s="687" t="n">
        <v>0.0245</v>
      </c>
      <c r="G13" s="715" t="n">
        <v>0.068</v>
      </c>
      <c r="H13" s="715" t="n">
        <v>0.105</v>
      </c>
      <c r="I13" s="715" t="n">
        <v>0.112</v>
      </c>
      <c r="J13" s="669" t="inlineStr">
        <is>
          <t>Value stocks Buffett style</t>
        </is>
      </c>
      <c r="K13" s="716" t="n"/>
      <c r="L13" s="717" t="n"/>
      <c r="M13" s="716" t="n"/>
    </row>
    <row r="14" ht="36" customHeight="1" s="981">
      <c r="A14" s="235" t="inlineStr">
        <is>
          <t>VUG</t>
        </is>
      </c>
      <c r="B14" s="669" t="inlineStr">
        <is>
          <t>Vanguard Growth</t>
        </is>
      </c>
      <c r="C14" s="671" t="inlineStr">
        <is>
          <t>US Growth</t>
        </is>
      </c>
      <c r="D14" s="687" t="n">
        <v>175.4</v>
      </c>
      <c r="E14" s="687" t="n">
        <v>0.0004</v>
      </c>
      <c r="F14" s="687" t="n">
        <v>0.0045</v>
      </c>
      <c r="G14" s="715" t="n">
        <v>0.115</v>
      </c>
      <c r="H14" s="715" t="n">
        <v>0.164</v>
      </c>
      <c r="I14" s="715" t="n">
        <v>0.178</v>
      </c>
      <c r="J14" s="669" t="inlineStr">
        <is>
          <t>Growth stocks</t>
        </is>
      </c>
      <c r="K14" s="716" t="n"/>
      <c r="L14" s="717" t="n"/>
      <c r="M14" s="716" t="n"/>
    </row>
    <row r="15" ht="36" customHeight="1" s="981">
      <c r="A15" s="235" t="inlineStr">
        <is>
          <t>XLK</t>
        </is>
      </c>
      <c r="B15" s="669" t="inlineStr">
        <is>
          <t>Tech Select Sector</t>
        </is>
      </c>
      <c r="C15" s="718" t="inlineStr">
        <is>
          <t>US Tech</t>
        </is>
      </c>
      <c r="D15" s="687" t="n">
        <v>85.40000000000001</v>
      </c>
      <c r="E15" s="687" t="n">
        <v>0.0009</v>
      </c>
      <c r="F15" s="687" t="n">
        <v>0.0065</v>
      </c>
      <c r="G15" s="715" t="n">
        <v>0.134</v>
      </c>
      <c r="H15" s="715" t="n">
        <v>0.195</v>
      </c>
      <c r="I15" s="715" t="n">
        <v>0.212</v>
      </c>
      <c r="J15" s="669" t="inlineStr">
        <is>
          <t>Tech sector S&amp;P</t>
        </is>
      </c>
      <c r="K15" s="716" t="n"/>
      <c r="L15" s="717" t="n"/>
      <c r="M15" s="716" t="n"/>
    </row>
    <row r="16" ht="36" customHeight="1" s="981">
      <c r="A16" s="235" t="inlineStr">
        <is>
          <t>SMH</t>
        </is>
      </c>
      <c r="B16" s="669" t="inlineStr">
        <is>
          <t>VanEck Semiconductors</t>
        </is>
      </c>
      <c r="C16" s="671" t="inlineStr">
        <is>
          <t>US Chips</t>
        </is>
      </c>
      <c r="D16" s="687" t="n">
        <v>35.4</v>
      </c>
      <c r="E16" s="687" t="n">
        <v>0.0035</v>
      </c>
      <c r="F16" s="687" t="n">
        <v>0.0045</v>
      </c>
      <c r="G16" s="715" t="n">
        <v>0.185</v>
      </c>
      <c r="H16" s="715" t="n">
        <v>0.285</v>
      </c>
      <c r="I16" s="715" t="n">
        <v>0.325</v>
      </c>
      <c r="J16" s="669" t="inlineStr">
        <is>
          <t>Chip stocks, NVDA leader</t>
        </is>
      </c>
      <c r="K16" s="716" t="n"/>
      <c r="L16" s="717" t="n"/>
      <c r="M16" s="716" t="n"/>
    </row>
    <row r="17" ht="36" customHeight="1" s="981">
      <c r="A17" s="235" t="inlineStr">
        <is>
          <t>SOXX</t>
        </is>
      </c>
      <c r="B17" s="669" t="inlineStr">
        <is>
          <t>iShares Semiconductor</t>
        </is>
      </c>
      <c r="C17" s="671" t="inlineStr">
        <is>
          <t>US Chips</t>
        </is>
      </c>
      <c r="D17" s="687" t="n">
        <v>18.5</v>
      </c>
      <c r="E17" s="687" t="n">
        <v>0.0035</v>
      </c>
      <c r="F17" s="687" t="n">
        <v>0.008500000000000001</v>
      </c>
      <c r="G17" s="715" t="n">
        <v>0.178</v>
      </c>
      <c r="H17" s="715" t="n">
        <v>0.274</v>
      </c>
      <c r="I17" s="715" t="n">
        <v>0.312</v>
      </c>
      <c r="J17" s="669" t="inlineStr">
        <is>
          <t>Tương đương SMH</t>
        </is>
      </c>
      <c r="K17" s="716" t="n"/>
      <c r="L17" s="717" t="n"/>
      <c r="M17" s="716" t="n"/>
    </row>
    <row r="18" ht="14.25" customHeight="1" s="981">
      <c r="A18" s="235" t="inlineStr">
        <is>
          <t>XLF</t>
        </is>
      </c>
      <c r="B18" s="669" t="inlineStr">
        <is>
          <t>Financial Sector</t>
        </is>
      </c>
      <c r="C18" s="671" t="inlineStr">
        <is>
          <t>US Finance</t>
        </is>
      </c>
      <c r="D18" s="687" t="n">
        <v>48.5</v>
      </c>
      <c r="E18" s="687" t="n">
        <v>0.0009</v>
      </c>
      <c r="F18" s="687" t="n">
        <v>0.0165</v>
      </c>
      <c r="G18" s="715" t="n">
        <v>0.078</v>
      </c>
      <c r="H18" s="715" t="n">
        <v>0.145</v>
      </c>
      <c r="I18" s="715" t="n">
        <v>0.125</v>
      </c>
      <c r="J18" s="669" t="inlineStr">
        <is>
          <t>JPM/BAC/GS bank ETF</t>
        </is>
      </c>
      <c r="K18" s="1050" t="n"/>
      <c r="L18" s="1050" t="n"/>
      <c r="M18" s="1050" t="n"/>
    </row>
    <row r="19" ht="14.25" customHeight="1" s="981">
      <c r="A19" s="235" t="inlineStr">
        <is>
          <t>XLE</t>
        </is>
      </c>
      <c r="B19" s="669" t="inlineStr">
        <is>
          <t>Energy Sector</t>
        </is>
      </c>
      <c r="C19" s="671" t="inlineStr">
        <is>
          <t>US Energy</t>
        </is>
      </c>
      <c r="D19" s="687" t="n">
        <v>38.5</v>
      </c>
      <c r="E19" s="687" t="n">
        <v>0.0009</v>
      </c>
      <c r="F19" s="687" t="n">
        <v>0.0345</v>
      </c>
      <c r="G19" s="715" t="n">
        <v>0.045</v>
      </c>
      <c r="H19" s="715" t="n">
        <v>0.08500000000000001</v>
      </c>
      <c r="I19" s="715" t="n">
        <v>0.082</v>
      </c>
      <c r="J19" s="669" t="inlineStr">
        <is>
          <t>Oil &amp; gas majors</t>
        </is>
      </c>
      <c r="K19" s="1050" t="n"/>
      <c r="L19" s="1050" t="n"/>
      <c r="M19" s="1050" t="n"/>
    </row>
    <row r="20" ht="14.25" customHeight="1" s="981">
      <c r="A20" s="235" t="inlineStr">
        <is>
          <t>XLV</t>
        </is>
      </c>
      <c r="B20" s="669" t="inlineStr">
        <is>
          <t>Healthcare Sector</t>
        </is>
      </c>
      <c r="C20" s="671" t="inlineStr">
        <is>
          <t>US Health</t>
        </is>
      </c>
      <c r="D20" s="687" t="n">
        <v>42.5</v>
      </c>
      <c r="E20" s="687" t="n">
        <v>0.0009</v>
      </c>
      <c r="F20" s="687" t="n">
        <v>0.0155</v>
      </c>
      <c r="G20" s="715" t="n">
        <v>0.054</v>
      </c>
      <c r="H20" s="715" t="n">
        <v>0.104</v>
      </c>
      <c r="I20" s="715" t="n">
        <v>0.112</v>
      </c>
      <c r="J20" s="669" t="inlineStr">
        <is>
          <t>Pharma + biotech</t>
        </is>
      </c>
      <c r="K20" s="1050" t="n"/>
      <c r="L20" s="1050" t="n"/>
      <c r="M20" s="1050" t="n"/>
    </row>
    <row r="21" ht="14.25" customHeight="1" s="981">
      <c r="A21" s="235" t="inlineStr">
        <is>
          <t>XLY</t>
        </is>
      </c>
      <c r="B21" s="669" t="inlineStr">
        <is>
          <t>Consumer Discretionary</t>
        </is>
      </c>
      <c r="C21" s="671" t="inlineStr">
        <is>
          <t>US Cons</t>
        </is>
      </c>
      <c r="D21" s="687" t="n">
        <v>28.5</v>
      </c>
      <c r="E21" s="687" t="n">
        <v>0.0009</v>
      </c>
      <c r="F21" s="687" t="n">
        <v>0.008500000000000001</v>
      </c>
      <c r="G21" s="715" t="n">
        <v>0.098</v>
      </c>
      <c r="H21" s="715" t="n">
        <v>0.145</v>
      </c>
      <c r="I21" s="715" t="n">
        <v>0.138</v>
      </c>
      <c r="J21" s="669" t="inlineStr">
        <is>
          <t>Amazon/Tesla/HD heavy</t>
        </is>
      </c>
      <c r="K21" s="1050" t="n"/>
      <c r="L21" s="1050" t="n"/>
      <c r="M21" s="1050" t="n"/>
    </row>
    <row r="22" ht="14.25" customHeight="1" s="981">
      <c r="A22" s="235" t="inlineStr">
        <is>
          <t>XLI</t>
        </is>
      </c>
      <c r="B22" s="669" t="inlineStr">
        <is>
          <t>Industrial Sector</t>
        </is>
      </c>
      <c r="C22" s="671" t="inlineStr">
        <is>
          <t>US Indust</t>
        </is>
      </c>
      <c r="D22" s="687" t="n">
        <v>22.5</v>
      </c>
      <c r="E22" s="687" t="n">
        <v>0.0009</v>
      </c>
      <c r="F22" s="687" t="n">
        <v>0.0155</v>
      </c>
      <c r="G22" s="715" t="n">
        <v>0.075</v>
      </c>
      <c r="H22" s="715" t="n">
        <v>0.124</v>
      </c>
      <c r="I22" s="715" t="n">
        <v>0.115</v>
      </c>
      <c r="J22" s="669" t="inlineStr">
        <is>
          <t>Boeing/CAT/GE</t>
        </is>
      </c>
      <c r="K22" s="1050" t="n"/>
      <c r="L22" s="1050" t="n"/>
      <c r="M22" s="1050" t="n"/>
    </row>
    <row r="23" ht="14.25" customHeight="1" s="981">
      <c r="A23" s="235" t="inlineStr">
        <is>
          <t>VEA</t>
        </is>
      </c>
      <c r="B23" s="669" t="inlineStr">
        <is>
          <t>Vanguard Developed</t>
        </is>
      </c>
      <c r="C23" s="671" t="inlineStr">
        <is>
          <t>Intl Dev</t>
        </is>
      </c>
      <c r="D23" s="687" t="n">
        <v>138.4</v>
      </c>
      <c r="E23" s="687" t="n">
        <v>0.0005</v>
      </c>
      <c r="F23" s="687" t="n">
        <v>0.0305</v>
      </c>
      <c r="G23" s="715" t="n">
        <v>0.054</v>
      </c>
      <c r="H23" s="715" t="n">
        <v>0.095</v>
      </c>
      <c r="I23" s="715" t="n">
        <v>0.082</v>
      </c>
      <c r="J23" s="669" t="inlineStr">
        <is>
          <t>EU + Japan + UK</t>
        </is>
      </c>
      <c r="K23" s="1050" t="n"/>
      <c r="L23" s="1050" t="n"/>
      <c r="M23" s="1050" t="n"/>
    </row>
    <row r="24" ht="14.25" customHeight="1" s="981">
      <c r="A24" s="235" t="inlineStr">
        <is>
          <t>VWO</t>
        </is>
      </c>
      <c r="B24" s="669" t="inlineStr">
        <is>
          <t>Vanguard Emerging</t>
        </is>
      </c>
      <c r="C24" s="671" t="inlineStr">
        <is>
          <t>Intl EM</t>
        </is>
      </c>
      <c r="D24" s="687" t="n">
        <v>115.4</v>
      </c>
      <c r="E24" s="687" t="n">
        <v>0.0008</v>
      </c>
      <c r="F24" s="687" t="n">
        <v>0.0325</v>
      </c>
      <c r="G24" s="715" t="n">
        <v>0.074</v>
      </c>
      <c r="H24" s="715" t="n">
        <v>0.115</v>
      </c>
      <c r="I24" s="715" t="n">
        <v>0.068</v>
      </c>
      <c r="J24" s="669" t="inlineStr">
        <is>
          <t>EM markets China heavy</t>
        </is>
      </c>
      <c r="K24" s="1050" t="n"/>
      <c r="L24" s="1050" t="n"/>
      <c r="M24" s="1050" t="n"/>
    </row>
    <row r="25" ht="14.25" customHeight="1" s="981">
      <c r="A25" s="235" t="inlineStr">
        <is>
          <t>EFA</t>
        </is>
      </c>
      <c r="B25" s="669" t="inlineStr">
        <is>
          <t>iShares MSCI EAFE</t>
        </is>
      </c>
      <c r="C25" s="671" t="inlineStr">
        <is>
          <t>Intl Dev</t>
        </is>
      </c>
      <c r="D25" s="687" t="n">
        <v>85.40000000000001</v>
      </c>
      <c r="E25" s="687" t="n">
        <v>0.0032</v>
      </c>
      <c r="F25" s="687" t="n">
        <v>0.0315</v>
      </c>
      <c r="G25" s="715" t="n">
        <v>0.055</v>
      </c>
      <c r="H25" s="715" t="n">
        <v>0.094</v>
      </c>
      <c r="I25" s="715" t="n">
        <v>0.081</v>
      </c>
      <c r="J25" s="669" t="inlineStr">
        <is>
          <t>Tương đương VEA</t>
        </is>
      </c>
      <c r="K25" s="1050" t="n"/>
      <c r="L25" s="1050" t="n"/>
      <c r="M25" s="1050" t="n"/>
    </row>
    <row r="26" ht="14.25" customHeight="1" s="981">
      <c r="A26" s="235" t="inlineStr">
        <is>
          <t>EEM</t>
        </is>
      </c>
      <c r="B26" s="669" t="inlineStr">
        <is>
          <t>iShares MSCI EM</t>
        </is>
      </c>
      <c r="C26" s="671" t="inlineStr">
        <is>
          <t>Intl EM</t>
        </is>
      </c>
      <c r="D26" s="687" t="n">
        <v>25.4</v>
      </c>
      <c r="E26" s="687" t="n">
        <v>0.0069</v>
      </c>
      <c r="F26" s="687" t="n">
        <v>0.0265</v>
      </c>
      <c r="G26" s="715" t="n">
        <v>0.07199999999999999</v>
      </c>
      <c r="H26" s="715" t="n">
        <v>0.112</v>
      </c>
      <c r="I26" s="715" t="n">
        <v>0.065</v>
      </c>
      <c r="J26" s="669" t="inlineStr">
        <is>
          <t>EM markets - phí cao hơn VWO</t>
        </is>
      </c>
      <c r="K26" s="1050" t="n"/>
      <c r="L26" s="1050" t="n"/>
      <c r="M26" s="1050" t="n"/>
    </row>
    <row r="27" ht="14.25" customHeight="1" s="981">
      <c r="A27" s="235" t="inlineStr">
        <is>
          <t>IEMG</t>
        </is>
      </c>
      <c r="B27" s="669" t="inlineStr">
        <is>
          <t>iShares Core EM</t>
        </is>
      </c>
      <c r="C27" s="671" t="inlineStr">
        <is>
          <t>Intl EM</t>
        </is>
      </c>
      <c r="D27" s="687" t="n">
        <v>85.40000000000001</v>
      </c>
      <c r="E27" s="687" t="n">
        <v>0.0009</v>
      </c>
      <c r="F27" s="687" t="n">
        <v>0.0285</v>
      </c>
      <c r="G27" s="715" t="n">
        <v>0.073</v>
      </c>
      <c r="H27" s="715" t="n">
        <v>0.114</v>
      </c>
      <c r="I27" s="715" t="n">
        <v>0.067</v>
      </c>
      <c r="J27" s="669" t="inlineStr">
        <is>
          <t>EM phí thấp</t>
        </is>
      </c>
      <c r="K27" s="1050" t="n"/>
      <c r="L27" s="1050" t="n"/>
      <c r="M27" s="1050" t="n"/>
    </row>
    <row r="28" ht="14.25" customHeight="1" s="981">
      <c r="A28" s="235" t="inlineStr">
        <is>
          <t>VXUS</t>
        </is>
      </c>
      <c r="B28" s="669" t="inlineStr">
        <is>
          <t>Vanguard Total Intl</t>
        </is>
      </c>
      <c r="C28" s="671" t="inlineStr">
        <is>
          <t>Intl All</t>
        </is>
      </c>
      <c r="D28" s="687" t="n">
        <v>72.40000000000001</v>
      </c>
      <c r="E28" s="687" t="n">
        <v>0.0007</v>
      </c>
      <c r="F28" s="687" t="n">
        <v>0.0315</v>
      </c>
      <c r="G28" s="715" t="n">
        <v>0.058</v>
      </c>
      <c r="H28" s="715" t="n">
        <v>0.102</v>
      </c>
      <c r="I28" s="715" t="n">
        <v>0.075</v>
      </c>
      <c r="J28" s="669" t="inlineStr">
        <is>
          <t>Toàn cầu ngoài Mỹ</t>
        </is>
      </c>
      <c r="K28" s="1050" t="n"/>
      <c r="L28" s="1050" t="n"/>
      <c r="M28" s="1050" t="n"/>
    </row>
    <row r="29" ht="14.25" customHeight="1" s="981">
      <c r="A29" s="235" t="inlineStr">
        <is>
          <t>BND</t>
        </is>
      </c>
      <c r="B29" s="669" t="inlineStr">
        <is>
          <t>Vanguard Total Bond</t>
        </is>
      </c>
      <c r="C29" s="719" t="inlineStr">
        <is>
          <t>US Bond</t>
        </is>
      </c>
      <c r="D29" s="687" t="n">
        <v>115.4</v>
      </c>
      <c r="E29" s="687" t="n">
        <v>0.0003</v>
      </c>
      <c r="F29" s="687" t="n">
        <v>0.0425</v>
      </c>
      <c r="G29" s="715" t="n">
        <v>0.015</v>
      </c>
      <c r="H29" s="715" t="n">
        <v>0.045</v>
      </c>
      <c r="I29" s="715" t="n">
        <v>0.018</v>
      </c>
      <c r="J29" s="669" t="inlineStr">
        <is>
          <t>Bond toàn US, core holding</t>
        </is>
      </c>
      <c r="K29" s="1050" t="n"/>
      <c r="L29" s="1050" t="n"/>
      <c r="M29" s="1050" t="n"/>
    </row>
    <row r="30" ht="14.25" customHeight="1" s="981">
      <c r="A30" s="235" t="inlineStr">
        <is>
          <t>AGG</t>
        </is>
      </c>
      <c r="B30" s="669" t="inlineStr">
        <is>
          <t>iShares Core US Bond</t>
        </is>
      </c>
      <c r="C30" s="719" t="inlineStr">
        <is>
          <t>US Bond</t>
        </is>
      </c>
      <c r="D30" s="687" t="n">
        <v>115.8</v>
      </c>
      <c r="E30" s="687" t="n">
        <v>0.0003</v>
      </c>
      <c r="F30" s="687" t="n">
        <v>0.042</v>
      </c>
      <c r="G30" s="715" t="n">
        <v>0.014</v>
      </c>
      <c r="H30" s="715" t="n">
        <v>0.044</v>
      </c>
      <c r="I30" s="715" t="n">
        <v>0.017</v>
      </c>
      <c r="J30" s="669" t="inlineStr">
        <is>
          <t>Tương đương BND</t>
        </is>
      </c>
      <c r="K30" s="1050" t="n"/>
      <c r="L30" s="1050" t="n"/>
      <c r="M30" s="1050" t="n"/>
    </row>
    <row r="31" ht="14.25" customHeight="1" s="981">
      <c r="A31" s="235" t="inlineStr">
        <is>
          <t>TLT</t>
        </is>
      </c>
      <c r="B31" s="669" t="inlineStr">
        <is>
          <t>20+Y US Treasury</t>
        </is>
      </c>
      <c r="C31" s="719" t="inlineStr">
        <is>
          <t>US LT Bond</t>
        </is>
      </c>
      <c r="D31" s="687" t="n">
        <v>58.4</v>
      </c>
      <c r="E31" s="687" t="n">
        <v>0.0015</v>
      </c>
      <c r="F31" s="687" t="n">
        <v>0.0445</v>
      </c>
      <c r="G31" s="693" t="n">
        <v>-0.025</v>
      </c>
      <c r="H31" s="715" t="n">
        <v>0.055</v>
      </c>
      <c r="I31" s="693" t="n">
        <v>-0.015</v>
      </c>
      <c r="J31" s="669" t="inlineStr">
        <is>
          <t>Long duration, sensitive lãi</t>
        </is>
      </c>
      <c r="K31" s="1050" t="n"/>
      <c r="L31" s="1050" t="n"/>
      <c r="M31" s="1050" t="n"/>
    </row>
    <row r="32" ht="14.25" customHeight="1" s="981">
      <c r="A32" s="235" t="inlineStr">
        <is>
          <t>IEF</t>
        </is>
      </c>
      <c r="B32" s="669" t="inlineStr">
        <is>
          <t>7-10Y US Treasury</t>
        </is>
      </c>
      <c r="C32" s="719" t="inlineStr">
        <is>
          <t>US MT Bond</t>
        </is>
      </c>
      <c r="D32" s="687" t="n">
        <v>32.5</v>
      </c>
      <c r="E32" s="687" t="n">
        <v>0.0015</v>
      </c>
      <c r="F32" s="687" t="n">
        <v>0.0425</v>
      </c>
      <c r="G32" s="715" t="n">
        <v>0.012</v>
      </c>
      <c r="H32" s="715" t="n">
        <v>0.048</v>
      </c>
      <c r="I32" s="715" t="n">
        <v>0.005</v>
      </c>
      <c r="J32" s="669" t="inlineStr">
        <is>
          <t>Intermediate duration</t>
        </is>
      </c>
      <c r="K32" s="1050" t="n"/>
      <c r="L32" s="1050" t="n"/>
      <c r="M32" s="1050" t="n"/>
    </row>
    <row r="33" ht="14.25" customHeight="1" s="981">
      <c r="A33" s="235" t="inlineStr">
        <is>
          <t>SHY</t>
        </is>
      </c>
      <c r="B33" s="669" t="inlineStr">
        <is>
          <t>1-3Y US Treasury</t>
        </is>
      </c>
      <c r="C33" s="719" t="inlineStr">
        <is>
          <t>US ST Bond</t>
        </is>
      </c>
      <c r="D33" s="687" t="n">
        <v>28.5</v>
      </c>
      <c r="E33" s="687" t="n">
        <v>0.0015</v>
      </c>
      <c r="F33" s="687" t="n">
        <v>0.0455</v>
      </c>
      <c r="G33" s="715" t="n">
        <v>0.042</v>
      </c>
      <c r="H33" s="715" t="n">
        <v>0.048</v>
      </c>
      <c r="I33" s="715" t="n">
        <v>0.018</v>
      </c>
      <c r="J33" s="669" t="inlineStr">
        <is>
          <t>Cash equivalent, ngắn hạn</t>
        </is>
      </c>
      <c r="K33" s="1050" t="n"/>
      <c r="L33" s="1050" t="n"/>
      <c r="M33" s="1050" t="n"/>
    </row>
    <row r="34" ht="14.25" customHeight="1" s="981">
      <c r="A34" s="235" t="inlineStr">
        <is>
          <t>LQD</t>
        </is>
      </c>
      <c r="B34" s="669" t="inlineStr">
        <is>
          <t>iShares Inv Grade</t>
        </is>
      </c>
      <c r="C34" s="671" t="inlineStr">
        <is>
          <t>US Corp</t>
        </is>
      </c>
      <c r="D34" s="687" t="n">
        <v>38.5</v>
      </c>
      <c r="E34" s="687" t="n">
        <v>0.0014</v>
      </c>
      <c r="F34" s="687" t="n">
        <v>0.0485</v>
      </c>
      <c r="G34" s="715" t="n">
        <v>0.025</v>
      </c>
      <c r="H34" s="715" t="n">
        <v>0.058</v>
      </c>
      <c r="I34" s="715" t="n">
        <v>0.022</v>
      </c>
      <c r="J34" s="669" t="inlineStr">
        <is>
          <t>Investment grade corp</t>
        </is>
      </c>
      <c r="K34" s="1050" t="n"/>
      <c r="L34" s="1050" t="n"/>
      <c r="M34" s="1050" t="n"/>
    </row>
    <row r="35" ht="14.25" customHeight="1" s="981">
      <c r="A35" s="235" t="inlineStr">
        <is>
          <t>HYG</t>
        </is>
      </c>
      <c r="B35" s="669" t="inlineStr">
        <is>
          <t>iShares High Yield</t>
        </is>
      </c>
      <c r="C35" s="671" t="inlineStr">
        <is>
          <t>US HY</t>
        </is>
      </c>
      <c r="D35" s="687" t="n">
        <v>18.5</v>
      </c>
      <c r="E35" s="687" t="n">
        <v>0.0049</v>
      </c>
      <c r="F35" s="687" t="n">
        <v>0.0745</v>
      </c>
      <c r="G35" s="715" t="n">
        <v>0.054</v>
      </c>
      <c r="H35" s="715" t="n">
        <v>0.092</v>
      </c>
      <c r="I35" s="715" t="n">
        <v>0.045</v>
      </c>
      <c r="J35" s="669" t="inlineStr">
        <is>
          <t>Junk bonds, lãi cao rủi ro</t>
        </is>
      </c>
      <c r="K35" s="1050" t="n"/>
      <c r="L35" s="1050" t="n"/>
      <c r="M35" s="1050" t="n"/>
    </row>
    <row r="36" ht="14.25" customHeight="1" s="981">
      <c r="A36" s="235" t="inlineStr">
        <is>
          <t>MUB</t>
        </is>
      </c>
      <c r="B36" s="669" t="inlineStr">
        <is>
          <t>iShares Muni Bond</t>
        </is>
      </c>
      <c r="C36" s="671" t="inlineStr">
        <is>
          <t>US Muni</t>
        </is>
      </c>
      <c r="D36" s="687" t="n">
        <v>38.5</v>
      </c>
      <c r="E36" s="687" t="n">
        <v>0.0007</v>
      </c>
      <c r="F36" s="687" t="n">
        <v>0.0345</v>
      </c>
      <c r="G36" s="715" t="n">
        <v>0.018</v>
      </c>
      <c r="H36" s="715" t="n">
        <v>0.045</v>
      </c>
      <c r="I36" s="715" t="n">
        <v>0.015</v>
      </c>
      <c r="J36" s="669" t="inlineStr">
        <is>
          <t>Tax-free muni bonds</t>
        </is>
      </c>
      <c r="K36" s="1050" t="n"/>
      <c r="L36" s="1050" t="n"/>
      <c r="M36" s="1050" t="n"/>
    </row>
    <row r="37" ht="14.25" customHeight="1" s="981">
      <c r="A37" s="235" t="inlineStr">
        <is>
          <t>VYM</t>
        </is>
      </c>
      <c r="B37" s="669" t="inlineStr">
        <is>
          <t>Vanguard High Div</t>
        </is>
      </c>
      <c r="C37" s="671" t="inlineStr">
        <is>
          <t>Dividend</t>
        </is>
      </c>
      <c r="D37" s="687" t="n">
        <v>68.40000000000001</v>
      </c>
      <c r="E37" s="687" t="n">
        <v>0.0005999999999999999</v>
      </c>
      <c r="F37" s="687" t="n">
        <v>0.0285</v>
      </c>
      <c r="G37" s="715" t="n">
        <v>0.068</v>
      </c>
      <c r="H37" s="715" t="n">
        <v>0.104</v>
      </c>
      <c r="I37" s="715" t="n">
        <v>0.112</v>
      </c>
      <c r="J37" s="669" t="inlineStr">
        <is>
          <t>Dividend stocks</t>
        </is>
      </c>
      <c r="K37" s="1050" t="n"/>
      <c r="L37" s="1050" t="n"/>
      <c r="M37" s="1050" t="n"/>
    </row>
    <row r="38" ht="14.25" customHeight="1" s="981">
      <c r="A38" s="235" t="inlineStr">
        <is>
          <t>SCHD</t>
        </is>
      </c>
      <c r="B38" s="669" t="inlineStr">
        <is>
          <t>Schwab Div Equity</t>
        </is>
      </c>
      <c r="C38" s="671" t="inlineStr">
        <is>
          <t>Dividend</t>
        </is>
      </c>
      <c r="D38" s="687" t="n">
        <v>62.5</v>
      </c>
      <c r="E38" s="687" t="n">
        <v>0.0005999999999999999</v>
      </c>
      <c r="F38" s="687" t="n">
        <v>0.0345</v>
      </c>
      <c r="G38" s="715" t="n">
        <v>0.075</v>
      </c>
      <c r="H38" s="715" t="n">
        <v>0.115</v>
      </c>
      <c r="I38" s="715" t="n">
        <v>0.124</v>
      </c>
      <c r="J38" s="669" t="inlineStr">
        <is>
          <t>Quality dividend, popular</t>
        </is>
      </c>
      <c r="K38" s="1050" t="n"/>
      <c r="L38" s="1050" t="n"/>
      <c r="M38" s="1050" t="n"/>
    </row>
    <row r="39" ht="14.25" customHeight="1" s="981">
      <c r="A39" s="235" t="inlineStr">
        <is>
          <t>DVY</t>
        </is>
      </c>
      <c r="B39" s="669" t="inlineStr">
        <is>
          <t>iShares Sel Dividend</t>
        </is>
      </c>
      <c r="C39" s="671" t="inlineStr">
        <is>
          <t>Dividend</t>
        </is>
      </c>
      <c r="D39" s="687" t="n">
        <v>18.5</v>
      </c>
      <c r="E39" s="687" t="n">
        <v>0.0038</v>
      </c>
      <c r="F39" s="687" t="n">
        <v>0.0345</v>
      </c>
      <c r="G39" s="715" t="n">
        <v>0.055</v>
      </c>
      <c r="H39" s="715" t="n">
        <v>0.095</v>
      </c>
      <c r="I39" s="715" t="n">
        <v>0.105</v>
      </c>
      <c r="J39" s="669" t="inlineStr">
        <is>
          <t>High dividend pickers</t>
        </is>
      </c>
      <c r="K39" s="1050" t="n"/>
      <c r="L39" s="1050" t="n"/>
      <c r="M39" s="1050" t="n"/>
    </row>
    <row r="40" ht="14.25" customHeight="1" s="981">
      <c r="A40" s="235" t="inlineStr">
        <is>
          <t>NOBL</t>
        </is>
      </c>
      <c r="B40" s="669" t="inlineStr">
        <is>
          <t>ProShares Div Aristo</t>
        </is>
      </c>
      <c r="C40" s="671" t="inlineStr">
        <is>
          <t>Dividend</t>
        </is>
      </c>
      <c r="D40" s="687" t="n">
        <v>12.5</v>
      </c>
      <c r="E40" s="687" t="n">
        <v>0.0035</v>
      </c>
      <c r="F40" s="687" t="n">
        <v>0.0185</v>
      </c>
      <c r="G40" s="715" t="n">
        <v>0.065</v>
      </c>
      <c r="H40" s="715" t="n">
        <v>0.105</v>
      </c>
      <c r="I40" s="715" t="n">
        <v>0.112</v>
      </c>
      <c r="J40" s="669" t="inlineStr">
        <is>
          <t>Dividend Aristocrats</t>
        </is>
      </c>
      <c r="K40" s="1050" t="n"/>
      <c r="L40" s="1050" t="n"/>
      <c r="M40" s="1050" t="n"/>
    </row>
    <row r="41" ht="14.25" customHeight="1" s="981">
      <c r="A41" s="235" t="inlineStr">
        <is>
          <t>REIT</t>
        </is>
      </c>
      <c r="B41" s="669" t="inlineStr">
        <is>
          <t>Vanguard Real Estate</t>
        </is>
      </c>
      <c r="C41" s="671" t="inlineStr">
        <is>
          <t>Real Est</t>
        </is>
      </c>
      <c r="D41" s="687" t="n">
        <v>35.4</v>
      </c>
      <c r="E41" s="687" t="n">
        <v>0.0012</v>
      </c>
      <c r="F41" s="687" t="n">
        <v>0.0385</v>
      </c>
      <c r="G41" s="715" t="n">
        <v>0.045</v>
      </c>
      <c r="H41" s="715" t="n">
        <v>0.08500000000000001</v>
      </c>
      <c r="I41" s="715" t="n">
        <v>0.07199999999999999</v>
      </c>
      <c r="J41" s="669" t="inlineStr">
        <is>
          <t>REITs, real estate equity</t>
        </is>
      </c>
      <c r="K41" s="1050" t="n"/>
      <c r="L41" s="1050" t="n"/>
      <c r="M41" s="1050" t="n"/>
    </row>
    <row r="42" ht="14.25" customHeight="1" s="981">
      <c r="A42" s="235" t="inlineStr">
        <is>
          <t>GLD</t>
        </is>
      </c>
      <c r="B42" s="669" t="inlineStr">
        <is>
          <t>SPDR Gold Trust</t>
        </is>
      </c>
      <c r="C42" s="720" t="inlineStr">
        <is>
          <t>Gold</t>
        </is>
      </c>
      <c r="D42" s="687" t="n">
        <v>78.5</v>
      </c>
      <c r="E42" s="687" t="n">
        <v>0.004</v>
      </c>
      <c r="F42" s="687" t="n">
        <v>0</v>
      </c>
      <c r="G42" s="715" t="n">
        <v>0.285</v>
      </c>
      <c r="H42" s="715" t="n">
        <v>0.354</v>
      </c>
      <c r="I42" s="715" t="n">
        <v>0.125</v>
      </c>
      <c r="J42" s="669" t="inlineStr">
        <is>
          <t>Vàng vật chất, hedge inflation</t>
        </is>
      </c>
      <c r="K42" s="1050" t="n"/>
      <c r="L42" s="1050" t="n"/>
      <c r="M42" s="1050" t="n"/>
    </row>
    <row r="43" ht="14.25" customHeight="1" s="981">
      <c r="A43" s="235" t="inlineStr">
        <is>
          <t>IAU</t>
        </is>
      </c>
      <c r="B43" s="669" t="inlineStr">
        <is>
          <t>iShares Gold Trust</t>
        </is>
      </c>
      <c r="C43" s="720" t="inlineStr">
        <is>
          <t>Gold</t>
        </is>
      </c>
      <c r="D43" s="687" t="n">
        <v>32.5</v>
      </c>
      <c r="E43" s="687" t="n">
        <v>0.0025</v>
      </c>
      <c r="F43" s="687" t="n">
        <v>0</v>
      </c>
      <c r="G43" s="715" t="n">
        <v>0.284</v>
      </c>
      <c r="H43" s="715" t="n">
        <v>0.355</v>
      </c>
      <c r="I43" s="715" t="n">
        <v>0.126</v>
      </c>
      <c r="J43" s="669" t="inlineStr">
        <is>
          <t>Phí thấp hơn GLD</t>
        </is>
      </c>
      <c r="K43" s="1050" t="n"/>
      <c r="L43" s="1050" t="n"/>
      <c r="M43" s="1050" t="n"/>
    </row>
    <row r="44" ht="14.25" customHeight="1" s="981">
      <c r="A44" s="235" t="inlineStr">
        <is>
          <t>SGOL</t>
        </is>
      </c>
      <c r="B44" s="669" t="inlineStr">
        <is>
          <t>abrdn Physical Gold</t>
        </is>
      </c>
      <c r="C44" s="720" t="inlineStr">
        <is>
          <t>Gold</t>
        </is>
      </c>
      <c r="D44" s="687" t="n">
        <v>4.5</v>
      </c>
      <c r="E44" s="687" t="n">
        <v>0.0017</v>
      </c>
      <c r="F44" s="687" t="n">
        <v>0</v>
      </c>
      <c r="G44" s="715" t="n">
        <v>0.285</v>
      </c>
      <c r="H44" s="715" t="n">
        <v>0.355</v>
      </c>
      <c r="I44" s="715" t="n">
        <v>0.126</v>
      </c>
      <c r="J44" s="669" t="inlineStr">
        <is>
          <t>Phí rất thấp</t>
        </is>
      </c>
      <c r="K44" s="1050" t="n"/>
      <c r="L44" s="1050" t="n"/>
      <c r="M44" s="1050" t="n"/>
    </row>
    <row r="45" ht="14.25" customHeight="1" s="981">
      <c r="A45" s="235" t="inlineStr">
        <is>
          <t>IBIT</t>
        </is>
      </c>
      <c r="B45" s="669" t="inlineStr">
        <is>
          <t>iShares Bitcoin Trust</t>
        </is>
      </c>
      <c r="C45" s="671" t="inlineStr">
        <is>
          <t>Crypto</t>
        </is>
      </c>
      <c r="D45" s="687" t="n">
        <v>52.5</v>
      </c>
      <c r="E45" s="687" t="n">
        <v>0.0025</v>
      </c>
      <c r="F45" s="687" t="n">
        <v>0</v>
      </c>
      <c r="G45" s="715" t="n">
        <v>0.655</v>
      </c>
      <c r="H45" s="715" t="n">
        <v>1.455</v>
      </c>
      <c r="I45" s="715" t="n">
        <v>0.885</v>
      </c>
      <c r="J45" s="669" t="inlineStr">
        <is>
          <t>Bitcoin spot ETF</t>
        </is>
      </c>
      <c r="K45" s="1050" t="n"/>
      <c r="L45" s="1050" t="n"/>
      <c r="M45" s="1050" t="n"/>
    </row>
    <row r="46" ht="14.25" customHeight="1" s="981">
      <c r="A46" s="235" t="inlineStr">
        <is>
          <t>E1VFVN30</t>
        </is>
      </c>
      <c r="B46" s="669" t="inlineStr">
        <is>
          <t>VNFin Lead VN30 ETF</t>
        </is>
      </c>
      <c r="C46" s="721" t="inlineStr">
        <is>
          <t>VN ETF</t>
        </is>
      </c>
      <c r="D46" s="687" t="n">
        <v>8.5</v>
      </c>
      <c r="E46" s="687" t="n">
        <v>0.0065</v>
      </c>
      <c r="F46" s="687" t="n">
        <v>0.0185</v>
      </c>
      <c r="G46" s="715" t="n">
        <v>0.125</v>
      </c>
      <c r="H46" s="715" t="n">
        <v>0.185</v>
      </c>
      <c r="I46" s="715" t="n">
        <v>0.145</v>
      </c>
      <c r="J46" s="669" t="inlineStr">
        <is>
          <t>VN30 ETF, top thanh khoản</t>
        </is>
      </c>
      <c r="K46" s="1050" t="n"/>
      <c r="L46" s="1050" t="n"/>
      <c r="M46" s="1050" t="n"/>
    </row>
    <row r="47" ht="14.25" customHeight="1" s="981">
      <c r="A47" s="235" t="inlineStr">
        <is>
          <t>FUEVFVND</t>
        </is>
      </c>
      <c r="B47" s="669" t="inlineStr">
        <is>
          <t>SSI VNX50 ETF</t>
        </is>
      </c>
      <c r="C47" s="721" t="inlineStr">
        <is>
          <t>VN ETF</t>
        </is>
      </c>
      <c r="D47" s="687" t="n">
        <v>4.2</v>
      </c>
      <c r="E47" s="687" t="n">
        <v>0.0065</v>
      </c>
      <c r="F47" s="687" t="n">
        <v>0.0205</v>
      </c>
      <c r="G47" s="715" t="n">
        <v>0.118</v>
      </c>
      <c r="H47" s="715" t="n">
        <v>0.175</v>
      </c>
      <c r="I47" s="715" t="n">
        <v>0.138</v>
      </c>
      <c r="J47" s="669" t="inlineStr">
        <is>
          <t>VNX50 broader</t>
        </is>
      </c>
      <c r="K47" s="1050" t="n"/>
      <c r="L47" s="1050" t="n"/>
      <c r="M47" s="1050" t="n"/>
    </row>
    <row r="48" ht="14.25" customHeight="1" s="981">
      <c r="A48" s="235" t="inlineStr">
        <is>
          <t>DCDS</t>
        </is>
      </c>
      <c r="B48" s="669" t="inlineStr">
        <is>
          <t>Dragon Capital VN Eq</t>
        </is>
      </c>
      <c r="C48" s="721" t="inlineStr">
        <is>
          <t>VN Fund</t>
        </is>
      </c>
      <c r="D48" s="687" t="n">
        <v>12.5</v>
      </c>
      <c r="E48" s="687" t="n">
        <v>0.015</v>
      </c>
      <c r="F48" s="687" t="n">
        <v>0.0155</v>
      </c>
      <c r="G48" s="715" t="n">
        <v>0.145</v>
      </c>
      <c r="H48" s="715" t="n">
        <v>0.225</v>
      </c>
      <c r="I48" s="715" t="n">
        <v>0.165</v>
      </c>
      <c r="J48" s="669" t="inlineStr">
        <is>
          <t>Active fund, top performer</t>
        </is>
      </c>
      <c r="K48" s="1050" t="n"/>
      <c r="L48" s="1050" t="n"/>
      <c r="M48" s="1050" t="n"/>
    </row>
    <row r="49" ht="14.25" customHeight="1" s="981">
      <c r="A49" s="235" t="inlineStr">
        <is>
          <t>DCBC</t>
        </is>
      </c>
      <c r="B49" s="669" t="inlineStr">
        <is>
          <t>Dragon Capital Balance</t>
        </is>
      </c>
      <c r="C49" s="721" t="inlineStr">
        <is>
          <t>VN Fund</t>
        </is>
      </c>
      <c r="D49" s="687" t="n">
        <v>8.5</v>
      </c>
      <c r="E49" s="687" t="n">
        <v>0.012</v>
      </c>
      <c r="F49" s="687" t="n">
        <v>0.0345</v>
      </c>
      <c r="G49" s="715" t="n">
        <v>0.095</v>
      </c>
      <c r="H49" s="715" t="n">
        <v>0.125</v>
      </c>
      <c r="I49" s="715" t="n">
        <v>0.098</v>
      </c>
      <c r="J49" s="669" t="inlineStr">
        <is>
          <t>Balanced 60/40</t>
        </is>
      </c>
      <c r="K49" s="1050" t="n"/>
      <c r="L49" s="1050" t="n"/>
      <c r="M49" s="1050" t="n"/>
    </row>
    <row r="50" ht="28.5" customHeight="1" s="981">
      <c r="A50" s="235" t="inlineStr">
        <is>
          <t>VFM-MIDCAP</t>
        </is>
      </c>
      <c r="B50" s="669" t="inlineStr">
        <is>
          <t>VFM Midcap</t>
        </is>
      </c>
      <c r="C50" s="721" t="inlineStr">
        <is>
          <t>VN Fund</t>
        </is>
      </c>
      <c r="D50" s="687" t="n">
        <v>3.5</v>
      </c>
      <c r="E50" s="687" t="n">
        <v>0.015</v>
      </c>
      <c r="F50" s="687" t="n">
        <v>0.008500000000000001</v>
      </c>
      <c r="G50" s="715" t="n">
        <v>0.185</v>
      </c>
      <c r="H50" s="715" t="n">
        <v>0.285</v>
      </c>
      <c r="I50" s="715" t="n">
        <v>0.185</v>
      </c>
      <c r="J50" s="669" t="inlineStr">
        <is>
          <t>Mid cap VN focus</t>
        </is>
      </c>
      <c r="K50" s="1050" t="n"/>
      <c r="L50" s="1050" t="n"/>
      <c r="M50" s="1050" t="n"/>
    </row>
    <row r="51" ht="15" customHeight="1" s="981">
      <c r="A51" s="362" t="inlineStr">
        <is>
          <t>VCBF-MGF</t>
        </is>
      </c>
      <c r="B51" s="362" t="inlineStr">
        <is>
          <t>VCB Fund Midcap Growth</t>
        </is>
      </c>
      <c r="C51" s="362" t="inlineStr">
        <is>
          <t>VN Fund</t>
        </is>
      </c>
      <c r="D51" s="362" t="n">
        <v>1.2</v>
      </c>
      <c r="E51" s="362" t="n">
        <v>0.015</v>
      </c>
      <c r="F51" s="362" t="n">
        <v>0.008</v>
      </c>
      <c r="G51" s="362" t="n">
        <v>0.168</v>
      </c>
      <c r="H51" s="362" t="n">
        <v>0.245</v>
      </c>
      <c r="I51" s="362" t="n">
        <v>0.162</v>
      </c>
      <c r="J51" s="362" t="inlineStr">
        <is>
          <t>Quỹ tăng trưởng mid-cap VN - VCB</t>
        </is>
      </c>
      <c r="K51" s="1050" t="n"/>
      <c r="L51" s="1050" t="n"/>
      <c r="M51" s="1050" t="n"/>
    </row>
    <row r="52" ht="15" customHeight="1" s="981">
      <c r="A52" s="361" t="inlineStr">
        <is>
          <t>PVGF</t>
        </is>
      </c>
      <c r="B52" s="361" t="inlineStr">
        <is>
          <t>PVI Growth Fund</t>
        </is>
      </c>
      <c r="C52" s="361" t="inlineStr">
        <is>
          <t>VN Fund</t>
        </is>
      </c>
      <c r="D52" s="361" t="n">
        <v>0.8</v>
      </c>
      <c r="E52" s="361" t="n">
        <v>0.018</v>
      </c>
      <c r="F52" s="361" t="n">
        <v>0.012</v>
      </c>
      <c r="G52" s="361" t="n">
        <v>0.142</v>
      </c>
      <c r="H52" s="361" t="n">
        <v>0.198</v>
      </c>
      <c r="I52" s="361" t="n">
        <v>0.135</v>
      </c>
      <c r="J52" s="361" t="inlineStr">
        <is>
          <t>Quỹ tăng trưởng VN - PVI Asset</t>
        </is>
      </c>
      <c r="K52" s="1050" t="n"/>
      <c r="L52" s="1050" t="n"/>
      <c r="M52" s="1050" t="n"/>
    </row>
    <row r="53" ht="15" customHeight="1" s="981">
      <c r="A53" s="362" t="inlineStr">
        <is>
          <t>VFMVF4</t>
        </is>
      </c>
      <c r="B53" s="362" t="inlineStr">
        <is>
          <t>VFM Vietnam Equity Fund</t>
        </is>
      </c>
      <c r="C53" s="362" t="inlineStr">
        <is>
          <t>VN Fund</t>
        </is>
      </c>
      <c r="D53" s="362" t="n">
        <v>2.8</v>
      </c>
      <c r="E53" s="362" t="n">
        <v>0.015</v>
      </c>
      <c r="F53" s="362" t="n">
        <v>0.022</v>
      </c>
      <c r="G53" s="362" t="n">
        <v>0.155</v>
      </c>
      <c r="H53" s="362" t="n">
        <v>0.235</v>
      </c>
      <c r="I53" s="362" t="n">
        <v>0.168</v>
      </c>
      <c r="J53" s="362" t="inlineStr">
        <is>
          <t>Quỹ cổ phần VN - VFM</t>
        </is>
      </c>
      <c r="K53" s="1050" t="n"/>
      <c r="L53" s="1050" t="n"/>
      <c r="M53" s="1050" t="n"/>
    </row>
    <row r="54" ht="15" customHeight="1" s="981">
      <c r="A54" s="361" t="inlineStr">
        <is>
          <t>MAFVF</t>
        </is>
      </c>
      <c r="B54" s="361" t="inlineStr">
        <is>
          <t>Mirae Asset VN Equity</t>
        </is>
      </c>
      <c r="C54" s="361" t="inlineStr">
        <is>
          <t>VN Fund</t>
        </is>
      </c>
      <c r="D54" s="361" t="n">
        <v>3.5</v>
      </c>
      <c r="E54" s="361" t="n">
        <v>0.014</v>
      </c>
      <c r="F54" s="361" t="n">
        <v>0.018</v>
      </c>
      <c r="G54" s="361" t="n">
        <v>0.172</v>
      </c>
      <c r="H54" s="361" t="n">
        <v>0.268</v>
      </c>
      <c r="I54" s="361" t="n">
        <v>0.182</v>
      </c>
      <c r="J54" s="361" t="inlineStr">
        <is>
          <t>Quỹ cổ phần Hàn-Việt</t>
        </is>
      </c>
      <c r="K54" s="1050" t="n"/>
      <c r="L54" s="1050" t="n"/>
      <c r="M54" s="1050" t="n"/>
    </row>
    <row r="55" ht="15" customHeight="1" s="981">
      <c r="A55" s="362" t="inlineStr">
        <is>
          <t>SSIAM-VN30</t>
        </is>
      </c>
      <c r="B55" s="362" t="inlineStr">
        <is>
          <t>SSI Asset Mgmt VN30</t>
        </is>
      </c>
      <c r="C55" s="362" t="inlineStr">
        <is>
          <t>VN ETF</t>
        </is>
      </c>
      <c r="D55" s="362" t="n">
        <v>5.8</v>
      </c>
      <c r="E55" s="362" t="n">
        <v>0.005</v>
      </c>
      <c r="F55" s="362" t="n">
        <v>0.024</v>
      </c>
      <c r="G55" s="362" t="n">
        <v>0.128</v>
      </c>
      <c r="H55" s="362" t="n">
        <v>0.192</v>
      </c>
      <c r="I55" s="362" t="n">
        <v>0.148</v>
      </c>
      <c r="J55" s="362" t="inlineStr">
        <is>
          <t>ETF chủ động theo VN30</t>
        </is>
      </c>
      <c r="K55" s="1050" t="n"/>
      <c r="L55" s="1050" t="n"/>
      <c r="M55" s="1050" t="n"/>
    </row>
    <row r="56" ht="15" customHeight="1" s="981">
      <c r="A56" s="361" t="inlineStr">
        <is>
          <t>ARKK</t>
        </is>
      </c>
      <c r="B56" s="361" t="inlineStr">
        <is>
          <t>ARK Innovation ETF</t>
        </is>
      </c>
      <c r="C56" s="361" t="inlineStr">
        <is>
          <t>US Tech</t>
        </is>
      </c>
      <c r="D56" s="361" t="n">
        <v>7.8</v>
      </c>
      <c r="E56" s="361" t="n">
        <v>0.0075</v>
      </c>
      <c r="F56" s="361" t="n">
        <v>0</v>
      </c>
      <c r="G56" s="361" t="n">
        <v>0.08500000000000001</v>
      </c>
      <c r="H56" s="361" t="n">
        <v>0.145</v>
      </c>
      <c r="I56" s="361" t="n">
        <v>-0.025</v>
      </c>
      <c r="J56" s="361" t="inlineStr">
        <is>
          <t>Disruptive tech - Cathie Wood</t>
        </is>
      </c>
      <c r="K56" s="1050" t="n"/>
      <c r="L56" s="1050" t="n"/>
      <c r="M56" s="1050" t="n"/>
    </row>
    <row r="57" ht="15" customHeight="1" s="981">
      <c r="A57" s="362" t="inlineStr">
        <is>
          <t>ARKG</t>
        </is>
      </c>
      <c r="B57" s="362" t="inlineStr">
        <is>
          <t>ARK Genomic Revolution</t>
        </is>
      </c>
      <c r="C57" s="362" t="inlineStr">
        <is>
          <t>US Health</t>
        </is>
      </c>
      <c r="D57" s="362" t="n">
        <v>2.1</v>
      </c>
      <c r="E57" s="362" t="n">
        <v>0.0075</v>
      </c>
      <c r="F57" s="362" t="n">
        <v>0</v>
      </c>
      <c r="G57" s="362" t="n">
        <v>0.065</v>
      </c>
      <c r="H57" s="362" t="n">
        <v>0.098</v>
      </c>
      <c r="I57" s="362" t="n">
        <v>-0.045</v>
      </c>
      <c r="J57" s="362" t="inlineStr">
        <is>
          <t>Genomics &amp; biotech innovation</t>
        </is>
      </c>
      <c r="K57" s="1050" t="n"/>
      <c r="L57" s="1050" t="n"/>
      <c r="M57" s="1050" t="n"/>
    </row>
    <row r="58" ht="15" customHeight="1" s="981">
      <c r="A58" s="361" t="inlineStr">
        <is>
          <t>BOTZ</t>
        </is>
      </c>
      <c r="B58" s="361" t="inlineStr">
        <is>
          <t>Global X Robotics &amp; AI</t>
        </is>
      </c>
      <c r="C58" s="361" t="inlineStr">
        <is>
          <t>US Tech</t>
        </is>
      </c>
      <c r="D58" s="361" t="n">
        <v>2.8</v>
      </c>
      <c r="E58" s="361" t="n">
        <v>0.0068</v>
      </c>
      <c r="F58" s="361" t="n">
        <v>0.0025</v>
      </c>
      <c r="G58" s="361" t="n">
        <v>0.145</v>
      </c>
      <c r="H58" s="361" t="n">
        <v>0.228</v>
      </c>
      <c r="I58" s="361" t="n">
        <v>0.168</v>
      </c>
      <c r="J58" s="361" t="inlineStr">
        <is>
          <t>Robotics và AI ETF</t>
        </is>
      </c>
      <c r="K58" s="1050" t="n"/>
      <c r="L58" s="1050" t="n"/>
      <c r="M58" s="1050" t="n"/>
    </row>
    <row r="59" ht="15" customHeight="1" s="981">
      <c r="A59" s="362" t="inlineStr">
        <is>
          <t>ICLN</t>
        </is>
      </c>
      <c r="B59" s="362" t="inlineStr">
        <is>
          <t>iShares Global Clean Eng</t>
        </is>
      </c>
      <c r="C59" s="362" t="inlineStr">
        <is>
          <t>Clean Energy</t>
        </is>
      </c>
      <c r="D59" s="362" t="n">
        <v>4.2</v>
      </c>
      <c r="E59" s="362" t="n">
        <v>0.004</v>
      </c>
      <c r="F59" s="362" t="n">
        <v>0.015</v>
      </c>
      <c r="G59" s="362" t="n">
        <v>0.028</v>
      </c>
      <c r="H59" s="362" t="n">
        <v>0.045</v>
      </c>
      <c r="I59" s="362" t="n">
        <v>-0.025</v>
      </c>
      <c r="J59" s="362" t="inlineStr">
        <is>
          <t>Năng lượng sạch toàn cầu</t>
        </is>
      </c>
      <c r="K59" s="1050" t="n"/>
      <c r="L59" s="1050" t="n"/>
      <c r="M59" s="1050" t="n"/>
    </row>
    <row r="60" ht="15" customHeight="1" s="981">
      <c r="A60" s="361" t="inlineStr">
        <is>
          <t>VNQ</t>
        </is>
      </c>
      <c r="B60" s="361" t="inlineStr">
        <is>
          <t>Vanguard Real Estate</t>
        </is>
      </c>
      <c r="C60" s="361" t="inlineStr">
        <is>
          <t>REIT</t>
        </is>
      </c>
      <c r="D60" s="361" t="n">
        <v>35.8</v>
      </c>
      <c r="E60" s="361" t="n">
        <v>0.0012</v>
      </c>
      <c r="F60" s="361" t="n">
        <v>0.038</v>
      </c>
      <c r="G60" s="361" t="n">
        <v>0.045</v>
      </c>
      <c r="H60" s="361" t="n">
        <v>0.08500000000000001</v>
      </c>
      <c r="I60" s="361" t="n">
        <v>0.07199999999999999</v>
      </c>
      <c r="J60" s="361" t="inlineStr">
        <is>
          <t>US REITs - bất động sản Mỹ</t>
        </is>
      </c>
      <c r="K60" s="1050" t="n"/>
      <c r="L60" s="1050" t="n"/>
      <c r="M60" s="1050" t="n"/>
    </row>
    <row r="61" ht="15" customHeight="1" s="981">
      <c r="A61" s="362" t="inlineStr">
        <is>
          <t>PDN</t>
        </is>
      </c>
      <c r="B61" s="362" t="inlineStr">
        <is>
          <t>Invesco FTSE RAFI Dev Mkts</t>
        </is>
      </c>
      <c r="C61" s="362" t="inlineStr">
        <is>
          <t>Intl Dev</t>
        </is>
      </c>
      <c r="D61" s="362" t="n">
        <v>3.8</v>
      </c>
      <c r="E61" s="362" t="n">
        <v>0.0049</v>
      </c>
      <c r="F61" s="362" t="n">
        <v>0.038</v>
      </c>
      <c r="G61" s="362" t="n">
        <v>0.058</v>
      </c>
      <c r="H61" s="362" t="n">
        <v>0.108</v>
      </c>
      <c r="I61" s="362" t="n">
        <v>0.08500000000000001</v>
      </c>
      <c r="J61" s="362" t="inlineStr">
        <is>
          <t>Fundamental weighted DM</t>
        </is>
      </c>
      <c r="K61" s="1050" t="n"/>
      <c r="L61" s="1050" t="n"/>
      <c r="M61" s="1050" t="n"/>
    </row>
    <row r="62" ht="15" customHeight="1" s="981">
      <c r="A62" s="361" t="inlineStr">
        <is>
          <t>SCHB</t>
        </is>
      </c>
      <c r="B62" s="361" t="inlineStr">
        <is>
          <t>Schwab US Broad Market</t>
        </is>
      </c>
      <c r="C62" s="361" t="inlineStr">
        <is>
          <t>US Equity</t>
        </is>
      </c>
      <c r="D62" s="361" t="n">
        <v>28.5</v>
      </c>
      <c r="E62" s="361" t="n">
        <v>0.0003</v>
      </c>
      <c r="F62" s="361" t="n">
        <v>0.014</v>
      </c>
      <c r="G62" s="361" t="n">
        <v>0.08799999999999999</v>
      </c>
      <c r="H62" s="361" t="n">
        <v>0.132</v>
      </c>
      <c r="I62" s="361" t="n">
        <v>0.142</v>
      </c>
      <c r="J62" s="361" t="inlineStr">
        <is>
          <t>Toàn thị trường US - phí rất thấp</t>
        </is>
      </c>
      <c r="K62" s="1050" t="n"/>
      <c r="L62" s="1050" t="n"/>
      <c r="M62" s="1050" t="n"/>
    </row>
    <row r="63" ht="15" customHeight="1" s="981">
      <c r="A63" s="362" t="inlineStr">
        <is>
          <t>JEPI</t>
        </is>
      </c>
      <c r="B63" s="362" t="inlineStr">
        <is>
          <t>JPMorgan Equity Premium</t>
        </is>
      </c>
      <c r="C63" s="362" t="inlineStr">
        <is>
          <t>Income</t>
        </is>
      </c>
      <c r="D63" s="362" t="n">
        <v>38.5</v>
      </c>
      <c r="E63" s="362" t="n">
        <v>0.0035</v>
      </c>
      <c r="F63" s="362" t="n">
        <v>0.07199999999999999</v>
      </c>
      <c r="G63" s="362" t="n">
        <v>0.055</v>
      </c>
      <c r="H63" s="362" t="n">
        <v>0.098</v>
      </c>
      <c r="I63" s="362" t="n">
        <v>0.082</v>
      </c>
      <c r="J63" s="362" t="inlineStr">
        <is>
          <t>Covered call strategy - lợi tức cao</t>
        </is>
      </c>
      <c r="K63" s="1050" t="n"/>
      <c r="L63" s="1050" t="n"/>
      <c r="M63" s="1050" t="n"/>
    </row>
    <row r="64" ht="15" customHeight="1" s="981">
      <c r="A64" s="361" t="inlineStr">
        <is>
          <t>JEPQ</t>
        </is>
      </c>
      <c r="B64" s="361" t="inlineStr">
        <is>
          <t>JPMorgan Nasdaq Premium</t>
        </is>
      </c>
      <c r="C64" s="361" t="inlineStr">
        <is>
          <t>Income</t>
        </is>
      </c>
      <c r="D64" s="361" t="n">
        <v>18.5</v>
      </c>
      <c r="E64" s="361" t="n">
        <v>0.0035</v>
      </c>
      <c r="F64" s="361" t="n">
        <v>0.095</v>
      </c>
      <c r="G64" s="361" t="n">
        <v>0.08500000000000001</v>
      </c>
      <c r="H64" s="361" t="n">
        <v>0.145</v>
      </c>
      <c r="I64" s="361" t="n">
        <v>0.112</v>
      </c>
      <c r="J64" s="361" t="inlineStr">
        <is>
          <t>NASDAQ covered call ETF</t>
        </is>
      </c>
      <c r="K64" s="1050" t="n"/>
      <c r="L64" s="1050" t="n"/>
      <c r="M64" s="1050" t="n"/>
    </row>
    <row r="65" ht="15" customHeight="1" s="981">
      <c r="A65" s="362" t="inlineStr">
        <is>
          <t>VGIT</t>
        </is>
      </c>
      <c r="B65" s="362" t="inlineStr">
        <is>
          <t>Vanguard Inter-Term Treas</t>
        </is>
      </c>
      <c r="C65" s="362" t="inlineStr">
        <is>
          <t>US MT Bond</t>
        </is>
      </c>
      <c r="D65" s="362" t="n">
        <v>15.4</v>
      </c>
      <c r="E65" s="362" t="n">
        <v>0.0004</v>
      </c>
      <c r="F65" s="362" t="n">
        <v>0.041</v>
      </c>
      <c r="G65" s="362" t="n">
        <v>0.012</v>
      </c>
      <c r="H65" s="362" t="n">
        <v>0.048</v>
      </c>
      <c r="I65" s="362" t="n">
        <v>0.004</v>
      </c>
      <c r="J65" s="362" t="inlineStr">
        <is>
          <t>US Treasury 3-10Y phí siêu thấp</t>
        </is>
      </c>
      <c r="K65" s="1050" t="n"/>
      <c r="L65" s="1050" t="n"/>
      <c r="M65" s="1050" t="n"/>
    </row>
    <row r="66" ht="15" customHeight="1" s="981">
      <c r="A66" s="361" t="inlineStr">
        <is>
          <t>VTEB</t>
        </is>
      </c>
      <c r="B66" s="361" t="inlineStr">
        <is>
          <t>Vanguard Tax-Exempt Bond</t>
        </is>
      </c>
      <c r="C66" s="361" t="inlineStr">
        <is>
          <t>US Muni</t>
        </is>
      </c>
      <c r="D66" s="361" t="n">
        <v>32.5</v>
      </c>
      <c r="E66" s="361" t="n">
        <v>0.0005</v>
      </c>
      <c r="F66" s="361" t="n">
        <v>0.032</v>
      </c>
      <c r="G66" s="361" t="n">
        <v>0.018</v>
      </c>
      <c r="H66" s="361" t="n">
        <v>0.042</v>
      </c>
      <c r="I66" s="361" t="n">
        <v>0.012</v>
      </c>
      <c r="J66" s="361" t="inlineStr">
        <is>
          <t>Muni bond tax-free phí thấp</t>
        </is>
      </c>
      <c r="K66" s="1050" t="n"/>
      <c r="L66" s="1050" t="n"/>
      <c r="M66" s="1050" t="n"/>
    </row>
    <row r="67" ht="15" customHeight="1" s="981">
      <c r="A67" s="362" t="inlineStr">
        <is>
          <t>DJP</t>
        </is>
      </c>
      <c r="B67" s="362" t="inlineStr">
        <is>
          <t>iPath Bloomberg Comm</t>
        </is>
      </c>
      <c r="C67" s="362" t="inlineStr">
        <is>
          <t>Commodity</t>
        </is>
      </c>
      <c r="D67" s="362" t="n">
        <v>4.5</v>
      </c>
      <c r="E67" s="362" t="n">
        <v>0.007</v>
      </c>
      <c r="F67" s="362" t="n">
        <v>0</v>
      </c>
      <c r="G67" s="362" t="n">
        <v>0.045</v>
      </c>
      <c r="H67" s="362" t="n">
        <v>0.082</v>
      </c>
      <c r="I67" s="362" t="n">
        <v>0.025</v>
      </c>
      <c r="J67" s="362" t="inlineStr">
        <is>
          <t>Hàng hóa đa dạng (GSCI)</t>
        </is>
      </c>
      <c r="K67" s="1050" t="n"/>
      <c r="L67" s="1050" t="n"/>
      <c r="M67" s="1050" t="n"/>
    </row>
    <row r="68" ht="15" customHeight="1" s="981">
      <c r="A68" s="361" t="inlineStr">
        <is>
          <t>SLV</t>
        </is>
      </c>
      <c r="B68" s="361" t="inlineStr">
        <is>
          <t>iShares Silver Trust</t>
        </is>
      </c>
      <c r="C68" s="361" t="inlineStr">
        <is>
          <t>Silver</t>
        </is>
      </c>
      <c r="D68" s="361" t="n">
        <v>14.5</v>
      </c>
      <c r="E68" s="361" t="n">
        <v>0.005</v>
      </c>
      <c r="F68" s="361" t="n">
        <v>0</v>
      </c>
      <c r="G68" s="361" t="n">
        <v>0.248</v>
      </c>
      <c r="H68" s="361" t="n">
        <v>0.328</v>
      </c>
      <c r="I68" s="361" t="n">
        <v>0.098</v>
      </c>
      <c r="J68" s="361" t="inlineStr">
        <is>
          <t>Bạc vật chất</t>
        </is>
      </c>
      <c r="K68" s="1050" t="n"/>
      <c r="L68" s="1050" t="n"/>
      <c r="M68" s="1050" t="n"/>
    </row>
  </sheetData>
  <autoFilter ref="A4:J50"/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zoomScaleNormal="100" workbookViewId="0">
      <selection activeCell="A1" sqref="A1"/>
    </sheetView>
  </sheetViews>
  <sheetFormatPr baseColWidth="8" defaultColWidth="8.6640625" defaultRowHeight="14.4"/>
  <sheetData>
    <row r="1" ht="27.75" customHeight="1" s="981">
      <c r="A1" s="1196" t="inlineStr">
        <is>
          <t>▲ DASHBOARD ĐẦU TƯ TỔNG QUAN  |  08/05/2026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6" t="n"/>
    </row>
    <row r="2" ht="15.75" customHeight="1" s="981">
      <c r="A2" s="1194" t="inlineStr">
        <is>
          <t>File gồm 6 bộ lọc: Cổ phiếu VN · Trái phiếu VN · Cổ phiếu TG · Trái phiếu TG · Vàng · Quỹ Lớn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6" t="n"/>
    </row>
    <row r="3" ht="24" customHeight="1" s="981">
      <c r="A3" s="1200" t="inlineStr">
        <is>
          <t>📈 CỔ PHIẾU VIỆT NAM</t>
        </is>
      </c>
      <c r="B3" s="965" t="n"/>
      <c r="C3" s="965" t="n"/>
      <c r="D3" s="965" t="n"/>
      <c r="E3" s="966" t="n"/>
      <c r="F3" s="722" t="inlineStr">
        <is>
          <t>VN-Index</t>
        </is>
      </c>
      <c r="G3" s="723" t="inlineStr">
        <is>
          <t>1,318 (+1.04%)</t>
        </is>
      </c>
      <c r="H3" s="722" t="inlineStr">
        <is>
          <t>HOSE Mkt Cap</t>
        </is>
      </c>
      <c r="I3" s="724" t="inlineStr">
        <is>
          <t>4,680 tỷ VNĐ</t>
        </is>
      </c>
      <c r="J3" s="1050" t="n"/>
    </row>
    <row r="4" ht="15" customHeight="1" s="981">
      <c r="A4" s="1050" t="n"/>
      <c r="B4" s="1050" t="n"/>
      <c r="C4" s="1050" t="n"/>
      <c r="D4" s="1050" t="n"/>
      <c r="E4" s="1050" t="n"/>
      <c r="F4" s="1050" t="n"/>
      <c r="G4" s="1050" t="n"/>
      <c r="H4" s="1050" t="n"/>
      <c r="I4" s="1050" t="n"/>
      <c r="J4" s="1050" t="n"/>
    </row>
    <row r="5" ht="15" customHeight="1" s="981">
      <c r="A5" s="1050" t="n"/>
      <c r="B5" s="1050" t="n"/>
      <c r="C5" s="1050" t="n"/>
      <c r="D5" s="1050" t="n"/>
      <c r="E5" s="1050" t="n"/>
      <c r="F5" s="1050" t="n"/>
      <c r="G5" s="1050" t="n"/>
      <c r="H5" s="1050" t="n"/>
      <c r="I5" s="1050" t="n"/>
      <c r="J5" s="1050" t="n"/>
    </row>
    <row r="6" ht="15" customHeight="1" s="981">
      <c r="A6" s="1050" t="n"/>
      <c r="B6" s="1050" t="n"/>
      <c r="C6" s="1050" t="n"/>
      <c r="D6" s="1050" t="n"/>
      <c r="E6" s="1050" t="n"/>
      <c r="F6" s="1050" t="n"/>
      <c r="G6" s="1050" t="n"/>
      <c r="H6" s="1050" t="n"/>
      <c r="I6" s="1050" t="n"/>
      <c r="J6" s="1050" t="n"/>
    </row>
    <row r="7" ht="15" customHeight="1" s="981">
      <c r="A7" s="1050" t="n"/>
      <c r="B7" s="1050" t="n"/>
      <c r="C7" s="1050" t="n"/>
      <c r="D7" s="1050" t="n"/>
      <c r="E7" s="1050" t="n"/>
      <c r="F7" s="1050" t="n"/>
      <c r="G7" s="1050" t="n"/>
      <c r="H7" s="1050" t="n"/>
      <c r="I7" s="1050" t="n"/>
      <c r="J7" s="1050" t="n"/>
    </row>
    <row r="8" ht="15" customHeight="1" s="981">
      <c r="A8" s="1050" t="n"/>
      <c r="B8" s="1050" t="n"/>
      <c r="C8" s="1050" t="n"/>
      <c r="D8" s="1050" t="n"/>
      <c r="E8" s="1050" t="n"/>
      <c r="F8" s="1050" t="n"/>
      <c r="G8" s="1050" t="n"/>
      <c r="H8" s="1050" t="n"/>
      <c r="I8" s="1050" t="n"/>
      <c r="J8" s="1050" t="n"/>
    </row>
    <row r="9" ht="24" customHeight="1" s="981">
      <c r="A9" s="1198" t="inlineStr">
        <is>
          <t>🏦 TRÁI PHIẾU VIỆT NAM</t>
        </is>
      </c>
      <c r="B9" s="965" t="n"/>
      <c r="C9" s="965" t="n"/>
      <c r="D9" s="965" t="n"/>
      <c r="E9" s="966" t="n"/>
      <c r="F9" s="722" t="inlineStr">
        <is>
          <t>TPCP 10Y</t>
        </is>
      </c>
      <c r="G9" s="725" t="inlineStr">
        <is>
          <t>3.00%</t>
        </is>
      </c>
      <c r="H9" s="722" t="inlineStr">
        <is>
          <t>DN BB AA YTM</t>
        </is>
      </c>
      <c r="I9" s="726" t="inlineStr">
        <is>
          <t>7-8%</t>
        </is>
      </c>
      <c r="J9" s="1050" t="n"/>
    </row>
    <row r="10" ht="15" customHeight="1" s="981">
      <c r="A10" s="1050" t="n"/>
      <c r="B10" s="1050" t="n"/>
      <c r="C10" s="1050" t="n"/>
      <c r="D10" s="1050" t="n"/>
      <c r="E10" s="1050" t="n"/>
      <c r="F10" s="1050" t="n"/>
      <c r="G10" s="1050" t="n"/>
      <c r="H10" s="1050" t="n"/>
      <c r="I10" s="1050" t="n"/>
      <c r="J10" s="1050" t="n"/>
    </row>
    <row r="11" ht="15" customHeight="1" s="981">
      <c r="A11" s="1050" t="n"/>
      <c r="B11" s="1050" t="n"/>
      <c r="C11" s="1050" t="n"/>
      <c r="D11" s="1050" t="n"/>
      <c r="E11" s="1050" t="n"/>
      <c r="F11" s="1050" t="n"/>
      <c r="G11" s="1050" t="n"/>
      <c r="H11" s="1050" t="n"/>
      <c r="I11" s="1050" t="n"/>
      <c r="J11" s="1050" t="n"/>
    </row>
    <row r="12" ht="15" customHeight="1" s="981">
      <c r="A12" s="1050" t="n"/>
      <c r="B12" s="1050" t="n"/>
      <c r="C12" s="1050" t="n"/>
      <c r="D12" s="1050" t="n"/>
      <c r="E12" s="1050" t="n"/>
      <c r="F12" s="1050" t="n"/>
      <c r="G12" s="1050" t="n"/>
      <c r="H12" s="1050" t="n"/>
      <c r="I12" s="1050" t="n"/>
      <c r="J12" s="1050" t="n"/>
    </row>
    <row r="13" ht="15" customHeight="1" s="981">
      <c r="A13" s="1050" t="n"/>
      <c r="B13" s="1050" t="n"/>
      <c r="C13" s="1050" t="n"/>
      <c r="D13" s="1050" t="n"/>
      <c r="E13" s="1050" t="n"/>
      <c r="F13" s="1050" t="n"/>
      <c r="G13" s="1050" t="n"/>
      <c r="H13" s="1050" t="n"/>
      <c r="I13" s="1050" t="n"/>
      <c r="J13" s="1050" t="n"/>
    </row>
    <row r="14" ht="15" customHeight="1" s="981">
      <c r="A14" s="1050" t="n"/>
      <c r="B14" s="1050" t="n"/>
      <c r="C14" s="1050" t="n"/>
      <c r="D14" s="1050" t="n"/>
      <c r="E14" s="1050" t="n"/>
      <c r="F14" s="1050" t="n"/>
      <c r="G14" s="1050" t="n"/>
      <c r="H14" s="1050" t="n"/>
      <c r="I14" s="1050" t="n"/>
      <c r="J14" s="1050" t="n"/>
    </row>
    <row r="15" ht="24" customHeight="1" s="981">
      <c r="A15" s="1197" t="inlineStr">
        <is>
          <t>🌐 CỔ PHIẾU THẾ GIỚI</t>
        </is>
      </c>
      <c r="B15" s="965" t="n"/>
      <c r="C15" s="965" t="n"/>
      <c r="D15" s="965" t="n"/>
      <c r="E15" s="966" t="n"/>
      <c r="F15" s="722" t="inlineStr">
        <is>
          <t>S&amp;P 500</t>
        </is>
      </c>
      <c r="G15" s="723" t="inlineStr">
        <is>
          <t>5,843 (+1.12%)</t>
        </is>
      </c>
      <c r="H15" s="722" t="inlineStr">
        <is>
          <t>USD/VNĐ</t>
        </is>
      </c>
      <c r="I15" s="724" t="inlineStr">
        <is>
          <t>25,640</t>
        </is>
      </c>
      <c r="J15" s="1050" t="n"/>
    </row>
    <row r="16" ht="15" customHeight="1" s="981">
      <c r="A16" s="1050" t="n"/>
      <c r="B16" s="1050" t="n"/>
      <c r="C16" s="1050" t="n"/>
      <c r="D16" s="1050" t="n"/>
      <c r="E16" s="1050" t="n"/>
      <c r="F16" s="1050" t="n"/>
      <c r="G16" s="1050" t="n"/>
      <c r="H16" s="1050" t="n"/>
      <c r="I16" s="1050" t="n"/>
      <c r="J16" s="1050" t="n"/>
    </row>
    <row r="17" ht="15" customHeight="1" s="981">
      <c r="A17" s="1050" t="n"/>
      <c r="B17" s="1050" t="n"/>
      <c r="C17" s="1050" t="n"/>
      <c r="D17" s="1050" t="n"/>
      <c r="E17" s="1050" t="n"/>
      <c r="F17" s="1050" t="n"/>
      <c r="G17" s="1050" t="n"/>
      <c r="H17" s="1050" t="n"/>
      <c r="I17" s="1050" t="n"/>
      <c r="J17" s="1050" t="n"/>
    </row>
    <row r="18" ht="15" customHeight="1" s="981">
      <c r="A18" s="1050" t="n"/>
      <c r="B18" s="1050" t="n"/>
      <c r="C18" s="1050" t="n"/>
      <c r="D18" s="1050" t="n"/>
      <c r="E18" s="1050" t="n"/>
      <c r="F18" s="1050" t="n"/>
      <c r="G18" s="1050" t="n"/>
      <c r="H18" s="1050" t="n"/>
      <c r="I18" s="1050" t="n"/>
      <c r="J18" s="1050" t="n"/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  <c r="H19" s="1050" t="n"/>
      <c r="I19" s="1050" t="n"/>
      <c r="J19" s="1050" t="n"/>
    </row>
    <row r="20" ht="15" customHeight="1" s="981">
      <c r="A20" s="1050" t="n"/>
      <c r="B20" s="1050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</row>
    <row r="21" ht="24" customHeight="1" s="981">
      <c r="A21" s="1195" t="inlineStr">
        <is>
          <t>💵 TRÁI PHIẾU THẾ GIỚI</t>
        </is>
      </c>
      <c r="B21" s="965" t="n"/>
      <c r="C21" s="965" t="n"/>
      <c r="D21" s="965" t="n"/>
      <c r="E21" s="966" t="n"/>
      <c r="F21" s="722" t="inlineStr">
        <is>
          <t>US Treasury 10Y</t>
        </is>
      </c>
      <c r="G21" s="727" t="inlineStr">
        <is>
          <t>4.30%</t>
        </is>
      </c>
      <c r="H21" s="722" t="inlineStr">
        <is>
          <t>EM Bond ETF YTM</t>
        </is>
      </c>
      <c r="I21" s="726" t="inlineStr">
        <is>
          <t>6.80%</t>
        </is>
      </c>
      <c r="J21" s="1050" t="n"/>
    </row>
    <row r="22" ht="15" customHeight="1" s="981">
      <c r="A22" s="1050" t="n"/>
      <c r="B22" s="1050" t="n"/>
      <c r="C22" s="1050" t="n"/>
      <c r="D22" s="1050" t="n"/>
      <c r="E22" s="1050" t="n"/>
      <c r="F22" s="1050" t="n"/>
      <c r="G22" s="1050" t="n"/>
      <c r="H22" s="1050" t="n"/>
      <c r="I22" s="1050" t="n"/>
      <c r="J22" s="1050" t="n"/>
    </row>
    <row r="23" ht="15" customHeight="1" s="981">
      <c r="A23" s="1050" t="n"/>
      <c r="B23" s="1050" t="n"/>
      <c r="C23" s="1050" t="n"/>
      <c r="D23" s="1050" t="n"/>
      <c r="E23" s="1050" t="n"/>
      <c r="F23" s="1050" t="n"/>
      <c r="G23" s="1050" t="n"/>
      <c r="H23" s="1050" t="n"/>
      <c r="I23" s="1050" t="n"/>
      <c r="J23" s="1050" t="n"/>
    </row>
    <row r="24" ht="15" customHeight="1" s="981">
      <c r="A24" s="1050" t="n"/>
      <c r="B24" s="1050" t="n"/>
      <c r="C24" s="1050" t="n"/>
      <c r="D24" s="1050" t="n"/>
      <c r="E24" s="1050" t="n"/>
      <c r="F24" s="1050" t="n"/>
      <c r="G24" s="1050" t="n"/>
      <c r="H24" s="1050" t="n"/>
      <c r="I24" s="1050" t="n"/>
      <c r="J24" s="1050" t="n"/>
    </row>
    <row r="25" ht="15" customHeight="1" s="981">
      <c r="A25" s="1050" t="n"/>
      <c r="B25" s="1050" t="n"/>
      <c r="C25" s="1050" t="n"/>
      <c r="D25" s="1050" t="n"/>
      <c r="E25" s="1050" t="n"/>
      <c r="F25" s="1050" t="n"/>
      <c r="G25" s="1050" t="n"/>
      <c r="H25" s="1050" t="n"/>
      <c r="I25" s="1050" t="n"/>
      <c r="J25" s="1050" t="n"/>
    </row>
    <row r="26" ht="15" customHeight="1" s="981">
      <c r="A26" s="1050" t="n"/>
      <c r="B26" s="1050" t="n"/>
      <c r="C26" s="1050" t="n"/>
      <c r="D26" s="1050" t="n"/>
      <c r="E26" s="1050" t="n"/>
      <c r="F26" s="1050" t="n"/>
      <c r="G26" s="1050" t="n"/>
      <c r="H26" s="1050" t="n"/>
      <c r="I26" s="1050" t="n"/>
      <c r="J26" s="1050" t="n"/>
    </row>
    <row r="27" ht="24" customHeight="1" s="981">
      <c r="A27" s="1199" t="inlineStr">
        <is>
          <t>🥇 VÀNG &amp; KIM LOẠI QUÝ</t>
        </is>
      </c>
      <c r="B27" s="965" t="n"/>
      <c r="C27" s="965" t="n"/>
      <c r="D27" s="965" t="n"/>
      <c r="E27" s="966" t="n"/>
      <c r="F27" s="722" t="inlineStr">
        <is>
          <t>XAU/USD</t>
        </is>
      </c>
      <c r="G27" s="726" t="inlineStr">
        <is>
          <t>$4,728 (+0.31%)</t>
        </is>
      </c>
      <c r="H27" s="722" t="inlineStr">
        <is>
          <t>SJC Bán</t>
        </is>
      </c>
      <c r="I27" s="726" t="inlineStr">
        <is>
          <t>167.5M/lượng</t>
        </is>
      </c>
      <c r="J27" s="1050" t="n"/>
    </row>
    <row r="28" ht="15" customHeight="1" s="981">
      <c r="A28" s="1050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</row>
    <row r="29" ht="15" customHeight="1" s="981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</row>
    <row r="30" ht="15" customHeight="1" s="981">
      <c r="A30" s="1050" t="n"/>
      <c r="B30" s="1050" t="n"/>
      <c r="C30" s="1050" t="n"/>
      <c r="D30" s="1050" t="n"/>
      <c r="E30" s="1050" t="n"/>
      <c r="F30" s="1050" t="n"/>
      <c r="G30" s="1050" t="n"/>
      <c r="H30" s="1050" t="n"/>
      <c r="I30" s="1050" t="n"/>
      <c r="J30" s="1050" t="n"/>
    </row>
    <row r="31" ht="15" customHeight="1" s="981">
      <c r="A31" s="1050" t="n"/>
      <c r="B31" s="1050" t="n"/>
      <c r="C31" s="1050" t="n"/>
      <c r="D31" s="1050" t="n"/>
      <c r="E31" s="1050" t="n"/>
      <c r="F31" s="1050" t="n"/>
      <c r="G31" s="1050" t="n"/>
      <c r="H31" s="1050" t="n"/>
      <c r="I31" s="1050" t="n"/>
      <c r="J31" s="1050" t="n"/>
    </row>
    <row r="32" ht="15" customHeight="1" s="981">
      <c r="A32" s="1050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</row>
    <row r="33" ht="24" customHeight="1" s="981">
      <c r="A33" s="1197" t="inlineStr">
        <is>
          <t>🏛 QUỸ LỚN</t>
        </is>
      </c>
      <c r="B33" s="965" t="n"/>
      <c r="C33" s="965" t="n"/>
      <c r="D33" s="965" t="n"/>
      <c r="E33" s="966" t="n"/>
      <c r="F33" s="722" t="inlineStr">
        <is>
          <t>Dragon Capital AUM</t>
        </is>
      </c>
      <c r="G33" s="723" t="inlineStr">
        <is>
          <t>$3.2B</t>
        </is>
      </c>
      <c r="H33" s="722" t="inlineStr">
        <is>
          <t>Vanguard AUM</t>
        </is>
      </c>
      <c r="I33" s="725" t="inlineStr">
        <is>
          <t>$9,200B</t>
        </is>
      </c>
      <c r="J33" s="1050" t="n"/>
    </row>
  </sheetData>
  <mergeCells count="8">
    <mergeCell ref="A21:E21"/>
    <mergeCell ref="A1:J1"/>
    <mergeCell ref="A15:E15"/>
    <mergeCell ref="A33:E33"/>
    <mergeCell ref="A2:J2"/>
    <mergeCell ref="A9:E9"/>
    <mergeCell ref="A27:E27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3" customWidth="1" style="981" min="1" max="1"/>
    <col width="18" customWidth="1" style="981" min="2" max="2"/>
    <col width="17" customWidth="1" style="981" min="3" max="3"/>
    <col width="10" customWidth="1" style="981" min="5" max="5"/>
    <col width="32" customWidth="1" style="981" min="6" max="6"/>
    <col width="13" customWidth="1" style="981" min="7" max="7"/>
  </cols>
  <sheetData>
    <row r="1" ht="31.5" customHeight="1" s="981">
      <c r="A1" s="1116" t="inlineStr">
        <is>
          <t>📈  EQUITY CURVE — LỊCH SỬ TĂNG TRƯỞNG TÀI SẢN</t>
        </is>
      </c>
      <c r="B1" s="965" t="n"/>
      <c r="C1" s="965" t="n"/>
      <c r="D1" s="965" t="n"/>
      <c r="E1" s="965" t="n"/>
      <c r="F1" s="965" t="n"/>
      <c r="G1" s="966" t="n"/>
    </row>
    <row r="2" ht="15.75" customHeight="1" s="981">
      <c r="A2" s="1128" t="inlineStr">
        <is>
          <t>Update 29/05/2026 | Q2 2026 | Von goc 100tr =&gt; 142.5tr (+42.5%) | Q2 2026: +4.8%</t>
        </is>
      </c>
      <c r="B2" s="965" t="n"/>
      <c r="C2" s="965" t="n"/>
      <c r="D2" s="965" t="n"/>
      <c r="E2" s="965" t="n"/>
      <c r="F2" s="965" t="n"/>
      <c r="G2" s="966" t="n"/>
    </row>
    <row r="3" ht="21.75" customHeight="1" s="981">
      <c r="A3" s="1047" t="inlineStr">
        <is>
          <t>◆  DỮ LIỆU LỊCH SỬ</t>
        </is>
      </c>
      <c r="B3" s="965" t="n"/>
      <c r="C3" s="965" t="n"/>
      <c r="D3" s="965" t="n"/>
      <c r="E3" s="965" t="n"/>
      <c r="F3" s="965" t="n"/>
      <c r="G3" s="966" t="n"/>
    </row>
    <row r="4" ht="25.5" customHeight="1" s="981">
      <c r="A4" s="728" t="inlineStr">
        <is>
          <t>NGÀY</t>
        </is>
      </c>
      <c r="B4" s="728" t="inlineStr">
        <is>
          <t>TỔNG TÀI SẢN (₫)</t>
        </is>
      </c>
      <c r="C4" s="728" t="inlineStr">
        <is>
          <t>VỐN GỐC REF (₫)</t>
        </is>
      </c>
      <c r="D4" s="728" t="inlineStr">
        <is>
          <t>LÃI / LỖ (₫)</t>
        </is>
      </c>
      <c r="E4" s="728" t="inlineStr">
        <is>
          <t>% LÃI/LỖ</t>
        </is>
      </c>
      <c r="F4" s="728" t="inlineStr">
        <is>
          <t>SỰ KIỆN / GHI CHÚ</t>
        </is>
      </c>
      <c r="G4" s="728" t="inlineStr">
        <is>
          <t>HÀNH ĐỘNG</t>
        </is>
      </c>
    </row>
    <row r="5" ht="18" customHeight="1" s="981">
      <c r="A5" s="1242" t="n">
        <v>45898</v>
      </c>
      <c r="B5" s="729" t="n">
        <v>100000000</v>
      </c>
      <c r="C5" s="730" t="n">
        <v>100000000</v>
      </c>
      <c r="D5" s="731" t="n">
        <v>0</v>
      </c>
      <c r="E5" s="731" t="n">
        <v>0</v>
      </c>
      <c r="F5" s="732" t="inlineStr">
        <is>
          <t>Giải ngân ban đầu | VN-Index ~1,200</t>
        </is>
      </c>
      <c r="G5" s="267" t="inlineStr">
        <is>
          <t>GIỮ</t>
        </is>
      </c>
    </row>
    <row r="6" ht="18" customHeight="1" s="981">
      <c r="A6" s="1243" t="n">
        <v>45930</v>
      </c>
      <c r="B6" s="733" t="n">
        <v>103500000</v>
      </c>
      <c r="C6" s="734" t="n">
        <v>100000000</v>
      </c>
      <c r="D6" s="735" t="n">
        <v>3500000</v>
      </c>
      <c r="E6" s="735" t="n">
        <v>0.035</v>
      </c>
      <c r="F6" s="736" t="inlineStr">
        <is>
          <t>VN-Index +3.2% | NH tăng</t>
        </is>
      </c>
      <c r="G6" s="275" t="inlineStr">
        <is>
          <t>GIỮ</t>
        </is>
      </c>
    </row>
    <row r="7" ht="18" customHeight="1" s="981">
      <c r="A7" s="1242" t="n">
        <v>45961</v>
      </c>
      <c r="B7" s="729" t="n">
        <v>101800000</v>
      </c>
      <c r="C7" s="730" t="n">
        <v>100000000</v>
      </c>
      <c r="D7" s="731" t="n">
        <v>1800000</v>
      </c>
      <c r="E7" s="731" t="n">
        <v>0.018</v>
      </c>
      <c r="F7" s="732" t="inlineStr">
        <is>
          <t>Profit-taking | VN-Index điều chỉnh</t>
        </is>
      </c>
      <c r="G7" s="267" t="inlineStr">
        <is>
          <t>GIỮ</t>
        </is>
      </c>
    </row>
    <row r="8" ht="18" customHeight="1" s="981">
      <c r="A8" s="1243" t="n">
        <v>45989</v>
      </c>
      <c r="B8" s="733" t="n">
        <v>109500000</v>
      </c>
      <c r="C8" s="734" t="n">
        <v>100000000</v>
      </c>
      <c r="D8" s="735" t="n">
        <v>9500000</v>
      </c>
      <c r="E8" s="735" t="n">
        <v>0.095</v>
      </c>
      <c r="F8" s="736" t="inlineStr">
        <is>
          <t>Q3 tốt | FPT &amp; MBB dẫn sóng</t>
        </is>
      </c>
      <c r="G8" s="275" t="inlineStr">
        <is>
          <t>GIỮ</t>
        </is>
      </c>
    </row>
    <row r="9" ht="18" customHeight="1" s="981">
      <c r="A9" s="1242" t="n">
        <v>46022</v>
      </c>
      <c r="B9" s="729" t="n">
        <v>116200000</v>
      </c>
      <c r="C9" s="730" t="n">
        <v>100000000</v>
      </c>
      <c r="D9" s="731" t="n">
        <v>16200000</v>
      </c>
      <c r="E9" s="731" t="n">
        <v>0.162</v>
      </c>
      <c r="F9" s="732" t="inlineStr">
        <is>
          <t>Holiday rally | VNM CTR tăng mạnh</t>
        </is>
      </c>
      <c r="G9" s="267" t="inlineStr">
        <is>
          <t>GIỮ</t>
        </is>
      </c>
    </row>
    <row r="10" ht="18" customHeight="1" s="981">
      <c r="A10" s="1243" t="n">
        <v>46052</v>
      </c>
      <c r="B10" s="733" t="n">
        <v>111800000</v>
      </c>
      <c r="C10" s="734" t="n">
        <v>100000000</v>
      </c>
      <c r="D10" s="735" t="n">
        <v>11800000</v>
      </c>
      <c r="E10" s="735" t="n">
        <v>0.118</v>
      </c>
      <c r="F10" s="736" t="inlineStr">
        <is>
          <t>Áp lực bán trước Tết | HPG điều chỉnh</t>
        </is>
      </c>
      <c r="G10" s="275" t="inlineStr">
        <is>
          <t>GIỮ</t>
        </is>
      </c>
    </row>
    <row r="11" ht="18" customHeight="1" s="981">
      <c r="A11" s="1242" t="n">
        <v>46081</v>
      </c>
      <c r="B11" s="729" t="n">
        <v>120400000</v>
      </c>
      <c r="C11" s="730" t="n">
        <v>100000000</v>
      </c>
      <c r="D11" s="731" t="n">
        <v>20400000</v>
      </c>
      <c r="E11" s="731" t="n">
        <v>0.204</v>
      </c>
      <c r="F11" s="732" t="inlineStr">
        <is>
          <t>Dòng tiền Tết quay lại | MBB +18%</t>
        </is>
      </c>
      <c r="G11" s="267" t="inlineStr">
        <is>
          <t>GIỮ</t>
        </is>
      </c>
    </row>
    <row r="12" ht="18" customHeight="1" s="981">
      <c r="A12" s="1243" t="n">
        <v>46112</v>
      </c>
      <c r="B12" s="733" t="n">
        <v>128700000</v>
      </c>
      <c r="C12" s="734" t="n">
        <v>100000000</v>
      </c>
      <c r="D12" s="735" t="n">
        <v>28700000</v>
      </c>
      <c r="E12" s="735" t="n">
        <v>0.287</v>
      </c>
      <c r="F12" s="736" t="inlineStr">
        <is>
          <t>Q4/2025 vượt kỳ vọng | VIX +35%</t>
        </is>
      </c>
      <c r="G12" s="275" t="inlineStr">
        <is>
          <t>GIỮ</t>
        </is>
      </c>
    </row>
    <row r="13" ht="18" customHeight="1" s="981">
      <c r="A13" s="1242" t="n">
        <v>46142</v>
      </c>
      <c r="B13" s="729" t="n">
        <v>135900000</v>
      </c>
      <c r="C13" s="730" t="n">
        <v>100000000</v>
      </c>
      <c r="D13" s="731" t="n">
        <v>35900000</v>
      </c>
      <c r="E13" s="731" t="n">
        <v>0.359</v>
      </c>
      <c r="F13" s="732" t="inlineStr">
        <is>
          <t>Tích cực | VN-Index 1,290</t>
        </is>
      </c>
      <c r="G13" s="737" t="inlineStr">
        <is>
          <t>CHỐT 1 PHẦN</t>
        </is>
      </c>
    </row>
    <row r="14" ht="18" customHeight="1" s="981">
      <c r="A14" s="1244" t="n">
        <v>46171</v>
      </c>
      <c r="B14" s="738" t="n">
        <v>142500000</v>
      </c>
      <c r="C14" s="739" t="n">
        <v>100000000</v>
      </c>
      <c r="D14" s="740" t="n">
        <v>38520000</v>
      </c>
      <c r="E14" s="740" t="n">
        <v>0.3852</v>
      </c>
      <c r="F14" s="741" t="inlineStr">
        <is>
          <t>Hiện tại 08/05/2026 — +38.5% vs vốn gốc</t>
        </is>
      </c>
      <c r="G14" s="742" t="inlineStr">
        <is>
          <t>GIỮ ✓</t>
        </is>
      </c>
    </row>
    <row r="15" ht="18" customHeight="1" s="981">
      <c r="A15" s="558" t="inlineStr">
        <is>
          <t>2026-01-31</t>
        </is>
      </c>
      <c r="B15" s="558" t="n">
        <v>118400000</v>
      </c>
      <c r="C15" s="558" t="n">
        <v>100000000</v>
      </c>
      <c r="D15" s="558" t="n">
        <v>18400000</v>
      </c>
      <c r="E15" s="558" t="n">
        <v>0.184</v>
      </c>
      <c r="F15" s="1174" t="inlineStr">
        <is>
          <t>Đầu năm 2026 | FPT CTR VIX tăng mạnh</t>
        </is>
      </c>
      <c r="G15" s="1174" t="inlineStr">
        <is>
          <t>GIỮ</t>
        </is>
      </c>
    </row>
    <row r="16" ht="18" customHeight="1" s="981">
      <c r="A16" s="558" t="inlineStr">
        <is>
          <t>2026-02-28</t>
        </is>
      </c>
      <c r="B16" s="558" t="n">
        <v>121000000</v>
      </c>
      <c r="C16" s="558" t="n">
        <v>100000000</v>
      </c>
      <c r="D16" s="558" t="n">
        <v>21000000</v>
      </c>
      <c r="E16" s="558" t="n">
        <v>0.21</v>
      </c>
      <c r="F16" s="1174" t="inlineStr">
        <is>
          <t>VIX breakout | HPG hồi phục</t>
        </is>
      </c>
      <c r="G16" s="1174" t="inlineStr">
        <is>
          <t>GIỮ</t>
        </is>
      </c>
    </row>
    <row r="17" ht="18" customHeight="1" s="981">
      <c r="A17" s="558" t="inlineStr">
        <is>
          <t>2026-03-31</t>
        </is>
      </c>
      <c r="B17" s="558" t="n">
        <v>124500000</v>
      </c>
      <c r="C17" s="558" t="n">
        <v>100000000</v>
      </c>
      <c r="D17" s="558" t="n">
        <v>24500000</v>
      </c>
      <c r="E17" s="558" t="n">
        <v>0.245</v>
      </c>
      <c r="F17" s="1174" t="inlineStr">
        <is>
          <t>Q4/2025 KQKD tốt toàn DM</t>
        </is>
      </c>
      <c r="G17" s="1174" t="inlineStr">
        <is>
          <t>GIỮ</t>
        </is>
      </c>
    </row>
    <row r="18" ht="18" customHeight="1" s="981">
      <c r="A18" s="558" t="inlineStr">
        <is>
          <t>2026-04-29</t>
        </is>
      </c>
      <c r="B18" s="558" t="n">
        <v>100447000</v>
      </c>
      <c r="C18" s="558" t="n">
        <v>100000000</v>
      </c>
      <c r="D18" s="558" t="n">
        <v>447000</v>
      </c>
      <c r="E18" s="558" t="n">
        <v>0.00447</v>
      </c>
      <c r="F18" s="1174" t="inlineStr">
        <is>
          <t>Phiên cuối 29/04/2026 | Nghỉ lễ 30/4-4/5</t>
        </is>
      </c>
      <c r="G18" s="1174" t="inlineStr">
        <is>
          <t>GIỮ</t>
        </is>
      </c>
    </row>
    <row r="19" ht="18" customHeight="1" s="981">
      <c r="A19" s="1050" t="n"/>
      <c r="B19" s="1050" t="n"/>
      <c r="C19" s="743" t="n">
        <v>100000000</v>
      </c>
      <c r="D19" s="1050" t="n"/>
      <c r="E19" s="1050" t="n"/>
      <c r="F19" s="1050" t="n"/>
      <c r="G19" s="1050" t="n"/>
    </row>
    <row r="20" ht="18" customHeight="1" s="981">
      <c r="A20" s="1050" t="n"/>
      <c r="B20" s="1050" t="n"/>
      <c r="C20" s="743" t="n">
        <v>100000000</v>
      </c>
      <c r="D20" s="1050" t="n"/>
      <c r="E20" s="1050" t="n"/>
      <c r="F20" s="1050" t="n"/>
      <c r="G20" s="1050" t="n"/>
    </row>
    <row r="21" ht="18" customHeight="1" s="981">
      <c r="A21" s="1050" t="n"/>
      <c r="B21" s="1050" t="n"/>
      <c r="C21" s="743" t="n">
        <v>100000000</v>
      </c>
      <c r="D21" s="1050" t="n"/>
      <c r="E21" s="1050" t="n"/>
      <c r="F21" s="1050" t="n"/>
      <c r="G21" s="1050" t="n"/>
    </row>
    <row r="22" ht="18" customHeight="1" s="981">
      <c r="A22" s="1050" t="n"/>
      <c r="B22" s="1050" t="n"/>
      <c r="C22" s="743" t="n">
        <v>100000000</v>
      </c>
      <c r="D22" s="1050" t="n"/>
      <c r="E22" s="1050" t="n"/>
      <c r="F22" s="1050" t="n"/>
      <c r="G22" s="1050" t="n"/>
    </row>
    <row r="23" ht="18" customHeight="1" s="981">
      <c r="A23" s="1050" t="n"/>
      <c r="B23" s="1050" t="n"/>
      <c r="C23" s="743" t="n">
        <v>100000000</v>
      </c>
      <c r="D23" s="1050" t="n"/>
      <c r="E23" s="1050" t="n"/>
      <c r="F23" s="1050" t="n"/>
      <c r="G23" s="1050" t="n"/>
    </row>
    <row r="24" ht="18" customHeight="1" s="981">
      <c r="A24" s="1050" t="n"/>
      <c r="B24" s="1050" t="n"/>
      <c r="C24" s="743" t="n">
        <v>100000000</v>
      </c>
      <c r="D24" s="1050" t="n"/>
      <c r="E24" s="1050" t="n"/>
      <c r="F24" s="1050" t="n"/>
      <c r="G24" s="1050" t="n"/>
    </row>
    <row r="25" ht="18" customHeight="1" s="981">
      <c r="A25" s="1050" t="n"/>
      <c r="B25" s="1050" t="n"/>
      <c r="C25" s="743" t="n">
        <v>100000000</v>
      </c>
      <c r="D25" s="1050" t="n"/>
      <c r="E25" s="1050" t="n"/>
      <c r="F25" s="1050" t="n"/>
      <c r="G25" s="1050" t="n"/>
    </row>
    <row r="26" ht="18" customHeight="1" s="981">
      <c r="A26" s="1050" t="n"/>
      <c r="B26" s="1050" t="n"/>
      <c r="C26" s="743" t="n">
        <v>100000000</v>
      </c>
      <c r="D26" s="1050" t="n"/>
      <c r="E26" s="1050" t="n"/>
      <c r="F26" s="1050" t="n"/>
      <c r="G26" s="1050" t="n"/>
    </row>
    <row r="27" ht="18" customHeight="1" s="981">
      <c r="A27" s="1050" t="n"/>
      <c r="B27" s="1050" t="n"/>
      <c r="C27" s="743" t="n">
        <v>100000000</v>
      </c>
      <c r="D27" s="1050" t="n"/>
      <c r="E27" s="1050" t="n"/>
      <c r="F27" s="1050" t="n"/>
      <c r="G27" s="1050" t="n"/>
    </row>
    <row r="28" ht="18" customHeight="1" s="981">
      <c r="A28" s="1050" t="n"/>
      <c r="B28" s="1050" t="n"/>
      <c r="C28" s="743" t="n">
        <v>100000000</v>
      </c>
      <c r="D28" s="1050" t="n"/>
      <c r="E28" s="1050" t="n"/>
      <c r="F28" s="1050" t="n"/>
      <c r="G28" s="1050" t="n"/>
    </row>
    <row r="29" ht="18" customHeight="1" s="981">
      <c r="A29" s="1050" t="n"/>
      <c r="B29" s="1050" t="n"/>
      <c r="C29" s="743" t="n">
        <v>100000000</v>
      </c>
      <c r="D29" s="1050" t="n"/>
      <c r="E29" s="1050" t="n"/>
      <c r="F29" s="1050" t="n"/>
      <c r="G29" s="1050" t="n"/>
    </row>
    <row r="30" ht="18" customHeight="1" s="981">
      <c r="A30" s="1050" t="n"/>
      <c r="B30" s="1050" t="n"/>
      <c r="C30" s="743" t="n">
        <v>100000000</v>
      </c>
      <c r="D30" s="1050" t="n"/>
      <c r="E30" s="1050" t="n"/>
      <c r="F30" s="1050" t="n"/>
      <c r="G30" s="1050" t="n"/>
    </row>
    <row r="31" ht="18" customHeight="1" s="981">
      <c r="A31" s="1050" t="n"/>
      <c r="B31" s="1050" t="n"/>
      <c r="C31" s="743" t="n">
        <v>100000000</v>
      </c>
      <c r="D31" s="1050" t="n"/>
      <c r="E31" s="1050" t="n"/>
      <c r="F31" s="1050" t="n"/>
      <c r="G31" s="1050" t="n"/>
    </row>
    <row r="32" ht="18" customHeight="1" s="981">
      <c r="A32" s="1050" t="n"/>
      <c r="B32" s="1050" t="n"/>
      <c r="C32" s="743" t="n">
        <v>100000000</v>
      </c>
      <c r="D32" s="1050" t="n"/>
      <c r="E32" s="1050" t="n"/>
      <c r="F32" s="1050" t="n"/>
      <c r="G32" s="1050" t="n"/>
    </row>
    <row r="33" ht="18" customHeight="1" s="981">
      <c r="A33" s="1050" t="n"/>
      <c r="B33" s="1050" t="n"/>
      <c r="C33" s="743" t="n">
        <v>100000000</v>
      </c>
      <c r="D33" s="1050" t="n"/>
      <c r="E33" s="1050" t="n"/>
      <c r="F33" s="1050" t="n"/>
      <c r="G33" s="1050" t="n"/>
    </row>
    <row r="34" ht="18" customHeight="1" s="981">
      <c r="A34" s="1050" t="n"/>
      <c r="B34" s="1050" t="n"/>
      <c r="C34" s="743" t="n">
        <v>100000000</v>
      </c>
      <c r="D34" s="1050" t="n"/>
      <c r="E34" s="1050" t="n"/>
      <c r="F34" s="1050" t="n"/>
      <c r="G34" s="1050" t="n"/>
    </row>
    <row r="35" ht="18" customHeight="1" s="981">
      <c r="A35" s="1050" t="n"/>
      <c r="B35" s="1050" t="n"/>
      <c r="C35" s="743" t="n">
        <v>100000000</v>
      </c>
      <c r="D35" s="1050" t="n"/>
      <c r="E35" s="1050" t="n"/>
      <c r="F35" s="1050" t="n"/>
      <c r="G35" s="1050" t="n"/>
    </row>
    <row r="36" ht="18" customHeight="1" s="981">
      <c r="A36" s="1050" t="n"/>
      <c r="B36" s="1050" t="n"/>
      <c r="C36" s="743" t="n">
        <v>100000000</v>
      </c>
      <c r="D36" s="1050" t="n"/>
      <c r="E36" s="1050" t="n"/>
      <c r="F36" s="1050" t="n"/>
      <c r="G36" s="1050" t="n"/>
    </row>
    <row r="37" ht="18" customHeight="1" s="981">
      <c r="A37" s="1050" t="n"/>
      <c r="B37" s="1050" t="n"/>
      <c r="C37" s="743" t="n">
        <v>100000000</v>
      </c>
      <c r="D37" s="1050" t="n"/>
      <c r="E37" s="1050" t="n"/>
      <c r="F37" s="1050" t="n"/>
      <c r="G37" s="1050" t="n"/>
    </row>
    <row r="38" ht="18" customHeight="1" s="981">
      <c r="A38" s="1050" t="n"/>
      <c r="B38" s="1050" t="n"/>
      <c r="C38" s="743" t="n">
        <v>100000000</v>
      </c>
      <c r="D38" s="1050" t="n"/>
      <c r="E38" s="1050" t="n"/>
      <c r="F38" s="1050" t="n"/>
      <c r="G38" s="1050" t="n"/>
    </row>
    <row r="39" ht="18" customHeight="1" s="981">
      <c r="A39" s="1050" t="n"/>
      <c r="B39" s="1050" t="n"/>
      <c r="C39" s="743" t="n">
        <v>100000000</v>
      </c>
      <c r="D39" s="1050" t="n"/>
      <c r="E39" s="1050" t="n"/>
      <c r="F39" s="1050" t="n"/>
      <c r="G39" s="1050" t="n"/>
    </row>
    <row r="40" ht="15" customHeight="1" s="981">
      <c r="A40" s="1050" t="n"/>
      <c r="B40" s="1050" t="n"/>
      <c r="C40" s="1050" t="n"/>
      <c r="D40" s="1050" t="n"/>
      <c r="E40" s="1050" t="n"/>
      <c r="F40" s="1050" t="n"/>
      <c r="G40" s="1050" t="n"/>
    </row>
    <row r="41" ht="15" customHeight="1" s="981">
      <c r="A41" s="1050" t="n"/>
      <c r="B41" s="1050" t="n"/>
      <c r="C41" s="1050" t="n"/>
      <c r="D41" s="1050" t="n"/>
      <c r="E41" s="1050" t="n"/>
      <c r="F41" s="1050" t="n"/>
      <c r="G41" s="1050" t="n"/>
    </row>
    <row r="42" ht="21.75" customHeight="1" s="981">
      <c r="A42" s="1117" t="inlineStr">
        <is>
          <t>◆  VBA MACRO — Dán vào Module1 để tự động ghi lịch sử</t>
        </is>
      </c>
      <c r="B42" s="965" t="n"/>
      <c r="C42" s="965" t="n"/>
      <c r="D42" s="965" t="n"/>
      <c r="E42" s="965" t="n"/>
      <c r="F42" s="965" t="n"/>
      <c r="G42" s="966" t="n"/>
    </row>
    <row r="43" ht="15.75" customHeight="1" s="981">
      <c r="A43" s="1202" t="inlineStr">
        <is>
          <t>Sub GhiLichSuTaiSan()</t>
        </is>
      </c>
      <c r="B43" s="965" t="n"/>
      <c r="C43" s="965" t="n"/>
      <c r="D43" s="965" t="n"/>
      <c r="E43" s="965" t="n"/>
      <c r="F43" s="965" t="n"/>
      <c r="G43" s="966" t="n"/>
    </row>
    <row r="44" ht="15.75" customHeight="1" s="981">
      <c r="A44" s="1202" t="inlineStr">
        <is>
          <t xml:space="preserve">    Dim wsMain As Worksheet, wsHist As Worksheet, lr As Long</t>
        </is>
      </c>
      <c r="B44" s="965" t="n"/>
      <c r="C44" s="965" t="n"/>
      <c r="D44" s="965" t="n"/>
      <c r="E44" s="965" t="n"/>
      <c r="F44" s="965" t="n"/>
      <c r="G44" s="966" t="n"/>
    </row>
    <row r="45" ht="15.75" customHeight="1" s="981">
      <c r="A45" s="1202" t="inlineStr">
        <is>
          <t xml:space="preserve">    Set wsMain = ThisWorkbook.Sheets("HỆ THỐNG QUẢN LÝ ")</t>
        </is>
      </c>
      <c r="B45" s="965" t="n"/>
      <c r="C45" s="965" t="n"/>
      <c r="D45" s="965" t="n"/>
      <c r="E45" s="965" t="n"/>
      <c r="F45" s="965" t="n"/>
      <c r="G45" s="966" t="n"/>
    </row>
    <row r="46" ht="15.75" customHeight="1" s="981">
      <c r="A46" s="1202" t="inlineStr">
        <is>
          <t xml:space="preserve">    Set wsHist = ThisWorkbook.Sheets("📈 Lịch Sử Tài Sản")</t>
        </is>
      </c>
      <c r="B46" s="965" t="n"/>
      <c r="C46" s="965" t="n"/>
      <c r="D46" s="965" t="n"/>
      <c r="E46" s="965" t="n"/>
      <c r="F46" s="965" t="n"/>
      <c r="G46" s="966" t="n"/>
    </row>
    <row r="47" ht="15.75" customHeight="1" s="981">
      <c r="A47" s="1202" t="inlineStr">
        <is>
          <t xml:space="preserve">    lr = wsHist.Cells(wsHist.Rows.Count, 1).End(xlUp).Row + 1</t>
        </is>
      </c>
      <c r="B47" s="965" t="n"/>
      <c r="C47" s="965" t="n"/>
      <c r="D47" s="965" t="n"/>
      <c r="E47" s="965" t="n"/>
      <c r="F47" s="965" t="n"/>
      <c r="G47" s="966" t="n"/>
    </row>
    <row r="48" ht="15.75" customHeight="1" s="981">
      <c r="A48" s="1202" t="inlineStr">
        <is>
          <t xml:space="preserve">    If lr &lt; 5 Then lr = 5</t>
        </is>
      </c>
      <c r="B48" s="965" t="n"/>
      <c r="C48" s="965" t="n"/>
      <c r="D48" s="965" t="n"/>
      <c r="E48" s="965" t="n"/>
      <c r="F48" s="965" t="n"/>
      <c r="G48" s="966" t="n"/>
    </row>
    <row r="49" ht="15.75" customHeight="1" s="981">
      <c r="A49" s="1202" t="inlineStr">
        <is>
          <t xml:space="preserve">    wsHist.Cells(lr, 1).Value = Date</t>
        </is>
      </c>
      <c r="B49" s="965" t="n"/>
      <c r="C49" s="965" t="n"/>
      <c r="D49" s="965" t="n"/>
      <c r="E49" s="965" t="n"/>
      <c r="F49" s="965" t="n"/>
      <c r="G49" s="966" t="n"/>
    </row>
    <row r="50" ht="15.75" customHeight="1" s="981">
      <c r="A50" s="1202" t="inlineStr">
        <is>
          <t xml:space="preserve">    wsHist.Cells(lr, 1).NumberFormat = "DD/MM/YYYY"</t>
        </is>
      </c>
      <c r="B50" s="965" t="n"/>
      <c r="C50" s="965" t="n"/>
      <c r="D50" s="965" t="n"/>
      <c r="E50" s="965" t="n"/>
      <c r="F50" s="965" t="n"/>
      <c r="G50" s="966" t="n"/>
    </row>
    <row r="51" ht="15.75" customHeight="1" s="981">
      <c r="A51" s="1202" t="inlineStr">
        <is>
          <t xml:space="preserve">    wsHist.Cells(lr, 2).Value = wsMain.Cells(17, 6).Value  ' Giá trị hiện tại</t>
        </is>
      </c>
      <c r="B51" s="965" t="n"/>
      <c r="C51" s="965" t="n"/>
      <c r="D51" s="965" t="n"/>
      <c r="E51" s="965" t="n"/>
      <c r="F51" s="965" t="n"/>
      <c r="G51" s="966" t="n"/>
    </row>
    <row r="52" ht="15.75" customHeight="1" s="981">
      <c r="A52" s="1202" t="inlineStr">
        <is>
          <t xml:space="preserve">    wsHist.Cells(lr, 3).Value = 100000000</t>
        </is>
      </c>
      <c r="B52" s="965" t="n"/>
      <c r="C52" s="965" t="n"/>
      <c r="D52" s="965" t="n"/>
      <c r="E52" s="965" t="n"/>
      <c r="F52" s="965" t="n"/>
      <c r="G52" s="966" t="n"/>
    </row>
    <row r="53" ht="15.75" customHeight="1" s="981">
      <c r="A53" s="1202" t="inlineStr">
        <is>
          <t xml:space="preserve">    wsHist.Cells(lr, 4).Value = wsMain.Cells(17, 6).Value - 100000000</t>
        </is>
      </c>
      <c r="B53" s="965" t="n"/>
      <c r="C53" s="965" t="n"/>
      <c r="D53" s="965" t="n"/>
      <c r="E53" s="965" t="n"/>
      <c r="F53" s="965" t="n"/>
      <c r="G53" s="966" t="n"/>
    </row>
    <row r="54" ht="15.75" customHeight="1" s="981">
      <c r="A54" s="1202" t="inlineStr">
        <is>
          <t xml:space="preserve">    wsHist.Cells(lr, 5).Value = (wsMain.Cells(17, 6).Value - 100000000) / 100000000</t>
        </is>
      </c>
      <c r="B54" s="965" t="n"/>
      <c r="C54" s="965" t="n"/>
      <c r="D54" s="965" t="n"/>
      <c r="E54" s="965" t="n"/>
      <c r="F54" s="965" t="n"/>
      <c r="G54" s="966" t="n"/>
    </row>
    <row r="55" ht="15.75" customHeight="1" s="981">
      <c r="A55" s="1202" t="inlineStr">
        <is>
          <t xml:space="preserve">    wsHist.Cells(lr, 5).NumberFormat = "+0.00%;-0.00%;-"</t>
        </is>
      </c>
      <c r="B55" s="965" t="n"/>
      <c r="C55" s="965" t="n"/>
      <c r="D55" s="965" t="n"/>
      <c r="E55" s="965" t="n"/>
      <c r="F55" s="965" t="n"/>
      <c r="G55" s="966" t="n"/>
    </row>
    <row r="56" ht="15.75" customHeight="1" s="981">
      <c r="A56" s="1202" t="inlineStr">
        <is>
          <t xml:space="preserve">    MsgBox "Đã ghi: " &amp; Format(Date,"DD/MM/YY") &amp; " | " &amp; Format(wsMain.Cells(17,6).Value,"#,##0") &amp; " VND"</t>
        </is>
      </c>
      <c r="B56" s="965" t="n"/>
      <c r="C56" s="965" t="n"/>
      <c r="D56" s="965" t="n"/>
      <c r="E56" s="965" t="n"/>
      <c r="F56" s="965" t="n"/>
      <c r="G56" s="966" t="n"/>
    </row>
    <row r="57" ht="15.75" customHeight="1" s="981">
      <c r="A57" s="1202" t="inlineStr">
        <is>
          <t>End Sub</t>
        </is>
      </c>
      <c r="B57" s="965" t="n"/>
      <c r="C57" s="965" t="n"/>
      <c r="D57" s="965" t="n"/>
      <c r="E57" s="965" t="n"/>
      <c r="F57" s="965" t="n"/>
      <c r="G57" s="966" t="n"/>
    </row>
    <row r="58" ht="15.75" customHeight="1" s="981">
      <c r="A58" s="1203" t="n"/>
      <c r="B58" s="965" t="n"/>
      <c r="C58" s="965" t="n"/>
      <c r="D58" s="965" t="n"/>
      <c r="E58" s="965" t="n"/>
      <c r="F58" s="965" t="n"/>
      <c r="G58" s="966" t="n"/>
    </row>
    <row r="59" ht="15.75" customHeight="1" s="981">
      <c r="A59" s="1201" t="inlineStr">
        <is>
          <t>' Thêm vào cuối Sub CapNhatGia(): Call GhiLichSuTaiSan</t>
        </is>
      </c>
      <c r="B59" s="965" t="n"/>
      <c r="C59" s="965" t="n"/>
      <c r="D59" s="965" t="n"/>
      <c r="E59" s="965" t="n"/>
      <c r="F59" s="965" t="n"/>
      <c r="G59" s="966" t="n"/>
    </row>
    <row r="60" ht="13.5" customHeight="1" s="981"/>
    <row r="61" ht="13.5" customHeight="1" s="981"/>
    <row r="62" ht="13.5" customHeight="1" s="981"/>
    <row r="63" ht="13.5" customHeight="1" s="981"/>
    <row r="64" ht="13.5" customHeight="1" s="981"/>
    <row r="65" ht="13.5" customHeight="1" s="981"/>
    <row r="66" ht="13.5" customHeight="1" s="981"/>
    <row r="67" ht="13.5" customHeight="1" s="981"/>
    <row r="68" ht="13.5" customHeight="1" s="981"/>
    <row r="69" ht="13.5" customHeight="1" s="981"/>
    <row r="70" ht="13.5" customHeight="1" s="981"/>
    <row r="71" ht="13.5" customHeight="1" s="981"/>
    <row r="72" ht="13.5" customHeight="1" s="981"/>
    <row r="73" ht="13.5" customHeight="1" s="981"/>
    <row r="74" ht="13.5" customHeight="1" s="981"/>
    <row r="75" ht="13.5" customHeight="1" s="981"/>
    <row r="76" ht="13.5" customHeight="1" s="981"/>
    <row r="77" ht="13.5" customHeight="1" s="981"/>
    <row r="78" ht="13.5" customHeight="1" s="981"/>
    <row r="79" ht="13.5" customHeight="1" s="981"/>
    <row r="80" ht="13.5" customHeight="1" s="981"/>
    <row r="81" ht="13.5" customHeight="1" s="981"/>
    <row r="82" ht="13.5" customHeight="1" s="981"/>
    <row r="83" ht="13.5" customHeight="1" s="981"/>
    <row r="84" ht="13.5" customHeight="1" s="981"/>
  </sheetData>
  <mergeCells count="21">
    <mergeCell ref="A53:G53"/>
    <mergeCell ref="A52:G52"/>
    <mergeCell ref="A43:G43"/>
    <mergeCell ref="A44:G44"/>
    <mergeCell ref="A58:G58"/>
    <mergeCell ref="A48:G48"/>
    <mergeCell ref="A59:G59"/>
    <mergeCell ref="A49:G49"/>
    <mergeCell ref="A51:G51"/>
    <mergeCell ref="A45:G45"/>
    <mergeCell ref="A1:G1"/>
    <mergeCell ref="A54:G54"/>
    <mergeCell ref="A46:G46"/>
    <mergeCell ref="A56:G56"/>
    <mergeCell ref="A3:G3"/>
    <mergeCell ref="A55:G55"/>
    <mergeCell ref="A50:G50"/>
    <mergeCell ref="A2:G2"/>
    <mergeCell ref="A57:G57"/>
    <mergeCell ref="A47:G47"/>
    <mergeCell ref="A42:G42"/>
  </mergeCells>
  <pageMargins left="0.75" right="0.75" top="1" bottom="1" header="0.511811023622047" footer="0.511811023622047"/>
  <pageSetup orientation="portrait" paperSize="9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8" customWidth="1" style="981" min="1" max="1"/>
    <col width="7" customWidth="1" style="981" min="2" max="2"/>
    <col width="17" customWidth="1" style="981" min="3" max="3"/>
    <col width="14" customWidth="1" style="981" min="5" max="5"/>
    <col width="20" customWidth="1" style="981" min="6" max="6"/>
    <col width="25" customWidth="1" style="981" min="7" max="7"/>
    <col width="17" customWidth="1" style="981" min="8" max="8"/>
    <col width="13" customWidth="1" style="981" min="9" max="9"/>
    <col width="22" customWidth="1" style="981" min="10" max="10"/>
  </cols>
  <sheetData>
    <row r="1" ht="31.5" customHeight="1" s="981">
      <c r="A1" s="1116" t="inlineStr">
        <is>
          <t>🔮  MÔ PHỎNG TÍCH SẢN DÀI HẠN 10 – 50 NĂM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6" t="n"/>
    </row>
    <row r="2" ht="15.75" customHeight="1" s="981">
      <c r="A2" s="1128" t="inlineStr">
        <is>
          <t>Vốn hiện tại: 138,520,000 ₫  |  4 kịch bản CAGR  |  DCA tùy chọn  |  Chu kỳ compound hàng năm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6" t="n"/>
    </row>
    <row r="3" ht="21.75" customHeight="1" s="981">
      <c r="A3" s="1047" t="inlineStr">
        <is>
          <t>◆  GIẢ ĐỊNH ĐẦU VÀO  (Ô màu vàng = thay đổi được)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6" t="n"/>
    </row>
    <row r="4" ht="21.75" customHeight="1" s="981">
      <c r="A4" s="1205" t="inlineStr">
        <is>
          <t>Vốn ban đầu (₫):</t>
        </is>
      </c>
      <c r="B4" s="965" t="n"/>
      <c r="C4" s="966" t="n"/>
      <c r="D4" s="744" t="n">
        <v>138520000</v>
      </c>
      <c r="E4" s="1206" t="inlineStr">
        <is>
          <t>Danh mục hiện tại 08/05/2026</t>
        </is>
      </c>
      <c r="F4" s="965" t="n"/>
      <c r="G4" s="965" t="n"/>
      <c r="H4" s="965" t="n"/>
      <c r="I4" s="965" t="n"/>
      <c r="J4" s="966" t="n"/>
    </row>
    <row r="5" ht="21.75" customHeight="1" s="981">
      <c r="A5" s="1205" t="inlineStr">
        <is>
          <t>DCA hàng tháng (₫):</t>
        </is>
      </c>
      <c r="B5" s="965" t="n"/>
      <c r="C5" s="966" t="n"/>
      <c r="D5" s="745" t="n">
        <v>2000000</v>
      </c>
      <c r="E5" s="1206" t="inlineStr">
        <is>
          <t>Nạp thêm đều đặn mỗi tháng</t>
        </is>
      </c>
      <c r="F5" s="965" t="n"/>
      <c r="G5" s="965" t="n"/>
      <c r="H5" s="965" t="n"/>
      <c r="I5" s="965" t="n"/>
      <c r="J5" s="966" t="n"/>
    </row>
    <row r="6" ht="21.75" customHeight="1" s="981">
      <c r="A6" s="1205" t="inlineStr">
        <is>
          <t>Thuế &amp; phí/năm:</t>
        </is>
      </c>
      <c r="B6" s="965" t="n"/>
      <c r="C6" s="966" t="n"/>
      <c r="D6" s="745" t="n">
        <v>0.005</v>
      </c>
      <c r="E6" s="1206" t="inlineStr">
        <is>
          <t>0.5% tổng GT — giao dịch + thuế</t>
        </is>
      </c>
      <c r="F6" s="965" t="n"/>
      <c r="G6" s="965" t="n"/>
      <c r="H6" s="965" t="n"/>
      <c r="I6" s="965" t="n"/>
      <c r="J6" s="966" t="n"/>
    </row>
    <row r="7" ht="21.75" customHeight="1" s="981">
      <c r="A7" s="1205" t="inlineStr">
        <is>
          <t>Lạm phát/năm:</t>
        </is>
      </c>
      <c r="B7" s="965" t="n"/>
      <c r="C7" s="966" t="n"/>
      <c r="D7" s="745" t="n">
        <v>0.04</v>
      </c>
      <c r="E7" s="1206" t="inlineStr">
        <is>
          <t>4% — mục tiêu SBV</t>
        </is>
      </c>
      <c r="F7" s="965" t="n"/>
      <c r="G7" s="965" t="n"/>
      <c r="H7" s="965" t="n"/>
      <c r="I7" s="965" t="n"/>
      <c r="J7" s="966" t="n"/>
    </row>
    <row r="8" ht="21.75" customHeight="1" s="981">
      <c r="A8" s="1205" t="inlineStr">
        <is>
          <t>Tuổi bắt đầu:</t>
        </is>
      </c>
      <c r="B8" s="965" t="n"/>
      <c r="C8" s="966" t="n"/>
      <c r="D8" s="745" t="n">
        <v>30</v>
      </c>
      <c r="E8" s="1206" t="inlineStr">
        <is>
          <t>Để tính tuổi mỗi mốc</t>
        </is>
      </c>
      <c r="F8" s="965" t="n"/>
      <c r="G8" s="965" t="n"/>
      <c r="H8" s="965" t="n"/>
      <c r="I8" s="965" t="n"/>
      <c r="J8" s="966" t="n"/>
    </row>
    <row r="9" ht="21.75" customHeight="1" s="981">
      <c r="A9" s="1047" t="inlineStr">
        <is>
          <t>◆  BẢNG MÔ PHỎNG CAGR — Không có DCA (compound hàng năm)</t>
        </is>
      </c>
      <c r="B9" s="965" t="n"/>
      <c r="C9" s="965" t="n"/>
      <c r="D9" s="965" t="n"/>
      <c r="E9" s="965" t="n"/>
      <c r="F9" s="965" t="n"/>
      <c r="G9" s="965" t="n"/>
      <c r="H9" s="965" t="n"/>
      <c r="I9" s="965" t="n"/>
      <c r="J9" s="966" t="n"/>
    </row>
    <row r="10" ht="25.5" customHeight="1" s="981">
      <c r="A10" s="728" t="inlineStr">
        <is>
          <t>NĂM</t>
        </is>
      </c>
      <c r="B10" s="728" t="inlineStr">
        <is>
          <t>TUỔI</t>
        </is>
      </c>
      <c r="C10" s="728" t="inlineStr">
        <is>
          <t>CAGR 8%
(Thận trọng)</t>
        </is>
      </c>
      <c r="D10" s="728" t="inlineStr">
        <is>
          <t>CAGR 12%
(Cơ sở VN)</t>
        </is>
      </c>
      <c r="E10" s="728" t="inlineStr">
        <is>
          <t>CAGR 15%
(Tích cực)</t>
        </is>
      </c>
      <c r="F10" s="728" t="inlineStr">
        <is>
          <t>CAGR 20%
(Xuất sắc)</t>
        </is>
      </c>
      <c r="G10" s="728" t="inlineStr">
        <is>
          <t>DCA 2M/th
+12%/năm</t>
        </is>
      </c>
      <c r="H10" s="728" t="inlineStr">
        <is>
          <t>Sức mua thực
(12%-4%inflation)</t>
        </is>
      </c>
      <c r="I10" s="728" t="inlineStr">
        <is>
          <t>x Vốn gốc
(CAGR 12%)</t>
        </is>
      </c>
      <c r="J10" s="728" t="inlineStr">
        <is>
          <t>GHI CHÚ CHIẾN LƯỢC</t>
        </is>
      </c>
    </row>
    <row r="11" ht="18" customHeight="1" s="981">
      <c r="A11" s="746" t="n">
        <v>1</v>
      </c>
      <c r="B11" s="746" t="n">
        <v>31</v>
      </c>
      <c r="C11" s="747" t="n">
        <v>149601600</v>
      </c>
      <c r="D11" s="747" t="n">
        <v>155142400</v>
      </c>
      <c r="E11" s="747" t="n">
        <v>159298000</v>
      </c>
      <c r="F11" s="747" t="n">
        <v>166224000</v>
      </c>
      <c r="G11" s="748" t="n">
        <v>179142400</v>
      </c>
      <c r="H11" s="749" t="n">
        <v>173601600</v>
      </c>
      <c r="I11" s="750" t="inlineStr">
        <is>
          <t>x1.1</t>
        </is>
      </c>
      <c r="J11" s="751" t="n"/>
    </row>
    <row r="12" ht="18" customHeight="1" s="981">
      <c r="A12" s="752" t="n">
        <v>2</v>
      </c>
      <c r="B12" s="752" t="n">
        <v>32</v>
      </c>
      <c r="C12" s="753" t="n">
        <v>161569728</v>
      </c>
      <c r="D12" s="753" t="n">
        <v>173759488</v>
      </c>
      <c r="E12" s="753" t="n">
        <v>183192700</v>
      </c>
      <c r="F12" s="753" t="n">
        <v>199468800</v>
      </c>
      <c r="G12" s="754" t="n">
        <v>224639488</v>
      </c>
      <c r="H12" s="755" t="n">
        <v>212449728</v>
      </c>
      <c r="I12" s="756" t="inlineStr">
        <is>
          <t>x1.3</t>
        </is>
      </c>
      <c r="J12" s="757" t="n"/>
    </row>
    <row r="13" ht="18" customHeight="1" s="981">
      <c r="A13" s="746" t="n">
        <v>3</v>
      </c>
      <c r="B13" s="746" t="n">
        <v>33</v>
      </c>
      <c r="C13" s="747" t="n">
        <v>174495306</v>
      </c>
      <c r="D13" s="747" t="n">
        <v>194610627</v>
      </c>
      <c r="E13" s="747" t="n">
        <v>210671605</v>
      </c>
      <c r="F13" s="747" t="n">
        <v>239362560</v>
      </c>
      <c r="G13" s="748" t="n">
        <v>275596227</v>
      </c>
      <c r="H13" s="749" t="n">
        <v>255480906</v>
      </c>
      <c r="I13" s="750" t="inlineStr">
        <is>
          <t>x1.4</t>
        </is>
      </c>
      <c r="J13" s="751" t="n"/>
    </row>
    <row r="14" ht="18" customHeight="1" s="981">
      <c r="A14" s="752" t="n">
        <v>4</v>
      </c>
      <c r="B14" s="752" t="n">
        <v>34</v>
      </c>
      <c r="C14" s="753" t="n">
        <v>188454931</v>
      </c>
      <c r="D14" s="753" t="n">
        <v>217963902</v>
      </c>
      <c r="E14" s="753" t="n">
        <v>242272346</v>
      </c>
      <c r="F14" s="753" t="n">
        <v>287235072</v>
      </c>
      <c r="G14" s="754" t="n">
        <v>332667774</v>
      </c>
      <c r="H14" s="755" t="n">
        <v>303158803</v>
      </c>
      <c r="I14" s="756" t="inlineStr">
        <is>
          <t>x1.6</t>
        </is>
      </c>
      <c r="J14" s="757" t="n"/>
    </row>
    <row r="15" ht="19.5" customHeight="1" s="981">
      <c r="A15" s="255" t="n">
        <v>5</v>
      </c>
      <c r="B15" s="758" t="n">
        <v>35</v>
      </c>
      <c r="C15" s="759" t="n">
        <v>203531325</v>
      </c>
      <c r="D15" s="759" t="n">
        <v>244119570</v>
      </c>
      <c r="E15" s="759" t="n">
        <v>278613198</v>
      </c>
      <c r="F15" s="759" t="n">
        <v>344682086</v>
      </c>
      <c r="G15" s="760" t="n">
        <v>396587907</v>
      </c>
      <c r="H15" s="761" t="n">
        <v>355999662</v>
      </c>
      <c r="I15" s="255" t="inlineStr">
        <is>
          <t>x1.8</t>
        </is>
      </c>
      <c r="J15" s="762" t="inlineStr">
        <is>
          <t>Danh gia 5 nam</t>
        </is>
      </c>
    </row>
    <row r="16" ht="18" customHeight="1" s="981">
      <c r="A16" s="752" t="n">
        <v>6</v>
      </c>
      <c r="B16" s="752" t="n">
        <v>36</v>
      </c>
      <c r="C16" s="753" t="n">
        <v>219813831</v>
      </c>
      <c r="D16" s="753" t="n">
        <v>273413918</v>
      </c>
      <c r="E16" s="753" t="n">
        <v>320405177</v>
      </c>
      <c r="F16" s="753" t="n">
        <v>413618504</v>
      </c>
      <c r="G16" s="754" t="n">
        <v>468178455</v>
      </c>
      <c r="H16" s="755" t="n">
        <v>414578368</v>
      </c>
      <c r="I16" s="756" t="inlineStr">
        <is>
          <t>x2</t>
        </is>
      </c>
      <c r="J16" s="757" t="n"/>
    </row>
    <row r="17" ht="18" customHeight="1" s="981">
      <c r="A17" s="746" t="n">
        <v>7</v>
      </c>
      <c r="B17" s="746" t="n">
        <v>37</v>
      </c>
      <c r="C17" s="747" t="n">
        <v>237398938</v>
      </c>
      <c r="D17" s="747" t="n">
        <v>306223589</v>
      </c>
      <c r="E17" s="747" t="n">
        <v>368465954</v>
      </c>
      <c r="F17" s="747" t="n">
        <v>496342204</v>
      </c>
      <c r="G17" s="748" t="n">
        <v>548359870</v>
      </c>
      <c r="H17" s="749" t="n">
        <v>479535219</v>
      </c>
      <c r="I17" s="750" t="inlineStr">
        <is>
          <t>x2.2</t>
        </is>
      </c>
      <c r="J17" s="751" t="n"/>
    </row>
    <row r="18" ht="18" customHeight="1" s="981">
      <c r="A18" s="752" t="n">
        <v>8</v>
      </c>
      <c r="B18" s="752" t="n">
        <v>38</v>
      </c>
      <c r="C18" s="753" t="n">
        <v>256390853</v>
      </c>
      <c r="D18" s="753" t="n">
        <v>342970419</v>
      </c>
      <c r="E18" s="753" t="n">
        <v>423735847</v>
      </c>
      <c r="F18" s="753" t="n">
        <v>595610645</v>
      </c>
      <c r="G18" s="754" t="n">
        <v>638163054</v>
      </c>
      <c r="H18" s="755" t="n">
        <v>551583488</v>
      </c>
      <c r="I18" s="756" t="inlineStr">
        <is>
          <t>x2.5</t>
        </is>
      </c>
      <c r="J18" s="757" t="n"/>
    </row>
    <row r="19" ht="18" customHeight="1" s="981">
      <c r="A19" s="746" t="n">
        <v>9</v>
      </c>
      <c r="B19" s="746" t="n">
        <v>39</v>
      </c>
      <c r="C19" s="747" t="n">
        <v>276902121</v>
      </c>
      <c r="D19" s="747" t="n">
        <v>384126869</v>
      </c>
      <c r="E19" s="747" t="n">
        <v>487296224</v>
      </c>
      <c r="F19" s="747" t="n">
        <v>714732774</v>
      </c>
      <c r="G19" s="748" t="n">
        <v>738742621</v>
      </c>
      <c r="H19" s="749" t="n">
        <v>631517872</v>
      </c>
      <c r="I19" s="750" t="inlineStr">
        <is>
          <t>x2.8</t>
        </is>
      </c>
      <c r="J19" s="751" t="n"/>
    </row>
    <row r="20" ht="19.5" customHeight="1" s="981">
      <c r="A20" s="255" t="n">
        <v>10</v>
      </c>
      <c r="B20" s="758" t="n">
        <v>40</v>
      </c>
      <c r="C20" s="759" t="n">
        <v>299054291</v>
      </c>
      <c r="D20" s="759" t="n">
        <v>430222094</v>
      </c>
      <c r="E20" s="759" t="n">
        <v>560390658</v>
      </c>
      <c r="F20" s="759" t="n">
        <v>857679329</v>
      </c>
      <c r="G20" s="760" t="n">
        <v>851391735</v>
      </c>
      <c r="H20" s="761" t="n">
        <v>720223932</v>
      </c>
      <c r="I20" s="255" t="inlineStr">
        <is>
          <t>x3.1</t>
        </is>
      </c>
      <c r="J20" s="762" t="inlineStr">
        <is>
          <t>D?t moc 10 nam - danh gia lai</t>
        </is>
      </c>
    </row>
    <row r="21" ht="18" customHeight="1" s="981">
      <c r="A21" s="746" t="n">
        <v>11</v>
      </c>
      <c r="B21" s="746" t="n">
        <v>41</v>
      </c>
      <c r="C21" s="747" t="n">
        <v>322978634</v>
      </c>
      <c r="D21" s="747" t="n">
        <v>481848745</v>
      </c>
      <c r="E21" s="747" t="n">
        <v>644449256</v>
      </c>
      <c r="F21" s="747" t="n">
        <v>1029215195</v>
      </c>
      <c r="G21" s="748" t="n">
        <v>977558744</v>
      </c>
      <c r="H21" s="749" t="n">
        <v>818688633</v>
      </c>
      <c r="I21" s="750" t="inlineStr">
        <is>
          <t>x3.5</t>
        </is>
      </c>
      <c r="J21" s="751" t="n"/>
    </row>
    <row r="22" ht="18" customHeight="1" s="981">
      <c r="A22" s="752" t="n">
        <v>12</v>
      </c>
      <c r="B22" s="752" t="n">
        <v>42</v>
      </c>
      <c r="C22" s="753" t="n">
        <v>348816925</v>
      </c>
      <c r="D22" s="753" t="n">
        <v>539670594</v>
      </c>
      <c r="E22" s="753" t="n">
        <v>741116645</v>
      </c>
      <c r="F22" s="753" t="n">
        <v>1235058234</v>
      </c>
      <c r="G22" s="754" t="n">
        <v>1118865793</v>
      </c>
      <c r="H22" s="755" t="n">
        <v>928012123</v>
      </c>
      <c r="I22" s="756" t="inlineStr">
        <is>
          <t>x3.9</t>
        </is>
      </c>
      <c r="J22" s="757" t="n"/>
    </row>
    <row r="23" ht="18" customHeight="1" s="981">
      <c r="A23" s="746" t="n">
        <v>13</v>
      </c>
      <c r="B23" s="746" t="n">
        <v>43</v>
      </c>
      <c r="C23" s="747" t="n">
        <v>376722279</v>
      </c>
      <c r="D23" s="747" t="n">
        <v>604431066</v>
      </c>
      <c r="E23" s="747" t="n">
        <v>852284141</v>
      </c>
      <c r="F23" s="747" t="n">
        <v>1482069881</v>
      </c>
      <c r="G23" s="748" t="n">
        <v>1277129688</v>
      </c>
      <c r="H23" s="749" t="n">
        <v>1049420901</v>
      </c>
      <c r="I23" s="750" t="inlineStr">
        <is>
          <t>x4.4</t>
        </is>
      </c>
      <c r="J23" s="751" t="n"/>
    </row>
    <row r="24" ht="18" customHeight="1" s="981">
      <c r="A24" s="752" t="n">
        <v>14</v>
      </c>
      <c r="B24" s="752" t="n">
        <v>44</v>
      </c>
      <c r="C24" s="753" t="n">
        <v>406860061</v>
      </c>
      <c r="D24" s="753" t="n">
        <v>676962794</v>
      </c>
      <c r="E24" s="753" t="n">
        <v>980126762</v>
      </c>
      <c r="F24" s="753" t="n">
        <v>1778483857</v>
      </c>
      <c r="G24" s="754" t="n">
        <v>1454385251</v>
      </c>
      <c r="H24" s="755" t="n">
        <v>1184282518</v>
      </c>
      <c r="I24" s="756" t="inlineStr">
        <is>
          <t>x4.9</t>
        </is>
      </c>
      <c r="J24" s="757" t="n"/>
    </row>
    <row r="25" ht="18" customHeight="1" s="981">
      <c r="A25" s="746" t="n">
        <v>15</v>
      </c>
      <c r="B25" s="746" t="n">
        <v>45</v>
      </c>
      <c r="C25" s="747" t="n">
        <v>439408866</v>
      </c>
      <c r="D25" s="747" t="n">
        <v>758198329</v>
      </c>
      <c r="E25" s="747" t="n">
        <v>1127145777</v>
      </c>
      <c r="F25" s="747" t="n">
        <v>2134180629</v>
      </c>
      <c r="G25" s="748" t="n">
        <v>1652911481</v>
      </c>
      <c r="H25" s="749" t="n">
        <v>1334122018</v>
      </c>
      <c r="I25" s="750" t="inlineStr">
        <is>
          <t>x5.5</t>
        </is>
      </c>
      <c r="J25" s="751" t="inlineStr">
        <is>
          <t>FIRE 40 tu?i - k? ho?ch g?t t?a</t>
        </is>
      </c>
    </row>
    <row r="26" ht="18" customHeight="1" s="981">
      <c r="A26" s="752" t="n">
        <v>16</v>
      </c>
      <c r="B26" s="752" t="n">
        <v>46</v>
      </c>
      <c r="C26" s="753" t="n">
        <v>474561575</v>
      </c>
      <c r="D26" s="753" t="n">
        <v>849182128</v>
      </c>
      <c r="E26" s="753" t="n">
        <v>1296217643</v>
      </c>
      <c r="F26" s="753" t="n">
        <v>2561016754</v>
      </c>
      <c r="G26" s="754" t="n">
        <v>1875260859</v>
      </c>
      <c r="H26" s="755" t="n">
        <v>1500640305</v>
      </c>
      <c r="I26" s="756" t="inlineStr">
        <is>
          <t>x6.1</t>
        </is>
      </c>
      <c r="J26" s="757" t="n"/>
    </row>
    <row r="27" ht="18" customHeight="1" s="981">
      <c r="A27" s="746" t="n">
        <v>17</v>
      </c>
      <c r="B27" s="746" t="n">
        <v>47</v>
      </c>
      <c r="C27" s="747" t="n">
        <v>512526501</v>
      </c>
      <c r="D27" s="747" t="n">
        <v>951083984</v>
      </c>
      <c r="E27" s="747" t="n">
        <v>1490650290</v>
      </c>
      <c r="F27" s="747" t="n">
        <v>3073220105</v>
      </c>
      <c r="G27" s="748" t="n">
        <v>2124292162</v>
      </c>
      <c r="H27" s="749" t="n">
        <v>1685734679</v>
      </c>
      <c r="I27" s="750" t="inlineStr">
        <is>
          <t>x6.9</t>
        </is>
      </c>
      <c r="J27" s="751" t="n"/>
    </row>
    <row r="28" ht="18" customHeight="1" s="981">
      <c r="A28" s="752" t="n">
        <v>18</v>
      </c>
      <c r="B28" s="752" t="n">
        <v>48</v>
      </c>
      <c r="C28" s="753" t="n">
        <v>553528621</v>
      </c>
      <c r="D28" s="753" t="n">
        <v>1065214062</v>
      </c>
      <c r="E28" s="753" t="n">
        <v>1714247833</v>
      </c>
      <c r="F28" s="753" t="n">
        <v>3687864126</v>
      </c>
      <c r="G28" s="754" t="n">
        <v>2403207221</v>
      </c>
      <c r="H28" s="755" t="n">
        <v>1891521780</v>
      </c>
      <c r="I28" s="756" t="inlineStr">
        <is>
          <t>x7.7</t>
        </is>
      </c>
      <c r="J28" s="757" t="n"/>
    </row>
    <row r="29" ht="18" customHeight="1" s="981">
      <c r="A29" s="746" t="n">
        <v>19</v>
      </c>
      <c r="B29" s="746" t="n">
        <v>49</v>
      </c>
      <c r="C29" s="747" t="n">
        <v>597810911</v>
      </c>
      <c r="D29" s="747" t="n">
        <v>1193039749</v>
      </c>
      <c r="E29" s="747" t="n">
        <v>1971385008</v>
      </c>
      <c r="F29" s="747" t="n">
        <v>4425436951</v>
      </c>
      <c r="G29" s="748" t="n">
        <v>2715592087</v>
      </c>
      <c r="H29" s="749" t="n">
        <v>2120363249</v>
      </c>
      <c r="I29" s="750" t="inlineStr">
        <is>
          <t>x8.6</t>
        </is>
      </c>
      <c r="J29" s="751" t="n"/>
    </row>
    <row r="30" ht="19.5" customHeight="1" s="981">
      <c r="A30" s="255" t="n">
        <v>20</v>
      </c>
      <c r="B30" s="758" t="n">
        <v>50</v>
      </c>
      <c r="C30" s="759" t="n">
        <v>645635784</v>
      </c>
      <c r="D30" s="759" t="n">
        <v>1336204519</v>
      </c>
      <c r="E30" s="759" t="n">
        <v>2267092760</v>
      </c>
      <c r="F30" s="759" t="n">
        <v>5310524342</v>
      </c>
      <c r="G30" s="760" t="n">
        <v>3065463138</v>
      </c>
      <c r="H30" s="761" t="n">
        <v>2374894402</v>
      </c>
      <c r="I30" s="255" t="inlineStr">
        <is>
          <t>x9.6</t>
        </is>
      </c>
      <c r="J30" s="762" t="inlineStr">
        <is>
          <t>Tai san dat moc 1.3 ty</t>
        </is>
      </c>
    </row>
    <row r="31" ht="18" customHeight="1" s="981">
      <c r="A31" s="746" t="n">
        <v>21</v>
      </c>
      <c r="B31" s="746" t="n">
        <v>51</v>
      </c>
      <c r="C31" s="747" t="n">
        <v>697286646</v>
      </c>
      <c r="D31" s="747" t="n">
        <v>1496549062</v>
      </c>
      <c r="E31" s="747" t="n">
        <v>2607156674</v>
      </c>
      <c r="F31" s="747" t="n">
        <v>6372629210</v>
      </c>
      <c r="G31" s="748" t="n">
        <v>3457318714</v>
      </c>
      <c r="H31" s="749" t="n">
        <v>2658056299</v>
      </c>
      <c r="I31" s="750" t="inlineStr">
        <is>
          <t>x10.8</t>
        </is>
      </c>
      <c r="J31" s="751" t="n"/>
    </row>
    <row r="32" ht="18" customHeight="1" s="981">
      <c r="A32" s="752" t="n">
        <v>22</v>
      </c>
      <c r="B32" s="752" t="n">
        <v>52</v>
      </c>
      <c r="C32" s="753" t="n">
        <v>753069578</v>
      </c>
      <c r="D32" s="753" t="n">
        <v>1676134949</v>
      </c>
      <c r="E32" s="753" t="n">
        <v>2998230175</v>
      </c>
      <c r="F32" s="753" t="n">
        <v>7647155052</v>
      </c>
      <c r="G32" s="754" t="n">
        <v>3896196960</v>
      </c>
      <c r="H32" s="755" t="n">
        <v>2973131589</v>
      </c>
      <c r="I32" s="756" t="inlineStr">
        <is>
          <t>x12.1</t>
        </is>
      </c>
      <c r="J32" s="757" t="n"/>
    </row>
    <row r="33" ht="18" customHeight="1" s="981">
      <c r="A33" s="746" t="n">
        <v>23</v>
      </c>
      <c r="B33" s="746" t="n">
        <v>53</v>
      </c>
      <c r="C33" s="747" t="n">
        <v>813315144</v>
      </c>
      <c r="D33" s="747" t="n">
        <v>1877271143</v>
      </c>
      <c r="E33" s="747" t="n">
        <v>3447964701</v>
      </c>
      <c r="F33" s="747" t="n">
        <v>9176586062</v>
      </c>
      <c r="G33" s="748" t="n">
        <v>4387740595</v>
      </c>
      <c r="H33" s="749" t="n">
        <v>3323784597</v>
      </c>
      <c r="I33" s="750" t="inlineStr">
        <is>
          <t>x13.6</t>
        </is>
      </c>
      <c r="J33" s="751" t="n"/>
    </row>
    <row r="34" ht="18" customHeight="1" s="981">
      <c r="A34" s="752" t="n">
        <v>24</v>
      </c>
      <c r="B34" s="752" t="n">
        <v>54</v>
      </c>
      <c r="C34" s="753" t="n">
        <v>878380356</v>
      </c>
      <c r="D34" s="753" t="n">
        <v>2102543680</v>
      </c>
      <c r="E34" s="753" t="n">
        <v>3965159406</v>
      </c>
      <c r="F34" s="753" t="n">
        <v>11011903275</v>
      </c>
      <c r="G34" s="754" t="n">
        <v>4938269467</v>
      </c>
      <c r="H34" s="755" t="n">
        <v>3714106143</v>
      </c>
      <c r="I34" s="756" t="inlineStr">
        <is>
          <t>x15.2</t>
        </is>
      </c>
      <c r="J34" s="757" t="n"/>
    </row>
    <row r="35" ht="18" customHeight="1" s="981">
      <c r="A35" s="746" t="n">
        <v>25</v>
      </c>
      <c r="B35" s="746" t="n">
        <v>55</v>
      </c>
      <c r="C35" s="747" t="n">
        <v>948650784</v>
      </c>
      <c r="D35" s="747" t="n">
        <v>2354848922</v>
      </c>
      <c r="E35" s="747" t="n">
        <v>4559933317</v>
      </c>
      <c r="F35" s="747" t="n">
        <v>13214283930</v>
      </c>
      <c r="G35" s="748" t="n">
        <v>5554861803</v>
      </c>
      <c r="H35" s="749" t="n">
        <v>4148663666</v>
      </c>
      <c r="I35" s="750" t="inlineStr">
        <is>
          <t>x17</t>
        </is>
      </c>
      <c r="J35" s="751" t="n"/>
    </row>
    <row r="36" ht="18" customHeight="1" s="981">
      <c r="A36" s="752" t="n">
        <v>26</v>
      </c>
      <c r="B36" s="752" t="n">
        <v>56</v>
      </c>
      <c r="C36" s="763" t="n">
        <v>1024542847</v>
      </c>
      <c r="D36" s="729" t="n">
        <v>2637430792</v>
      </c>
      <c r="E36" s="764" t="n">
        <v>5243923314</v>
      </c>
      <c r="F36" s="765" t="n">
        <v>15857140715</v>
      </c>
      <c r="G36" s="754" t="n">
        <v>6245445219</v>
      </c>
      <c r="H36" s="755" t="n">
        <v>4632557274</v>
      </c>
      <c r="I36" s="756" t="inlineStr">
        <is>
          <t>x19</t>
        </is>
      </c>
      <c r="J36" s="757" t="n"/>
    </row>
    <row r="37" ht="18" customHeight="1" s="981">
      <c r="A37" s="746" t="n">
        <v>27</v>
      </c>
      <c r="B37" s="746" t="n">
        <v>57</v>
      </c>
      <c r="C37" s="766" t="n">
        <v>1106506275</v>
      </c>
      <c r="D37" s="733" t="n">
        <v>2953922487</v>
      </c>
      <c r="E37" s="767" t="n">
        <v>6030511812</v>
      </c>
      <c r="F37" s="768" t="n">
        <v>19028568859</v>
      </c>
      <c r="G37" s="748" t="n">
        <v>7018898646</v>
      </c>
      <c r="H37" s="749" t="n">
        <v>5171482433</v>
      </c>
      <c r="I37" s="750" t="inlineStr">
        <is>
          <t>x21.3</t>
        </is>
      </c>
      <c r="J37" s="751" t="n"/>
    </row>
    <row r="38" ht="18" customHeight="1" s="981">
      <c r="A38" s="752" t="n">
        <v>28</v>
      </c>
      <c r="B38" s="752" t="n">
        <v>58</v>
      </c>
      <c r="C38" s="763" t="n">
        <v>1195026777</v>
      </c>
      <c r="D38" s="729" t="n">
        <v>3308393186</v>
      </c>
      <c r="E38" s="764" t="n">
        <v>6935088583</v>
      </c>
      <c r="F38" s="765" t="n">
        <v>22834282630</v>
      </c>
      <c r="G38" s="754" t="n">
        <v>7885166483</v>
      </c>
      <c r="H38" s="755" t="n">
        <v>5771800074</v>
      </c>
      <c r="I38" s="756" t="inlineStr">
        <is>
          <t>x23.9</t>
        </is>
      </c>
      <c r="J38" s="757" t="n"/>
    </row>
    <row r="39" ht="18" customHeight="1" s="981">
      <c r="A39" s="746" t="n">
        <v>29</v>
      </c>
      <c r="B39" s="746" t="n">
        <v>59</v>
      </c>
      <c r="C39" s="766" t="n">
        <v>1290628919</v>
      </c>
      <c r="D39" s="733" t="n">
        <v>3705400368</v>
      </c>
      <c r="E39" s="767" t="n">
        <v>7975351871</v>
      </c>
      <c r="F39" s="768" t="n">
        <v>27401139156</v>
      </c>
      <c r="G39" s="748" t="n">
        <v>8855386461</v>
      </c>
      <c r="H39" s="749" t="n">
        <v>6440615012</v>
      </c>
      <c r="I39" s="750" t="inlineStr">
        <is>
          <t>x26.7</t>
        </is>
      </c>
      <c r="J39" s="751" t="n"/>
    </row>
    <row r="40" ht="19.5" customHeight="1" s="981">
      <c r="A40" s="255" t="n">
        <v>30</v>
      </c>
      <c r="B40" s="758" t="n">
        <v>60</v>
      </c>
      <c r="C40" s="769" t="n">
        <v>1393879232</v>
      </c>
      <c r="D40" s="770" t="n">
        <v>4150048412</v>
      </c>
      <c r="E40" s="771" t="n">
        <v>9171654651</v>
      </c>
      <c r="F40" s="772" t="n">
        <v>32881366988</v>
      </c>
      <c r="G40" s="760" t="n">
        <v>9942032836</v>
      </c>
      <c r="H40" s="761" t="n">
        <v>7185863656</v>
      </c>
      <c r="I40" s="255" t="inlineStr">
        <is>
          <t>x30</t>
        </is>
      </c>
      <c r="J40" s="762" t="inlineStr">
        <is>
          <t>Tai san dat moc 4 ty</t>
        </is>
      </c>
    </row>
    <row r="41" ht="18" customHeight="1" s="981">
      <c r="A41" s="746" t="n">
        <v>31</v>
      </c>
      <c r="B41" s="746" t="n">
        <v>61</v>
      </c>
      <c r="C41" s="766" t="n">
        <v>1505389571</v>
      </c>
      <c r="D41" s="733" t="n">
        <v>4648054222</v>
      </c>
      <c r="E41" s="767" t="n">
        <v>10547402849</v>
      </c>
      <c r="F41" s="768" t="n">
        <v>39457640385</v>
      </c>
      <c r="G41" s="748" t="n">
        <v>11159076777</v>
      </c>
      <c r="H41" s="749" t="n">
        <v>8016412126</v>
      </c>
      <c r="I41" s="750" t="inlineStr">
        <is>
          <t>x33.6</t>
        </is>
      </c>
      <c r="J41" s="751" t="n"/>
    </row>
    <row r="42" ht="18" customHeight="1" s="981">
      <c r="A42" s="752" t="n">
        <v>32</v>
      </c>
      <c r="B42" s="752" t="n">
        <v>62</v>
      </c>
      <c r="C42" s="763" t="n">
        <v>1625820737</v>
      </c>
      <c r="D42" s="729" t="n">
        <v>5205820728</v>
      </c>
      <c r="E42" s="764" t="n">
        <v>12129513277</v>
      </c>
      <c r="F42" s="765" t="n">
        <v>47349168462</v>
      </c>
      <c r="G42" s="754" t="n">
        <v>12522165990</v>
      </c>
      <c r="H42" s="755" t="n">
        <v>8942165998</v>
      </c>
      <c r="I42" s="756" t="inlineStr">
        <is>
          <t>x37.6</t>
        </is>
      </c>
      <c r="J42" s="757" t="n"/>
    </row>
    <row r="43" ht="18" customHeight="1" s="981">
      <c r="A43" s="746" t="n">
        <v>33</v>
      </c>
      <c r="B43" s="746" t="n">
        <v>63</v>
      </c>
      <c r="C43" s="766" t="n">
        <v>1755886395</v>
      </c>
      <c r="D43" s="733" t="n">
        <v>5830519216</v>
      </c>
      <c r="E43" s="767" t="n">
        <v>13948940268</v>
      </c>
      <c r="F43" s="768" t="n">
        <v>56819002154</v>
      </c>
      <c r="G43" s="748" t="n">
        <v>14048825909</v>
      </c>
      <c r="H43" s="749" t="n">
        <v>9974193089</v>
      </c>
      <c r="I43" s="750" t="inlineStr">
        <is>
          <t>x42.1</t>
        </is>
      </c>
      <c r="J43" s="751" t="n"/>
    </row>
    <row r="44" ht="18" customHeight="1" s="981">
      <c r="A44" s="752" t="n">
        <v>34</v>
      </c>
      <c r="B44" s="752" t="n">
        <v>64</v>
      </c>
      <c r="C44" s="763" t="n">
        <v>1896357307</v>
      </c>
      <c r="D44" s="729" t="n">
        <v>6530181522</v>
      </c>
      <c r="E44" s="764" t="n">
        <v>16041281308</v>
      </c>
      <c r="F44" s="765" t="n">
        <v>68182802585</v>
      </c>
      <c r="G44" s="754" t="n">
        <v>15758685018</v>
      </c>
      <c r="H44" s="755" t="n">
        <v>11124860803</v>
      </c>
      <c r="I44" s="756" t="inlineStr">
        <is>
          <t>x47.1</t>
        </is>
      </c>
      <c r="J44" s="757" t="n"/>
    </row>
    <row r="45" ht="18" customHeight="1" s="981">
      <c r="A45" s="746" t="n">
        <v>35</v>
      </c>
      <c r="B45" s="746" t="n">
        <v>65</v>
      </c>
      <c r="C45" s="766" t="n">
        <v>2048065892</v>
      </c>
      <c r="D45" s="733" t="n">
        <v>7313803304</v>
      </c>
      <c r="E45" s="767" t="n">
        <v>18447473504</v>
      </c>
      <c r="F45" s="768" t="n">
        <v>81819363102</v>
      </c>
      <c r="G45" s="748" t="n">
        <v>17673727220</v>
      </c>
      <c r="H45" s="749" t="n">
        <v>12407989807</v>
      </c>
      <c r="I45" s="750" t="inlineStr">
        <is>
          <t>x52.8</t>
        </is>
      </c>
      <c r="J45" s="751" t="n"/>
    </row>
    <row r="46" ht="18" customHeight="1" s="981">
      <c r="A46" s="752" t="n">
        <v>36</v>
      </c>
      <c r="B46" s="752" t="n">
        <v>66</v>
      </c>
      <c r="C46" s="763" t="n">
        <v>2211911163</v>
      </c>
      <c r="D46" s="729" t="n">
        <v>8191459701</v>
      </c>
      <c r="E46" s="764" t="n">
        <v>21214594530</v>
      </c>
      <c r="F46" s="765" t="n">
        <v>98183235723</v>
      </c>
      <c r="G46" s="754" t="n">
        <v>19818574486</v>
      </c>
      <c r="H46" s="755" t="n">
        <v>13839025949</v>
      </c>
      <c r="I46" s="756" t="inlineStr">
        <is>
          <t>x59.1</t>
        </is>
      </c>
      <c r="J46" s="757" t="n"/>
    </row>
    <row r="47" ht="18" customHeight="1" s="981">
      <c r="A47" s="746" t="n">
        <v>37</v>
      </c>
      <c r="B47" s="746" t="n">
        <v>67</v>
      </c>
      <c r="C47" s="766" t="n">
        <v>2388864056</v>
      </c>
      <c r="D47" s="733" t="n">
        <v>9174434865</v>
      </c>
      <c r="E47" s="767" t="n">
        <v>24396783710</v>
      </c>
      <c r="F47" s="768" t="n">
        <v>117819882868</v>
      </c>
      <c r="G47" s="748" t="n">
        <v>22220803425</v>
      </c>
      <c r="H47" s="749" t="n">
        <v>15435232616</v>
      </c>
      <c r="I47" s="750" t="inlineStr">
        <is>
          <t>x66.2</t>
        </is>
      </c>
      <c r="J47" s="751" t="n"/>
    </row>
    <row r="48" ht="18" customHeight="1" s="981">
      <c r="A48" s="752" t="n">
        <v>38</v>
      </c>
      <c r="B48" s="752" t="n">
        <v>68</v>
      </c>
      <c r="C48" s="763" t="n">
        <v>2579973181</v>
      </c>
      <c r="D48" s="729" t="n">
        <v>10275367048</v>
      </c>
      <c r="E48" s="764" t="n">
        <v>28056301266</v>
      </c>
      <c r="F48" s="765" t="n">
        <v>141383859441</v>
      </c>
      <c r="G48" s="754" t="n">
        <v>24911299836</v>
      </c>
      <c r="H48" s="755" t="n">
        <v>17215905968</v>
      </c>
      <c r="I48" s="756" t="inlineStr">
        <is>
          <t>x74.2</t>
        </is>
      </c>
      <c r="J48" s="757" t="n"/>
    </row>
    <row r="49" ht="18" customHeight="1" s="981">
      <c r="A49" s="746" t="n">
        <v>39</v>
      </c>
      <c r="B49" s="746" t="n">
        <v>69</v>
      </c>
      <c r="C49" s="766" t="n">
        <v>2786371035</v>
      </c>
      <c r="D49" s="733" t="n">
        <v>11508411094</v>
      </c>
      <c r="E49" s="767" t="n">
        <v>32264746456</v>
      </c>
      <c r="F49" s="768" t="n">
        <v>169660631329</v>
      </c>
      <c r="G49" s="748" t="n">
        <v>27924655816</v>
      </c>
      <c r="H49" s="749" t="n">
        <v>19202615757</v>
      </c>
      <c r="I49" s="750" t="inlineStr">
        <is>
          <t>x83.1</t>
        </is>
      </c>
      <c r="J49" s="751" t="n"/>
    </row>
    <row r="50" ht="18" customHeight="1" s="981">
      <c r="A50" s="752" t="n">
        <v>40</v>
      </c>
      <c r="B50" s="752" t="n">
        <v>70</v>
      </c>
      <c r="C50" s="763" t="n">
        <v>3009280718</v>
      </c>
      <c r="D50" s="729" t="n">
        <v>12889420426</v>
      </c>
      <c r="E50" s="764" t="n">
        <v>37104458424</v>
      </c>
      <c r="F50" s="765" t="n">
        <v>203592757595</v>
      </c>
      <c r="G50" s="754" t="n">
        <v>31299614514</v>
      </c>
      <c r="H50" s="755" t="n">
        <v>21419474806</v>
      </c>
      <c r="I50" s="756" t="inlineStr">
        <is>
          <t>x93.1</t>
        </is>
      </c>
      <c r="J50" s="757" t="inlineStr">
        <is>
          <t>Huu tri - 50 nam tich san</t>
        </is>
      </c>
    </row>
    <row r="51" ht="18" customHeight="1" s="981">
      <c r="A51" s="746" t="n">
        <v>41</v>
      </c>
      <c r="B51" s="746" t="n">
        <v>71</v>
      </c>
      <c r="C51" s="766" t="n">
        <v>3250023175</v>
      </c>
      <c r="D51" s="733" t="n">
        <v>14436150876</v>
      </c>
      <c r="E51" s="767" t="n">
        <v>42670127188</v>
      </c>
      <c r="F51" s="768" t="n">
        <v>244311309114</v>
      </c>
      <c r="G51" s="748" t="n">
        <v>36191728768</v>
      </c>
      <c r="H51" s="749" t="n">
        <v>2891242379</v>
      </c>
      <c r="I51" s="750" t="inlineStr">
        <is>
          <t>x104</t>
        </is>
      </c>
      <c r="J51" s="751" t="n"/>
    </row>
    <row r="52" ht="18" customHeight="1" s="981">
      <c r="A52" s="752" t="n">
        <v>42</v>
      </c>
      <c r="B52" s="752" t="n">
        <v>72</v>
      </c>
      <c r="C52" s="763" t="n">
        <v>3510025029</v>
      </c>
      <c r="D52" s="729" t="n">
        <v>16168488981</v>
      </c>
      <c r="E52" s="764" t="n">
        <v>49070646266</v>
      </c>
      <c r="F52" s="765" t="n">
        <v>293173570936</v>
      </c>
      <c r="G52" s="754" t="n">
        <v>40560029216</v>
      </c>
      <c r="H52" s="755" t="n">
        <v>3113645639</v>
      </c>
      <c r="I52" s="756" t="inlineStr">
        <is>
          <t>x117</t>
        </is>
      </c>
      <c r="J52" s="757" t="n"/>
    </row>
    <row r="53" ht="18" customHeight="1" s="981">
      <c r="A53" s="746" t="n">
        <v>43</v>
      </c>
      <c r="B53" s="746" t="n">
        <v>73</v>
      </c>
      <c r="C53" s="766" t="n">
        <v>3790827031</v>
      </c>
      <c r="D53" s="733" t="n">
        <v>18108707659</v>
      </c>
      <c r="E53" s="767" t="n">
        <v>56431243206</v>
      </c>
      <c r="F53" s="768" t="n">
        <v>351808285124</v>
      </c>
      <c r="G53" s="748" t="n">
        <v>45452525718</v>
      </c>
      <c r="H53" s="749" t="n">
        <v>3353156842</v>
      </c>
      <c r="I53" s="750" t="inlineStr">
        <is>
          <t>x131</t>
        </is>
      </c>
      <c r="J53" s="751" t="n"/>
    </row>
    <row r="54" ht="18" customHeight="1" s="981">
      <c r="A54" s="752" t="n">
        <v>44</v>
      </c>
      <c r="B54" s="752" t="n">
        <v>74</v>
      </c>
      <c r="C54" s="763" t="n">
        <v>4094093194</v>
      </c>
      <c r="D54" s="729" t="n">
        <v>20281752578</v>
      </c>
      <c r="E54" s="764" t="n">
        <v>64895929687</v>
      </c>
      <c r="F54" s="765" t="n">
        <v>422169942149</v>
      </c>
      <c r="G54" s="754" t="n">
        <v>50932121800</v>
      </c>
      <c r="H54" s="755" t="n">
        <v>3611091984</v>
      </c>
      <c r="I54" s="756" t="inlineStr">
        <is>
          <t>x146</t>
        </is>
      </c>
      <c r="J54" s="757" t="n"/>
    </row>
    <row r="55" ht="18" customHeight="1" s="981">
      <c r="A55" s="746" t="n">
        <v>45</v>
      </c>
      <c r="B55" s="746" t="n">
        <v>75</v>
      </c>
      <c r="C55" s="766" t="n">
        <v>4421620649</v>
      </c>
      <c r="D55" s="733" t="n">
        <v>22715562888</v>
      </c>
      <c r="E55" s="767" t="n">
        <v>74630319140</v>
      </c>
      <c r="F55" s="768" t="n">
        <v>506603930578</v>
      </c>
      <c r="G55" s="748" t="n">
        <v>57069269412</v>
      </c>
      <c r="H55" s="749" t="n">
        <v>3888868290</v>
      </c>
      <c r="I55" s="750" t="inlineStr">
        <is>
          <t>x164</t>
        </is>
      </c>
      <c r="J55" s="751" t="n"/>
    </row>
    <row r="56" ht="18" customHeight="1" s="981">
      <c r="A56" s="752" t="n">
        <v>46</v>
      </c>
      <c r="B56" s="752" t="n">
        <v>76</v>
      </c>
      <c r="C56" s="763" t="n">
        <v>4775350301</v>
      </c>
      <c r="D56" s="729" t="n">
        <v>25441430434</v>
      </c>
      <c r="E56" s="764" t="n">
        <v>85824867011</v>
      </c>
      <c r="F56" s="765" t="n">
        <v>607924716694</v>
      </c>
      <c r="G56" s="754" t="n">
        <v>63942874737</v>
      </c>
      <c r="H56" s="755" t="n">
        <v>4188012005</v>
      </c>
      <c r="I56" s="756" t="inlineStr">
        <is>
          <t>x184</t>
        </is>
      </c>
      <c r="J56" s="757" t="n"/>
    </row>
    <row r="57" ht="18" customHeight="1" s="981">
      <c r="A57" s="746" t="n">
        <v>47</v>
      </c>
      <c r="B57" s="746" t="n">
        <v>77</v>
      </c>
      <c r="C57" s="766" t="n">
        <v>5157378325</v>
      </c>
      <c r="D57" s="733" t="n">
        <v>28494402086</v>
      </c>
      <c r="E57" s="767" t="n">
        <v>98698597063</v>
      </c>
      <c r="F57" s="768" t="n">
        <v>729509660033</v>
      </c>
      <c r="G57" s="748" t="n">
        <v>71641312701</v>
      </c>
      <c r="H57" s="749" t="n">
        <v>4510166775</v>
      </c>
      <c r="I57" s="750" t="inlineStr">
        <is>
          <t>x206</t>
        </is>
      </c>
      <c r="J57" s="751" t="n"/>
    </row>
    <row r="58" ht="18" customHeight="1" s="981">
      <c r="A58" s="752" t="n">
        <v>48</v>
      </c>
      <c r="B58" s="752" t="n">
        <v>78</v>
      </c>
      <c r="C58" s="763" t="n">
        <v>5569968591</v>
      </c>
      <c r="D58" s="729" t="n">
        <v>31913730337</v>
      </c>
      <c r="E58" s="764" t="n">
        <v>113503386622</v>
      </c>
      <c r="F58" s="765" t="n">
        <v>875411592040</v>
      </c>
      <c r="G58" s="754" t="n">
        <v>80263563221</v>
      </c>
      <c r="H58" s="755" t="n">
        <v>4857102680</v>
      </c>
      <c r="I58" s="756" t="inlineStr">
        <is>
          <t>x230</t>
        </is>
      </c>
      <c r="J58" s="757" t="n"/>
    </row>
    <row r="59" ht="18" customHeight="1" s="981">
      <c r="A59" s="746" t="n">
        <v>49</v>
      </c>
      <c r="B59" s="746" t="n">
        <v>79</v>
      </c>
      <c r="C59" s="766" t="n">
        <v>6015566079</v>
      </c>
      <c r="D59" s="733" t="n">
        <v>35743377977</v>
      </c>
      <c r="E59" s="767" t="n">
        <v>130528894615</v>
      </c>
      <c r="F59" s="768" t="n">
        <v>1050493910448</v>
      </c>
      <c r="G59" s="748" t="n">
        <v>89920483804</v>
      </c>
      <c r="H59" s="749" t="n">
        <v>5230725963</v>
      </c>
      <c r="I59" s="750" t="inlineStr">
        <is>
          <t>x258</t>
        </is>
      </c>
      <c r="J59" s="751" t="n"/>
    </row>
    <row r="60" ht="19.5" customHeight="1" s="981">
      <c r="A60" s="255" t="n">
        <v>50</v>
      </c>
      <c r="B60" s="758" t="n">
        <v>80</v>
      </c>
      <c r="C60" s="769" t="n">
        <v>6496811365</v>
      </c>
      <c r="D60" s="770" t="n">
        <v>40032583335</v>
      </c>
      <c r="E60" s="771" t="n">
        <v>150108228808</v>
      </c>
      <c r="F60" s="772" t="n">
        <v>1260592692538</v>
      </c>
      <c r="G60" s="760" t="n">
        <v>100736234856</v>
      </c>
      <c r="H60" s="761" t="n">
        <v>5633089499</v>
      </c>
      <c r="I60" s="255" t="inlineStr">
        <is>
          <t>x289</t>
        </is>
      </c>
      <c r="J60" s="762" t="inlineStr">
        <is>
          <t>★★★★★ Di sản tích lũy</t>
        </is>
      </c>
    </row>
    <row r="61" ht="15" customHeight="1" s="981">
      <c r="A61" s="1050" t="n"/>
      <c r="B61" s="1050" t="n"/>
      <c r="C61" s="1050" t="n"/>
      <c r="D61" s="1050" t="n"/>
      <c r="E61" s="1050" t="n"/>
      <c r="F61" s="1050" t="n"/>
      <c r="G61" s="1050" t="n"/>
      <c r="H61" s="1050" t="n"/>
      <c r="I61" s="1050" t="n"/>
      <c r="J61" s="1050" t="n"/>
    </row>
    <row r="62" ht="15" customHeight="1" s="981">
      <c r="A62" s="1050" t="n"/>
      <c r="B62" s="1050" t="n"/>
      <c r="C62" s="1050" t="n"/>
      <c r="D62" s="1050" t="n"/>
      <c r="E62" s="1050" t="n"/>
      <c r="F62" s="1050" t="n"/>
      <c r="G62" s="1050" t="n"/>
      <c r="H62" s="1050" t="n"/>
      <c r="I62" s="1050" t="n"/>
      <c r="J62" s="1050" t="n"/>
    </row>
    <row r="63" ht="21.75" customHeight="1" s="981">
      <c r="A63" s="1204" t="inlineStr">
        <is>
          <t>◆  CÁC MỐC QUAN TRỌNG — CAGR 12% + DCA 2M/tháng</t>
        </is>
      </c>
      <c r="B63" s="965" t="n"/>
      <c r="C63" s="965" t="n"/>
      <c r="D63" s="965" t="n"/>
      <c r="E63" s="965" t="n"/>
      <c r="F63" s="965" t="n"/>
      <c r="G63" s="965" t="n"/>
      <c r="H63" s="965" t="n"/>
      <c r="I63" s="965" t="n"/>
      <c r="J63" s="966" t="n"/>
    </row>
    <row r="64" ht="25.5" customHeight="1" s="981">
      <c r="A64" s="728" t="inlineStr">
        <is>
          <t>NĂM</t>
        </is>
      </c>
      <c r="B64" s="728" t="inlineStr">
        <is>
          <t>TUỔI</t>
        </is>
      </c>
      <c r="C64" s="728" t="inlineStr">
        <is>
          <t>Không DCA (tỷ ₫)</t>
        </is>
      </c>
      <c r="D64" s="728" t="inlineStr">
        <is>
          <t>Có DCA (tỷ ₫)</t>
        </is>
      </c>
      <c r="E64" s="728" t="inlineStr">
        <is>
          <t>x Vốn ban đầu</t>
        </is>
      </c>
      <c r="F64" s="728" t="inlineStr">
        <is>
          <t>Tương đương</t>
        </is>
      </c>
      <c r="G64" s="728" t="inlineStr">
        <is>
          <t>Ghi chú</t>
        </is>
      </c>
      <c r="H64" s="1050" t="n"/>
      <c r="I64" s="1050" t="n"/>
      <c r="J64" s="1050" t="n"/>
    </row>
    <row r="65" ht="21.75" customHeight="1" s="981">
      <c r="A65" s="1217" t="inlineStr">
        <is>
          <t>5 năm</t>
        </is>
      </c>
      <c r="B65" s="1217" t="inlineStr">
        <is>
          <t>Tuổi 35</t>
        </is>
      </c>
      <c r="C65" s="773" t="inlineStr">
        <is>
          <t>0.24 tỷ</t>
        </is>
      </c>
      <c r="D65" s="774" t="inlineStr">
        <is>
          <t>0.40 tỷ</t>
        </is>
      </c>
      <c r="E65" s="773" t="inlineStr">
        <is>
          <t>x3</t>
        </is>
      </c>
      <c r="F65" s="773" t="inlineStr">
        <is>
          <t>405M VNĐ</t>
        </is>
      </c>
      <c r="G65" s="773" t="inlineStr">
        <is>
          <t>★ Đánh giá 5 năm</t>
        </is>
      </c>
      <c r="H65" s="1050" t="n"/>
      <c r="I65" s="1050" t="n"/>
      <c r="J65" s="1050" t="n"/>
    </row>
    <row r="66" ht="21.75" customHeight="1" s="981">
      <c r="A66" s="1217" t="inlineStr">
        <is>
          <t>10 năm</t>
        </is>
      </c>
      <c r="B66" s="1217" t="inlineStr">
        <is>
          <t>Tuổi 40</t>
        </is>
      </c>
      <c r="C66" s="773" t="inlineStr">
        <is>
          <t>0.43 tỷ</t>
        </is>
      </c>
      <c r="D66" s="774" t="inlineStr">
        <is>
          <t>0.87 tỷ</t>
        </is>
      </c>
      <c r="E66" s="773" t="inlineStr">
        <is>
          <t>x6</t>
        </is>
      </c>
      <c r="F66" s="773" t="inlineStr">
        <is>
          <t>874M VNĐ</t>
        </is>
      </c>
      <c r="G66" s="773" t="inlineStr">
        <is>
          <t>★★ Mục tiêu trung hạn</t>
        </is>
      </c>
      <c r="H66" s="1050" t="n"/>
      <c r="I66" s="1050" t="n"/>
      <c r="J66" s="1050" t="n"/>
    </row>
    <row r="67" ht="21.75" customHeight="1" s="981">
      <c r="A67" s="1217" t="inlineStr">
        <is>
          <t>20 năm</t>
        </is>
      </c>
      <c r="B67" s="1217" t="inlineStr">
        <is>
          <t>Tuổi 50</t>
        </is>
      </c>
      <c r="C67" s="773" t="inlineStr">
        <is>
          <t>1.34 tỷ</t>
        </is>
      </c>
      <c r="D67" s="774" t="inlineStr">
        <is>
          <t>3.16 tỷ</t>
        </is>
      </c>
      <c r="E67" s="773" t="inlineStr">
        <is>
          <t>x23</t>
        </is>
      </c>
      <c r="F67" s="773" t="inlineStr">
        <is>
          <t>3.2 tỷ = 123191 USD</t>
        </is>
      </c>
      <c r="G67" s="773" t="inlineStr">
        <is>
          <t>★★★ Độc lập tài chính?</t>
        </is>
      </c>
      <c r="H67" s="1050" t="n"/>
      <c r="I67" s="1050" t="n"/>
      <c r="J67" s="1050" t="n"/>
    </row>
    <row r="68" ht="21.75" customHeight="1" s="981">
      <c r="A68" s="1217" t="inlineStr">
        <is>
          <t>30 năm</t>
        </is>
      </c>
      <c r="B68" s="1217" t="inlineStr">
        <is>
          <t>Tuổi 60</t>
        </is>
      </c>
      <c r="C68" s="773" t="inlineStr">
        <is>
          <t>4.15 tỷ</t>
        </is>
      </c>
      <c r="D68" s="774" t="inlineStr">
        <is>
          <t>10.25 tỷ</t>
        </is>
      </c>
      <c r="E68" s="773" t="inlineStr">
        <is>
          <t>x74</t>
        </is>
      </c>
      <c r="F68" s="773" t="inlineStr">
        <is>
          <t>10.3 tỷ = 399925 USD</t>
        </is>
      </c>
      <c r="G68" s="773" t="inlineStr">
        <is>
          <t>★★★★ Nghỉ hưu sớm</t>
        </is>
      </c>
      <c r="H68" s="1050" t="n"/>
      <c r="I68" s="1050" t="n"/>
      <c r="J68" s="1050" t="n"/>
    </row>
    <row r="69" ht="21.75" customHeight="1" s="981">
      <c r="A69" s="1217" t="inlineStr">
        <is>
          <t>50 năm</t>
        </is>
      </c>
      <c r="B69" s="1217" t="inlineStr">
        <is>
          <t>Tuổi 80</t>
        </is>
      </c>
      <c r="C69" s="773" t="inlineStr">
        <is>
          <t>40.03 tỷ</t>
        </is>
      </c>
      <c r="D69" s="774" t="inlineStr">
        <is>
          <t>100.74 tỷ</t>
        </is>
      </c>
      <c r="E69" s="773" t="inlineStr">
        <is>
          <t>x727</t>
        </is>
      </c>
      <c r="F69" s="773" t="inlineStr">
        <is>
          <t>100.7 tỷ = 3928870 USD</t>
        </is>
      </c>
      <c r="G69" s="773" t="inlineStr">
        <is>
          <t>★★★★★ Di sản tích lũy</t>
        </is>
      </c>
      <c r="H69" s="1050" t="n"/>
      <c r="I69" s="1050" t="n"/>
      <c r="J69" s="1050" t="n"/>
    </row>
    <row r="70" ht="13.5" customHeight="1" s="981"/>
    <row r="71" ht="13.5" customHeight="1" s="981"/>
    <row r="72" ht="13.5" customHeight="1" s="981"/>
    <row r="73" ht="13.5" customHeight="1" s="981"/>
    <row r="74" ht="13.5" customHeight="1" s="981"/>
    <row r="75" ht="13.5" customHeight="1" s="981"/>
    <row r="76" ht="13.5" customHeight="1" s="981"/>
    <row r="77" ht="13.5" customHeight="1" s="981"/>
    <row r="78" ht="13.5" customHeight="1" s="981"/>
    <row r="79" ht="13.5" customHeight="1" s="981"/>
    <row r="80" ht="13.5" customHeight="1" s="981"/>
    <row r="81" ht="13.5" customHeight="1" s="981"/>
    <row r="82" ht="13.5" customHeight="1" s="981"/>
    <row r="83" ht="13.5" customHeight="1" s="981"/>
    <row r="84" ht="13.5" customHeight="1" s="981"/>
    <row r="85" ht="13.5" customHeight="1" s="981"/>
    <row r="86" ht="13.5" customHeight="1" s="981"/>
    <row r="87" ht="13.5" customHeight="1" s="981"/>
    <row r="88" ht="13.5" customHeight="1" s="981"/>
    <row r="89" ht="13.5" customHeight="1" s="981"/>
    <row r="90" ht="13.5" customHeight="1" s="981"/>
    <row r="91" ht="13.5" customHeight="1" s="981"/>
    <row r="92" ht="13.5" customHeight="1" s="981"/>
    <row r="93" ht="13.5" customHeight="1" s="981"/>
    <row r="94" ht="13.5" customHeight="1" s="981"/>
    <row r="95" ht="13.5" customHeight="1" s="981"/>
    <row r="96" ht="13.5" customHeight="1" s="981"/>
    <row r="97" ht="13.5" customHeight="1" s="981"/>
    <row r="98" ht="13.5" customHeight="1" s="981"/>
    <row r="99" ht="13.5" customHeight="1" s="981"/>
    <row r="100" ht="13.5" customHeight="1" s="981"/>
    <row r="101" ht="13.5" customHeight="1" s="981"/>
    <row r="102" ht="13.5" customHeight="1" s="981"/>
    <row r="103" ht="13.5" customHeight="1" s="981"/>
    <row r="104" ht="13.5" customHeight="1" s="981"/>
    <row r="105" ht="13.5" customHeight="1" s="981"/>
    <row r="106" ht="13.5" customHeight="1" s="981"/>
  </sheetData>
  <mergeCells count="15">
    <mergeCell ref="A1:J1"/>
    <mergeCell ref="A4:C4"/>
    <mergeCell ref="E7:J7"/>
    <mergeCell ref="A5:C5"/>
    <mergeCell ref="A9:J9"/>
    <mergeCell ref="A8:C8"/>
    <mergeCell ref="A3:J3"/>
    <mergeCell ref="E5:J5"/>
    <mergeCell ref="A6:C6"/>
    <mergeCell ref="E8:J8"/>
    <mergeCell ref="A2:J2"/>
    <mergeCell ref="E4:J4"/>
    <mergeCell ref="A7:C7"/>
    <mergeCell ref="E6:J6"/>
    <mergeCell ref="A63:J63"/>
  </mergeCells>
  <pageMargins left="0.75" right="0.75" top="1" bottom="1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zoomScaleNormal="100" workbookViewId="0">
      <pane ySplit="16" topLeftCell="A17" activePane="bottomLeft" state="frozen"/>
      <selection pane="bottomLeft" activeCell="A1" sqref="A1"/>
    </sheetView>
  </sheetViews>
  <sheetFormatPr baseColWidth="8" defaultColWidth="8.6640625" defaultRowHeight="14.4"/>
  <cols>
    <col width="8" customWidth="1" style="981" min="1" max="1"/>
    <col width="13" customWidth="1" style="981" min="2" max="2"/>
    <col width="11" customWidth="1" style="981" min="4" max="4"/>
    <col width="10" customWidth="1" style="981" min="5" max="5"/>
    <col width="14" customWidth="1" style="981" min="7" max="7"/>
    <col width="12" customWidth="1" style="981" min="9" max="9"/>
    <col width="11" customWidth="1" style="981" min="11" max="11"/>
    <col width="22" customWidth="1" style="981" min="12" max="12"/>
  </cols>
  <sheetData>
    <row r="1" ht="30" customHeight="1" s="981">
      <c r="A1" s="1207" t="inlineStr">
        <is>
          <t>💰  THEO DÕI CỔ TỨC &amp; THUẾ TNCN  |  Danh mục 8 mã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5" customHeight="1" s="981">
      <c r="A2" s="1128" t="inlineStr">
        <is>
          <t>Thuế TNCN cổ tức = 5% × Cổ tức nhận | Thuế bán CK = 0.1% × Giá trị giao dịch | Nguồn: VPBank Securities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21.75" customHeight="1" s="981">
      <c r="A3" s="1047" t="inlineStr">
        <is>
          <t>◆  LỊCH CỔ TỨC 2025–2026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6" t="n"/>
    </row>
    <row r="4" ht="25.5" customHeight="1" s="981">
      <c r="A4" s="728" t="inlineStr">
        <is>
          <t>MÃ</t>
        </is>
      </c>
      <c r="B4" s="728" t="inlineStr">
        <is>
          <t>NGÀY CHỐT
QUYỀN</t>
        </is>
      </c>
      <c r="C4" s="728" t="inlineStr">
        <is>
          <t>NGÀY
THANH TOÁN</t>
        </is>
      </c>
      <c r="D4" s="728" t="inlineStr">
        <is>
          <t>LOẠI</t>
        </is>
      </c>
      <c r="E4" s="728" t="inlineStr">
        <is>
          <t>TỶ LỆ
(VNĐ/CP)</t>
        </is>
      </c>
      <c r="F4" s="728" t="inlineStr">
        <is>
          <t>SỐ CP</t>
        </is>
      </c>
      <c r="G4" s="728" t="inlineStr">
        <is>
          <t>CỔ TỨC
NHẬN (₫)</t>
        </is>
      </c>
      <c r="H4" s="728" t="inlineStr">
        <is>
          <t>THUẾ TNCN
5% (₫)</t>
        </is>
      </c>
      <c r="I4" s="728" t="inlineStr">
        <is>
          <t>THỰC NHẬN
(₫)</t>
        </is>
      </c>
      <c r="J4" s="728" t="inlineStr">
        <is>
          <t>CHỨNG TỪ</t>
        </is>
      </c>
      <c r="K4" s="728" t="inlineStr">
        <is>
          <t>ĐÃ NHẬN?</t>
        </is>
      </c>
      <c r="L4" s="728" t="inlineStr">
        <is>
          <t>GHI CHÚ</t>
        </is>
      </c>
    </row>
    <row r="5" ht="18" customHeight="1" s="981">
      <c r="A5" s="775" t="inlineStr">
        <is>
          <t>VNM</t>
        </is>
      </c>
      <c r="B5" s="776" t="n">
        <v>45905</v>
      </c>
      <c r="C5" s="776" t="n">
        <v>45920</v>
      </c>
      <c r="D5" s="777" t="inlineStr">
        <is>
          <t>Tiền mặt</t>
        </is>
      </c>
      <c r="E5" s="778" t="n">
        <v>2000</v>
      </c>
      <c r="F5" s="746" t="n">
        <v>200</v>
      </c>
      <c r="G5" s="779" t="n">
        <v>400000</v>
      </c>
      <c r="H5" s="780" t="n">
        <v>20000</v>
      </c>
      <c r="I5" s="781" t="n">
        <v>380000</v>
      </c>
      <c r="J5" s="782" t="inlineStr">
        <is>
          <t>VPB-2025-09</t>
        </is>
      </c>
      <c r="K5" s="783" t="inlineStr">
        <is>
          <t>✅</t>
        </is>
      </c>
      <c r="L5" s="736" t="inlineStr">
        <is>
          <t>Cổ tức Q2/2025</t>
        </is>
      </c>
    </row>
    <row r="6" ht="18" customHeight="1" s="981">
      <c r="A6" s="784" t="inlineStr">
        <is>
          <t>VNM</t>
        </is>
      </c>
      <c r="B6" s="785" t="n">
        <v>46001</v>
      </c>
      <c r="C6" s="785" t="n">
        <v>46016</v>
      </c>
      <c r="D6" s="786" t="inlineStr">
        <is>
          <t>Tiền mặt</t>
        </is>
      </c>
      <c r="E6" s="787" t="n">
        <v>2350</v>
      </c>
      <c r="F6" s="752" t="n">
        <v>200</v>
      </c>
      <c r="G6" s="788" t="n">
        <v>470000</v>
      </c>
      <c r="H6" s="789" t="n">
        <v>23500</v>
      </c>
      <c r="I6" s="790" t="n">
        <v>446500</v>
      </c>
      <c r="J6" s="791" t="inlineStr">
        <is>
          <t>VPB-2025-12</t>
        </is>
      </c>
      <c r="K6" s="792" t="inlineStr">
        <is>
          <t>✅</t>
        </is>
      </c>
      <c r="L6" s="732" t="inlineStr">
        <is>
          <t>Cổ tức Q4/2025</t>
        </is>
      </c>
    </row>
    <row r="7" ht="18" customHeight="1" s="981">
      <c r="A7" s="775" t="inlineStr">
        <is>
          <t>FPT</t>
        </is>
      </c>
      <c r="B7" s="776" t="n">
        <v>45981</v>
      </c>
      <c r="C7" s="776" t="n">
        <v>45996</v>
      </c>
      <c r="D7" s="777" t="inlineStr">
        <is>
          <t>Tiền mặt</t>
        </is>
      </c>
      <c r="E7" s="778" t="n">
        <v>1000</v>
      </c>
      <c r="F7" s="746" t="n">
        <v>200</v>
      </c>
      <c r="G7" s="779" t="n">
        <v>200000</v>
      </c>
      <c r="H7" s="780" t="n">
        <v>10000</v>
      </c>
      <c r="I7" s="781" t="n">
        <v>190000</v>
      </c>
      <c r="J7" s="782" t="inlineStr">
        <is>
          <t>VPB-2025-11</t>
        </is>
      </c>
      <c r="K7" s="783" t="inlineStr">
        <is>
          <t>✅</t>
        </is>
      </c>
      <c r="L7" s="736" t="inlineStr">
        <is>
          <t>Cổ tức năm 2025</t>
        </is>
      </c>
    </row>
    <row r="8" ht="18" customHeight="1" s="981">
      <c r="A8" s="784" t="inlineStr">
        <is>
          <t>MWG</t>
        </is>
      </c>
      <c r="B8" s="785" t="n">
        <v>46068</v>
      </c>
      <c r="C8" s="785" t="n">
        <v>46082</v>
      </c>
      <c r="D8" s="786" t="inlineStr">
        <is>
          <t>Tiền mặt</t>
        </is>
      </c>
      <c r="E8" s="787" t="n">
        <v>1000</v>
      </c>
      <c r="F8" s="752" t="n">
        <v>200</v>
      </c>
      <c r="G8" s="788" t="n">
        <v>200000</v>
      </c>
      <c r="H8" s="789" t="n">
        <v>10000</v>
      </c>
      <c r="I8" s="790" t="n">
        <v>190000</v>
      </c>
      <c r="J8" s="791" t="inlineStr">
        <is>
          <t>VPB-2026-02</t>
        </is>
      </c>
      <c r="K8" s="792" t="inlineStr">
        <is>
          <t>✅</t>
        </is>
      </c>
      <c r="L8" s="732" t="inlineStr">
        <is>
          <t>Cổ tức 2025</t>
        </is>
      </c>
    </row>
    <row r="9" ht="18" customHeight="1" s="981">
      <c r="A9" s="775" t="inlineStr">
        <is>
          <t>CTR</t>
        </is>
      </c>
      <c r="B9" s="776" t="n">
        <v>46091</v>
      </c>
      <c r="C9" s="776" t="n">
        <v>46106</v>
      </c>
      <c r="D9" s="777" t="inlineStr">
        <is>
          <t>Tiền mặt</t>
        </is>
      </c>
      <c r="E9" s="778" t="n">
        <v>1000</v>
      </c>
      <c r="F9" s="746" t="n">
        <v>500</v>
      </c>
      <c r="G9" s="779" t="n">
        <v>500000</v>
      </c>
      <c r="H9" s="780" t="n">
        <v>25000</v>
      </c>
      <c r="I9" s="781" t="n">
        <v>475000</v>
      </c>
      <c r="J9" s="782" t="inlineStr">
        <is>
          <t>VPB-2026-03</t>
        </is>
      </c>
      <c r="K9" s="783" t="inlineStr">
        <is>
          <t>✅</t>
        </is>
      </c>
      <c r="L9" s="736" t="inlineStr">
        <is>
          <t>Cổ tức 2025</t>
        </is>
      </c>
    </row>
    <row r="10" ht="18" customHeight="1" s="981">
      <c r="A10" s="784" t="inlineStr">
        <is>
          <t>HPG</t>
        </is>
      </c>
      <c r="B10" s="785" t="n">
        <v>46176</v>
      </c>
      <c r="C10" s="785" t="n">
        <v>46191</v>
      </c>
      <c r="D10" s="786" t="inlineStr">
        <is>
          <t>Tiền mặt</t>
        </is>
      </c>
      <c r="E10" s="787" t="n">
        <v>500</v>
      </c>
      <c r="F10" s="752" t="n">
        <v>200</v>
      </c>
      <c r="G10" s="788" t="n">
        <v>100000</v>
      </c>
      <c r="H10" s="789" t="n">
        <v>5000</v>
      </c>
      <c r="I10" s="790" t="n">
        <v>95000</v>
      </c>
      <c r="J10" s="791" t="inlineStr">
        <is>
          <t>—</t>
        </is>
      </c>
      <c r="K10" s="793" t="inlineStr">
        <is>
          <t>⏳</t>
        </is>
      </c>
      <c r="L10" s="732" t="inlineStr">
        <is>
          <t>Cổ tức 2025 — chờ thanh toán 03/06/2026</t>
        </is>
      </c>
    </row>
    <row r="11" ht="18" customHeight="1" s="981">
      <c r="A11" s="775" t="inlineStr">
        <is>
          <t>MBB</t>
        </is>
      </c>
      <c r="B11" s="776" t="inlineStr">
        <is>
          <t>15/01/2026</t>
        </is>
      </c>
      <c r="C11" s="776" t="n">
        <v>46144</v>
      </c>
      <c r="D11" s="777" t="inlineStr">
        <is>
          <t>Tien mat</t>
        </is>
      </c>
      <c r="E11" s="778" t="n">
        <v>550</v>
      </c>
      <c r="F11" s="746" t="n">
        <v>700</v>
      </c>
      <c r="G11" s="779" t="n">
        <v>385000</v>
      </c>
      <c r="H11" s="780" t="n">
        <v>19250</v>
      </c>
      <c r="I11" s="781" t="n">
        <v>365750</v>
      </c>
      <c r="J11" s="782" t="inlineStr">
        <is>
          <t>MBS-2026-01</t>
        </is>
      </c>
      <c r="K11" s="794" t="inlineStr">
        <is>
          <t>Yes</t>
        </is>
      </c>
      <c r="L11" s="736" t="inlineStr">
        <is>
          <t>Co tuc 2025</t>
        </is>
      </c>
    </row>
    <row r="12" ht="18" customHeight="1" s="981">
      <c r="A12" s="784" t="inlineStr">
        <is>
          <t>VCB</t>
        </is>
      </c>
      <c r="B12" s="785" t="inlineStr">
        <is>
          <t>15/08/2026</t>
        </is>
      </c>
      <c r="C12" s="785" t="n">
        <v>46031</v>
      </c>
      <c r="D12" s="786" t="inlineStr">
        <is>
          <t>Tien mat</t>
        </is>
      </c>
      <c r="E12" s="787" t="n">
        <v>1100</v>
      </c>
      <c r="F12" s="752" t="n">
        <v>100</v>
      </c>
      <c r="G12" s="788" t="n">
        <v>110000</v>
      </c>
      <c r="H12" s="789" t="n">
        <v>5500</v>
      </c>
      <c r="I12" s="790" t="n">
        <v>104500</v>
      </c>
      <c r="J12" s="791" t="inlineStr">
        <is>
          <t>VPB-2026-08</t>
        </is>
      </c>
      <c r="K12" s="793" t="inlineStr">
        <is>
          <t>Cho</t>
        </is>
      </c>
      <c r="L12" s="732" t="inlineStr">
        <is>
          <t>Co tuc 2025</t>
        </is>
      </c>
    </row>
    <row r="13" ht="18" customHeight="1" s="981">
      <c r="A13" s="775" t="inlineStr">
        <is>
          <t>FPT</t>
        </is>
      </c>
      <c r="B13" s="776" t="n">
        <v>46327</v>
      </c>
      <c r="C13" s="776" t="n">
        <v>46341</v>
      </c>
      <c r="D13" s="777" t="inlineStr">
        <is>
          <t>Tiền mặt</t>
        </is>
      </c>
      <c r="E13" s="778" t="n">
        <v>1000</v>
      </c>
      <c r="F13" s="746" t="n">
        <v>200</v>
      </c>
      <c r="G13" s="779" t="n">
        <v>200000</v>
      </c>
      <c r="H13" s="780" t="n">
        <v>10000</v>
      </c>
      <c r="I13" s="781" t="n">
        <v>190000</v>
      </c>
      <c r="J13" s="782" t="inlineStr">
        <is>
          <t>—</t>
        </is>
      </c>
      <c r="K13" s="777" t="inlineStr">
        <is>
          <t>📅</t>
        </is>
      </c>
      <c r="L13" s="736" t="inlineStr">
        <is>
          <t>Dự kiến cuối năm 2026</t>
        </is>
      </c>
    </row>
    <row r="14" ht="21.75" customHeight="1" s="981">
      <c r="A14" s="1209" t="inlineStr">
        <is>
          <t>TỔNG CỘNG ĐÃ NHẬN (✅)</t>
        </is>
      </c>
      <c r="B14" s="965" t="n"/>
      <c r="C14" s="965" t="n"/>
      <c r="D14" s="965" t="n"/>
      <c r="E14" s="965" t="n"/>
      <c r="F14" s="966" t="n"/>
      <c r="G14" s="795" t="n">
        <v>1770000</v>
      </c>
      <c r="H14" s="795" t="n">
        <v>88500</v>
      </c>
      <c r="I14" s="795" t="n">
        <v>1681500</v>
      </c>
      <c r="J14" s="1050" t="n"/>
      <c r="K14" s="1050" t="n"/>
      <c r="L14" s="1050" t="n"/>
    </row>
    <row r="15" ht="15" customHeight="1" s="981">
      <c r="A15" s="1050" t="n"/>
      <c r="B15" s="1050" t="n"/>
      <c r="C15" s="1050" t="n"/>
      <c r="D15" s="1050" t="n"/>
      <c r="E15" s="1050" t="n"/>
      <c r="F15" s="1050" t="n"/>
      <c r="G15" s="1050" t="n"/>
      <c r="H15" s="1050" t="n"/>
      <c r="I15" s="1050" t="n"/>
      <c r="J15" s="1050" t="n"/>
      <c r="K15" s="1050" t="n"/>
      <c r="L15" s="1050" t="n"/>
    </row>
    <row r="16" ht="21.75" customHeight="1" s="981">
      <c r="A16" s="1117" t="inlineStr">
        <is>
          <t>◆  THUẾ BÁN CHỨNG KHOÁN — Log giao dịch</t>
        </is>
      </c>
      <c r="B16" s="965" t="n"/>
      <c r="C16" s="965" t="n"/>
      <c r="D16" s="965" t="n"/>
      <c r="E16" s="965" t="n"/>
      <c r="F16" s="965" t="n"/>
      <c r="G16" s="965" t="n"/>
      <c r="H16" s="965" t="n"/>
      <c r="I16" s="965" t="n"/>
      <c r="J16" s="965" t="n"/>
      <c r="K16" s="965" t="n"/>
      <c r="L16" s="966" t="n"/>
    </row>
    <row r="17" ht="25.5" customHeight="1" s="981">
      <c r="A17" s="728" t="inlineStr">
        <is>
          <t>NGÀY BÁN</t>
        </is>
      </c>
      <c r="B17" s="728" t="inlineStr">
        <is>
          <t>MÃ</t>
        </is>
      </c>
      <c r="C17" s="728" t="inlineStr">
        <is>
          <t>SỐ CP BÁN</t>
        </is>
      </c>
      <c r="D17" s="728" t="inlineStr">
        <is>
          <t>GIÁ BÁN (₫)</t>
        </is>
      </c>
      <c r="E17" s="728" t="inlineStr">
        <is>
          <t>GT BÁN (₫)</t>
        </is>
      </c>
      <c r="F17" s="728" t="inlineStr">
        <is>
          <t>THUẾ 0.1% (₫)</t>
        </is>
      </c>
      <c r="G17" s="728" t="inlineStr">
        <is>
          <t>CÔNG TY CK</t>
        </is>
      </c>
      <c r="H17" s="728" t="inlineStr">
        <is>
          <t>CHỨNG TỪ SỐ</t>
        </is>
      </c>
      <c r="I17" s="728" t="inlineStr">
        <is>
          <t>TRẠNG THÁI</t>
        </is>
      </c>
      <c r="J17" s="728" t="inlineStr">
        <is>
          <t>NĂM QT</t>
        </is>
      </c>
      <c r="K17" s="728" t="inlineStr">
        <is>
          <t>GHI CHÚ</t>
        </is>
      </c>
      <c r="L17" s="728" t="n"/>
    </row>
    <row r="18" ht="18" customHeight="1" s="981">
      <c r="A18" s="785" t="n">
        <v>46037</v>
      </c>
      <c r="B18" s="784" t="inlineStr">
        <is>
          <t>VIX</t>
        </is>
      </c>
      <c r="C18" s="752" t="n">
        <v>200</v>
      </c>
      <c r="D18" s="752" t="n">
        <v>14000</v>
      </c>
      <c r="E18" s="752" t="n">
        <v>2800000</v>
      </c>
      <c r="F18" s="752" t="n">
        <v>2800</v>
      </c>
      <c r="G18" s="732" t="inlineStr">
        <is>
          <t>VPBank Sec</t>
        </is>
      </c>
      <c r="H18" s="732" t="inlineStr">
        <is>
          <t>VPB-T-2601</t>
        </is>
      </c>
      <c r="I18" s="732" t="inlineStr">
        <is>
          <t>Đã khấu trừ</t>
        </is>
      </c>
      <c r="J18" s="752" t="n">
        <v>2026</v>
      </c>
      <c r="K18" s="732" t="inlineStr">
        <is>
          <t>Chốt lời một phần VIX trước Tết</t>
        </is>
      </c>
      <c r="L18" s="732" t="n"/>
    </row>
    <row r="19" ht="15" customHeight="1" s="981">
      <c r="A19" s="1050" t="n"/>
      <c r="B19" s="1050" t="n"/>
      <c r="C19" s="1050" t="n"/>
      <c r="D19" s="1050" t="n"/>
      <c r="E19" s="1050" t="n"/>
      <c r="F19" s="1050" t="n"/>
      <c r="G19" s="1050" t="n"/>
      <c r="H19" s="1050" t="n"/>
      <c r="I19" s="1050" t="n"/>
      <c r="J19" s="1050" t="n"/>
      <c r="K19" s="1050" t="n"/>
      <c r="L19" s="1050" t="n"/>
    </row>
    <row r="20" ht="15" customHeight="1" s="981">
      <c r="A20" s="1050" t="n"/>
      <c r="B20" s="1050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  <c r="K20" s="1050" t="n"/>
      <c r="L20" s="1050" t="n"/>
    </row>
    <row r="21" ht="21.75" customHeight="1" s="981">
      <c r="A21" s="1117" t="inlineStr">
        <is>
          <t>◆  TÓM TẮT THUẾ NĂM 2026 — Đối chiếu VPBank Securities</t>
        </is>
      </c>
      <c r="B21" s="965" t="n"/>
      <c r="C21" s="965" t="n"/>
      <c r="D21" s="965" t="n"/>
      <c r="E21" s="965" t="n"/>
      <c r="F21" s="965" t="n"/>
      <c r="G21" s="965" t="n"/>
      <c r="H21" s="965" t="n"/>
      <c r="I21" s="965" t="n"/>
      <c r="J21" s="965" t="n"/>
      <c r="K21" s="965" t="n"/>
      <c r="L21" s="966" t="n"/>
    </row>
    <row r="22" ht="19.5" customHeight="1" s="981">
      <c r="A22" s="1208" t="inlineStr">
        <is>
          <t>Tổng thuế cổ tức đã khấu trừ 2026</t>
        </is>
      </c>
      <c r="B22" s="965" t="n"/>
      <c r="C22" s="965" t="n"/>
      <c r="D22" s="966" t="n"/>
      <c r="E22" s="1206" t="inlineStr">
        <is>
          <t>Chứng từ nhận từ VPB cuối năm</t>
        </is>
      </c>
      <c r="F22" s="965" t="n"/>
      <c r="G22" s="965" t="n"/>
      <c r="H22" s="966" t="n"/>
      <c r="I22" s="1050" t="n"/>
      <c r="J22" s="1050" t="n"/>
      <c r="K22" s="1050" t="n"/>
      <c r="L22" s="1050" t="n"/>
    </row>
    <row r="23" ht="19.5" customHeight="1" s="981">
      <c r="A23" s="1208" t="inlineStr">
        <is>
          <t>Tổng thuế bán CK 2026</t>
        </is>
      </c>
      <c r="B23" s="965" t="n"/>
      <c r="C23" s="965" t="n"/>
      <c r="D23" s="966" t="n"/>
      <c r="E23" s="1206" t="inlineStr">
        <is>
          <t>Tự tính 0.1% × doanh thu bán</t>
        </is>
      </c>
      <c r="F23" s="965" t="n"/>
      <c r="G23" s="965" t="n"/>
      <c r="H23" s="966" t="n"/>
      <c r="I23" s="1050" t="n"/>
      <c r="J23" s="1050" t="n"/>
      <c r="K23" s="1050" t="n"/>
      <c r="L23" s="1050" t="n"/>
    </row>
    <row r="24" ht="19.5" customHeight="1" s="981">
      <c r="A24" s="1208" t="inlineStr">
        <is>
          <t>Tổng thuế phải nộp/đối chiếu</t>
        </is>
      </c>
      <c r="B24" s="965" t="n"/>
      <c r="C24" s="965" t="n"/>
      <c r="D24" s="966" t="n"/>
      <c r="E24" s="1206" t="inlineStr">
        <is>
          <t>So với chứng từ VPBank Securities</t>
        </is>
      </c>
      <c r="F24" s="965" t="n"/>
      <c r="G24" s="965" t="n"/>
      <c r="H24" s="966" t="n"/>
      <c r="I24" s="1050" t="n"/>
      <c r="J24" s="1050" t="n"/>
      <c r="K24" s="1050" t="n"/>
      <c r="L24" s="1050" t="n"/>
    </row>
    <row r="25" ht="19.5" customHeight="1" s="981">
      <c r="A25" s="1208" t="inlineStr">
        <is>
          <t>Deadline quyết toán thuế TNCN</t>
        </is>
      </c>
      <c r="B25" s="965" t="n"/>
      <c r="C25" s="965" t="n"/>
      <c r="D25" s="966" t="n"/>
      <c r="E25" s="1206" t="inlineStr">
        <is>
          <t>Mốc nộp tờ khai quyết toán</t>
        </is>
      </c>
      <c r="F25" s="965" t="n"/>
      <c r="G25" s="965" t="n"/>
      <c r="H25" s="966" t="n"/>
      <c r="I25" s="1050" t="n"/>
      <c r="J25" s="1050" t="n"/>
      <c r="K25" s="1050" t="n"/>
      <c r="L25" s="1050" t="n"/>
    </row>
  </sheetData>
  <mergeCells count="14">
    <mergeCell ref="A16:L16"/>
    <mergeCell ref="A2:L2"/>
    <mergeCell ref="E23:H23"/>
    <mergeCell ref="A23:D23"/>
    <mergeCell ref="A22:D22"/>
    <mergeCell ref="A14:F14"/>
    <mergeCell ref="A1:L1"/>
    <mergeCell ref="A25:D25"/>
    <mergeCell ref="E25:H25"/>
    <mergeCell ref="A24:D24"/>
    <mergeCell ref="A3:L3"/>
    <mergeCell ref="A21:L21"/>
    <mergeCell ref="E24:H24"/>
    <mergeCell ref="E22:H22"/>
  </mergeCells>
  <pageMargins left="0.75" right="0.75" top="1" bottom="1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/>
  <cols>
    <col width="14" customWidth="1" style="981" min="1" max="1"/>
    <col width="20" customWidth="1" style="981" min="2" max="2"/>
    <col width="16" customWidth="1" style="981" min="3" max="3"/>
    <col width="15" customWidth="1" style="981" min="5" max="5"/>
    <col width="25" customWidth="1" style="981" min="6" max="6"/>
    <col width="15" customWidth="1" style="981" min="7" max="7"/>
    <col width="10" customWidth="1" style="981" min="8" max="8"/>
    <col width="12" customWidth="1" style="981" min="9" max="9"/>
    <col width="22" customWidth="1" style="981" min="10" max="10"/>
  </cols>
  <sheetData>
    <row r="1" ht="30" customHeight="1" s="981">
      <c r="A1" s="1207" t="inlineStr">
        <is>
          <t>💵  QUẢN LÝ TIỀN CHỜ GIẢI NGÂN  |  GBond · iPower · iFund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6" t="n"/>
    </row>
    <row r="2" ht="15" customHeight="1" s="981">
      <c r="A2" s="1128" t="inlineStr">
        <is>
          <t>Tối ưu lãi suất trong khi chờ cơ hội giải ngân | Mục tiêu: 14,285,714 ₫/mã × 8 mã = 114,285,714 ₫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6" t="n"/>
    </row>
    <row r="3" ht="21.75" customHeight="1" s="981">
      <c r="A3" s="1047" t="inlineStr">
        <is>
          <t>◆  TRẠNG THÁI TIỀN MẶT HIỆN TẠI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6" t="n"/>
    </row>
    <row r="4" ht="25.5" customHeight="1" s="981">
      <c r="A4" s="728" t="inlineStr">
        <is>
          <t>NỀN TẢNG</t>
        </is>
      </c>
      <c r="B4" s="728" t="inlineStr">
        <is>
          <t>SẢN PHẨM</t>
        </is>
      </c>
      <c r="C4" s="728" t="inlineStr">
        <is>
          <t>SỐ DƯ (₫)</t>
        </is>
      </c>
      <c r="D4" s="728" t="inlineStr">
        <is>
          <t>LÃI SUẤT/NĂM</t>
        </is>
      </c>
      <c r="E4" s="728" t="inlineStr">
        <is>
          <t>LÃI TÍCH LŨY (₫)</t>
        </is>
      </c>
      <c r="F4" s="728" t="inlineStr">
        <is>
          <t>NGÀY GỬI</t>
        </is>
      </c>
      <c r="G4" s="728" t="inlineStr">
        <is>
          <t>NGÀY DỰ KIẾN RÚT</t>
        </is>
      </c>
      <c r="H4" s="728" t="inlineStr">
        <is>
          <t>MỤC ĐÍCH</t>
        </is>
      </c>
      <c r="I4" s="728" t="inlineStr">
        <is>
          <t>TRẠNG THÁI</t>
        </is>
      </c>
      <c r="J4" s="728" t="inlineStr">
        <is>
          <t>GHI CHÚ</t>
        </is>
      </c>
    </row>
    <row r="5" ht="18" customHeight="1" s="981">
      <c r="A5" s="775" t="inlineStr">
        <is>
          <t>TCBS</t>
        </is>
      </c>
      <c r="B5" s="777" t="inlineStr">
        <is>
          <t>GBond (TPCP ngắn hạn)</t>
        </is>
      </c>
      <c r="C5" s="796" t="n">
        <v>15000000</v>
      </c>
      <c r="D5" s="778" t="n">
        <v>0.056</v>
      </c>
      <c r="E5" s="779" t="n">
        <v>280000</v>
      </c>
      <c r="F5" s="776" t="n">
        <v>46113</v>
      </c>
      <c r="G5" s="776" t="n">
        <v>46204</v>
      </c>
      <c r="H5" s="736" t="inlineStr">
        <is>
          <t>Chờ mua thêm MBB</t>
        </is>
      </c>
      <c r="I5" s="783" t="inlineStr">
        <is>
          <t>🟢 Hoạt động</t>
        </is>
      </c>
      <c r="J5" s="782" t="inlineStr">
        <is>
          <t>Yield 5.6%/năm — thanh khoản T+2</t>
        </is>
      </c>
    </row>
    <row r="6" ht="18" customHeight="1" s="981">
      <c r="A6" s="784" t="inlineStr">
        <is>
          <t>TCBS</t>
        </is>
      </c>
      <c r="B6" s="786" t="inlineStr">
        <is>
          <t>iPower (qua đêm)</t>
        </is>
      </c>
      <c r="C6" s="797" t="n">
        <v>8500000</v>
      </c>
      <c r="D6" s="787" t="n">
        <v>0.035</v>
      </c>
      <c r="E6" s="788" t="n">
        <v>99167</v>
      </c>
      <c r="F6" s="785" t="n">
        <v>46143</v>
      </c>
      <c r="G6" s="732" t="n"/>
      <c r="H6" s="732" t="inlineStr">
        <is>
          <t>Quỹ dự phòng linh hoạt</t>
        </is>
      </c>
      <c r="I6" s="792" t="inlineStr">
        <is>
          <t>🟢 Hoạt động</t>
        </is>
      </c>
      <c r="J6" s="791" t="inlineStr">
        <is>
          <t>Rút ngay T+0, lãi hàng ngày</t>
        </is>
      </c>
    </row>
    <row r="7" ht="18" customHeight="1" s="981">
      <c r="A7" s="775" t="inlineStr">
        <is>
          <t>TCWealth</t>
        </is>
      </c>
      <c r="B7" s="777" t="inlineStr">
        <is>
          <t>Quỹ tiền tệ TCMF</t>
        </is>
      </c>
      <c r="C7" s="796" t="n">
        <v>5000000</v>
      </c>
      <c r="D7" s="778" t="n">
        <v>0.048</v>
      </c>
      <c r="E7" s="779" t="n">
        <v>80000</v>
      </c>
      <c r="F7" s="776" t="n">
        <v>46096</v>
      </c>
      <c r="G7" s="736" t="n"/>
      <c r="H7" s="736" t="inlineStr">
        <is>
          <t>Buffer trước khi deploy</t>
        </is>
      </c>
      <c r="I7" s="783" t="inlineStr">
        <is>
          <t>🟢 Hoạt động</t>
        </is>
      </c>
      <c r="J7" s="782" t="inlineStr">
        <is>
          <t>Lãi ~4.8%/năm, T+1</t>
        </is>
      </c>
    </row>
    <row r="8" ht="18" customHeight="1" s="981">
      <c r="A8" s="784" t="inlineStr">
        <is>
          <t>MBS</t>
        </is>
      </c>
      <c r="B8" s="786" t="inlineStr">
        <is>
          <t>iFund Money Market</t>
        </is>
      </c>
      <c r="C8" s="797" t="n">
        <v>12000000</v>
      </c>
      <c r="D8" s="787" t="n">
        <v>0.05</v>
      </c>
      <c r="E8" s="788" t="n">
        <v>200000</v>
      </c>
      <c r="F8" s="785" t="n">
        <v>46054</v>
      </c>
      <c r="G8" s="785" t="n">
        <v>46235</v>
      </c>
      <c r="H8" s="732" t="inlineStr">
        <is>
          <t>Chờ HPG về giá mục tiêu</t>
        </is>
      </c>
      <c r="I8" s="792" t="inlineStr">
        <is>
          <t>🟢 Hoạt động</t>
        </is>
      </c>
      <c r="J8" s="791" t="inlineStr">
        <is>
          <t>Quỹ mở MBS, phí 0%</t>
        </is>
      </c>
    </row>
    <row r="9" ht="18" customHeight="1" s="981">
      <c r="A9" s="775" t="inlineStr">
        <is>
          <t>Ngân hàng</t>
        </is>
      </c>
      <c r="B9" s="777" t="inlineStr">
        <is>
          <t>Tiết kiệm online 3T</t>
        </is>
      </c>
      <c r="C9" s="796" t="n">
        <v>10000000</v>
      </c>
      <c r="D9" s="778" t="n">
        <v>0.055</v>
      </c>
      <c r="E9" s="779" t="n">
        <v>137500</v>
      </c>
      <c r="F9" s="776" t="n">
        <v>46143</v>
      </c>
      <c r="G9" s="776" t="n">
        <v>46235</v>
      </c>
      <c r="H9" s="736" t="inlineStr">
        <is>
          <t>Quỹ khẩn cấp</t>
        </is>
      </c>
      <c r="I9" s="794" t="inlineStr">
        <is>
          <t>💛 Kỳ hạn</t>
        </is>
      </c>
      <c r="J9" s="782" t="inlineStr">
        <is>
          <t>Không rút trước hạn</t>
        </is>
      </c>
    </row>
    <row r="10" ht="21.75" customHeight="1" s="981">
      <c r="A10" s="1210" t="inlineStr">
        <is>
          <t>TỔNG TIỀN CHỜ GIẢI NGÂN</t>
        </is>
      </c>
      <c r="B10" s="966" t="n"/>
      <c r="C10" s="798" t="n">
        <v>50500000</v>
      </c>
      <c r="D10" s="1050" t="n"/>
      <c r="E10" s="798" t="n">
        <v>796667</v>
      </c>
      <c r="F10" s="1050" t="n"/>
      <c r="G10" s="1050" t="n"/>
      <c r="H10" s="1050" t="n"/>
      <c r="I10" s="1050" t="n"/>
      <c r="J10" s="1050" t="n"/>
    </row>
    <row r="11" ht="15" customHeight="1" s="981">
      <c r="A11" s="1050" t="inlineStr">
        <is>
          <t>VNDirect</t>
        </is>
      </c>
      <c r="B11" s="1050" t="inlineStr">
        <is>
          <t>Qu? M? VNDIGROWTH</t>
        </is>
      </c>
      <c r="C11" s="1050" t="n">
        <v>5000000</v>
      </c>
      <c r="D11" s="1050" t="n">
        <v>0.065</v>
      </c>
      <c r="E11" s="1050" t="n">
        <v>54000</v>
      </c>
      <c r="F11" s="963" t="n">
        <v>46026</v>
      </c>
      <c r="G11" s="1050" t="n"/>
      <c r="H11" s="1050" t="inlineStr">
        <is>
          <t>D? ph�ng mua CTR add</t>
        </is>
      </c>
      <c r="I11" s="1050" t="inlineStr">
        <is>
          <t>Hoat dong</t>
        </is>
      </c>
      <c r="J11" s="1050" t="inlineStr">
        <is>
          <t>Qu? d?u tu VNDIGROWTH</t>
        </is>
      </c>
    </row>
    <row r="12" ht="21.75" customHeight="1" s="981">
      <c r="A12" s="1211" t="inlineStr">
        <is>
          <t>◆  KẾ HOẠCH GIẢI NGÂN — Mục tiêu 14,285,714 ₫/mã</t>
        </is>
      </c>
      <c r="B12" s="965" t="n"/>
      <c r="C12" s="965" t="n"/>
      <c r="D12" s="965" t="n"/>
      <c r="E12" s="965" t="n"/>
      <c r="F12" s="965" t="n"/>
      <c r="G12" s="965" t="n"/>
      <c r="H12" s="965" t="n"/>
      <c r="I12" s="965" t="n"/>
      <c r="J12" s="966" t="n"/>
    </row>
    <row r="13" ht="25.5" customHeight="1" s="981">
      <c r="A13" s="728" t="inlineStr">
        <is>
          <t>MÃ CỔ PHIẾU</t>
        </is>
      </c>
      <c r="B13" s="728" t="inlineStr">
        <is>
          <t>NGÂN SÁCH MỤC TIÊU (₫)</t>
        </is>
      </c>
      <c r="C13" s="728" t="inlineStr">
        <is>
          <t>ĐÃ ĐẦU TƯ (₫)</t>
        </is>
      </c>
      <c r="D13" s="728" t="inlineStr">
        <is>
          <t>CÒN THIẾU (₫)</t>
        </is>
      </c>
      <c r="E13" s="728" t="inlineStr">
        <is>
          <t>GIÁ MỤC TIÊU MUA</t>
        </is>
      </c>
      <c r="F13" s="728" t="inlineStr">
        <is>
          <t>ĐIỀU KIỆN KÍCH HOẠT</t>
        </is>
      </c>
      <c r="G13" s="728" t="inlineStr">
        <is>
          <t>NGUỒN VỐN</t>
        </is>
      </c>
      <c r="H13" s="728" t="inlineStr">
        <is>
          <t>ƯU TIÊN</t>
        </is>
      </c>
      <c r="I13" s="1050" t="n"/>
      <c r="J13" s="1050" t="n"/>
    </row>
    <row r="14" ht="18" customHeight="1" s="981">
      <c r="A14" s="784" t="inlineStr">
        <is>
          <t>FPT</t>
        </is>
      </c>
      <c r="B14" s="752" t="n">
        <v>14285714</v>
      </c>
      <c r="C14" s="752" t="n">
        <v>14000000</v>
      </c>
      <c r="D14" s="799" t="n">
        <v>285714</v>
      </c>
      <c r="E14" s="752" t="n">
        <v>68000</v>
      </c>
      <c r="F14" s="732" t="inlineStr">
        <is>
          <t>P/E&lt;15 hoặc giá&lt;68K</t>
        </is>
      </c>
      <c r="G14" s="732" t="inlineStr">
        <is>
          <t>GBond TCBS</t>
        </is>
      </c>
      <c r="H14" s="791" t="inlineStr">
        <is>
          <t>🔴 Chờ</t>
        </is>
      </c>
      <c r="I14" s="1050" t="n"/>
      <c r="J14" s="1050" t="n"/>
    </row>
    <row r="15" ht="18" customHeight="1" s="981">
      <c r="A15" s="775" t="inlineStr">
        <is>
          <t>MBB</t>
        </is>
      </c>
      <c r="B15" s="746" t="n">
        <v>14285714</v>
      </c>
      <c r="C15" s="746" t="n">
        <v>13500000</v>
      </c>
      <c r="D15" s="800" t="n">
        <v>785714</v>
      </c>
      <c r="E15" s="746" t="n">
        <v>24000</v>
      </c>
      <c r="F15" s="736" t="inlineStr">
        <is>
          <t>P/E&lt;6 hoặc giá&lt;24K</t>
        </is>
      </c>
      <c r="G15" s="736" t="inlineStr">
        <is>
          <t>iPower TCBS</t>
        </is>
      </c>
      <c r="H15" s="794" t="inlineStr">
        <is>
          <t>🟡 Gần</t>
        </is>
      </c>
      <c r="I15" s="1050" t="n"/>
      <c r="J15" s="1050" t="n"/>
    </row>
    <row r="16" ht="18" customHeight="1" s="981">
      <c r="A16" s="784" t="inlineStr">
        <is>
          <t>VCB</t>
        </is>
      </c>
      <c r="B16" s="752" t="n">
        <v>14285714</v>
      </c>
      <c r="C16" s="752" t="n">
        <v>11000000</v>
      </c>
      <c r="D16" s="799" t="n">
        <v>3285714</v>
      </c>
      <c r="E16" s="752" t="n">
        <v>57000</v>
      </c>
      <c r="F16" s="732" t="inlineStr">
        <is>
          <t>Tháng 6 sau cổ tức</t>
        </is>
      </c>
      <c r="G16" s="732" t="inlineStr">
        <is>
          <t>GBond TCBS</t>
        </is>
      </c>
      <c r="H16" s="793" t="inlineStr">
        <is>
          <t>🟡 Gần</t>
        </is>
      </c>
      <c r="I16" s="1050" t="n"/>
      <c r="J16" s="1050" t="n"/>
    </row>
    <row r="17" ht="18" customHeight="1" s="981">
      <c r="A17" s="775" t="inlineStr">
        <is>
          <t>CTR</t>
        </is>
      </c>
      <c r="B17" s="746" t="n">
        <v>14285714</v>
      </c>
      <c r="C17" s="746" t="n">
        <v>40000000</v>
      </c>
      <c r="D17" s="779" t="n">
        <v>0</v>
      </c>
      <c r="E17" s="746" t="n">
        <v>82000</v>
      </c>
      <c r="F17" s="736" t="inlineStr">
        <is>
          <t>P/E&lt;15 hoặc giá&lt;82K</t>
        </is>
      </c>
      <c r="G17" s="736" t="inlineStr">
        <is>
          <t>iFund MBS</t>
        </is>
      </c>
      <c r="H17" s="782" t="inlineStr">
        <is>
          <t>🔴 Chờ</t>
        </is>
      </c>
      <c r="I17" s="1050" t="n"/>
      <c r="J17" s="1050" t="n"/>
    </row>
    <row r="18" ht="18" customHeight="1" s="981">
      <c r="A18" s="784" t="inlineStr">
        <is>
          <t>MWG</t>
        </is>
      </c>
      <c r="B18" s="752" t="n">
        <v>14285714</v>
      </c>
      <c r="C18" s="752" t="n">
        <v>15600000</v>
      </c>
      <c r="D18" s="788" t="n">
        <v>0</v>
      </c>
      <c r="E18" s="752" t="n">
        <v>80000</v>
      </c>
      <c r="F18" s="732" t="inlineStr">
        <is>
          <t>Kết quả Q2/2026 tốt</t>
        </is>
      </c>
      <c r="G18" s="732" t="inlineStr">
        <is>
          <t>iPower</t>
        </is>
      </c>
      <c r="H18" s="793" t="inlineStr">
        <is>
          <t>🟡 Gần</t>
        </is>
      </c>
      <c r="I18" s="1050" t="n"/>
      <c r="J18" s="1050" t="n"/>
    </row>
    <row r="19" ht="18" customHeight="1" s="981">
      <c r="A19" s="775" t="inlineStr">
        <is>
          <t>HPG</t>
        </is>
      </c>
      <c r="B19" s="746" t="n">
        <v>14285714</v>
      </c>
      <c r="C19" s="746" t="n">
        <v>4800000</v>
      </c>
      <c r="D19" s="800" t="n">
        <v>9485714</v>
      </c>
      <c r="E19" s="746" t="n">
        <v>25000</v>
      </c>
      <c r="F19" s="736" t="inlineStr">
        <is>
          <t>Giá&lt;25K hoặc thép hồi</t>
        </is>
      </c>
      <c r="G19" s="736" t="inlineStr">
        <is>
          <t>iFund MBS</t>
        </is>
      </c>
      <c r="H19" s="783" t="inlineStr">
        <is>
          <t>🟢 Sẵn</t>
        </is>
      </c>
      <c r="I19" s="1050" t="n"/>
      <c r="J19" s="1050" t="n"/>
    </row>
    <row r="20" ht="18" customHeight="1" s="981">
      <c r="A20" s="784" t="inlineStr">
        <is>
          <t>VNM</t>
        </is>
      </c>
      <c r="B20" s="752" t="n">
        <v>14285714</v>
      </c>
      <c r="C20" s="752" t="n">
        <v>11600000</v>
      </c>
      <c r="D20" s="799" t="n">
        <v>2685714</v>
      </c>
      <c r="E20" s="752" t="n">
        <v>58000</v>
      </c>
      <c r="F20" s="732" t="inlineStr">
        <is>
          <t>Sau ĐHCĐ tháng 6</t>
        </is>
      </c>
      <c r="G20" s="732" t="inlineStr">
        <is>
          <t>GBond TCBS</t>
        </is>
      </c>
      <c r="H20" s="793" t="inlineStr">
        <is>
          <t>🟡 Gần</t>
        </is>
      </c>
      <c r="I20" s="1050" t="n"/>
      <c r="J20" s="1050" t="n"/>
    </row>
    <row r="21" ht="18" customHeight="1" s="981">
      <c r="A21" s="775" t="inlineStr">
        <is>
          <t>VIX</t>
        </is>
      </c>
      <c r="B21" s="746" t="n">
        <v>14285714</v>
      </c>
      <c r="C21" s="746" t="n">
        <v>13750000</v>
      </c>
      <c r="D21" s="800" t="n">
        <v>535714</v>
      </c>
      <c r="E21" s="746" t="n">
        <v>15000</v>
      </c>
      <c r="F21" s="736" t="inlineStr">
        <is>
          <t>P/E&lt;5.5 hoặc giá&lt;15K</t>
        </is>
      </c>
      <c r="G21" s="736" t="inlineStr">
        <is>
          <t>TCWealth TCMF</t>
        </is>
      </c>
      <c r="H21" s="782" t="inlineStr">
        <is>
          <t>🔴 Chờ</t>
        </is>
      </c>
      <c r="I21" s="1050" t="n"/>
      <c r="J21" s="1050" t="n"/>
    </row>
  </sheetData>
  <mergeCells count="5">
    <mergeCell ref="A1:J1"/>
    <mergeCell ref="A3:J3"/>
    <mergeCell ref="A10:B10"/>
    <mergeCell ref="A12:J12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12" customWidth="1" style="981" min="1" max="1"/>
    <col width="14" customWidth="1" style="981" min="2" max="2"/>
    <col width="26" customWidth="1" style="981" min="3" max="3"/>
    <col width="14" customWidth="1" style="981" min="4" max="4"/>
    <col width="12" customWidth="1" style="981" min="6" max="6"/>
    <col width="26" customWidth="1" style="981" min="7" max="7"/>
    <col width="22" customWidth="1" style="981" min="8" max="8"/>
  </cols>
  <sheetData>
    <row r="1" ht="30" customHeight="1" s="981">
      <c r="A1" s="1212" t="inlineStr">
        <is>
          <t>💛  QUỸ TÂM SÁNG — TRÍCH 30% LỢI NHUẬN RÒNG</t>
        </is>
      </c>
      <c r="B1" s="965" t="n"/>
      <c r="C1" s="965" t="n"/>
      <c r="D1" s="965" t="n"/>
      <c r="E1" s="965" t="n"/>
      <c r="F1" s="965" t="n"/>
      <c r="G1" s="965" t="n"/>
      <c r="H1" s="965" t="n"/>
      <c r="I1" s="966" t="n"/>
    </row>
    <row r="2" ht="15" customHeight="1" s="981">
      <c r="A2" s="1128" t="inlineStr">
        <is>
          <t>Tự động trích 30% từ lợi nhuận sau thuế | Triết lý: Làm giàu có đạo đức | Nguồn: Giáo huấn thầy hướng dẫn</t>
        </is>
      </c>
      <c r="B2" s="965" t="n"/>
      <c r="C2" s="965" t="n"/>
      <c r="D2" s="965" t="n"/>
      <c r="E2" s="965" t="n"/>
      <c r="F2" s="965" t="n"/>
      <c r="G2" s="965" t="n"/>
      <c r="H2" s="965" t="n"/>
      <c r="I2" s="966" t="n"/>
    </row>
    <row r="3" ht="21.75" customHeight="1" s="981">
      <c r="A3" s="1117" t="inlineStr">
        <is>
          <t>◆  TRẠNG THÁI QUỸ HIỆN TẠI</t>
        </is>
      </c>
      <c r="B3" s="965" t="n"/>
      <c r="C3" s="965" t="n"/>
      <c r="D3" s="965" t="n"/>
      <c r="E3" s="965" t="n"/>
      <c r="F3" s="965" t="n"/>
      <c r="G3" s="965" t="n"/>
      <c r="H3" s="965" t="n"/>
      <c r="I3" s="966" t="n"/>
    </row>
    <row r="4" ht="19.5" customHeight="1" s="981">
      <c r="A4" s="1208" t="inlineStr">
        <is>
          <t>Tổng lợi nhuận chưa thực hiện (₫):</t>
        </is>
      </c>
      <c r="B4" s="965" t="n"/>
      <c r="C4" s="966" t="n"/>
      <c r="D4" s="1050" t="n"/>
      <c r="E4" s="965" t="n"/>
      <c r="F4" s="966" t="n"/>
      <c r="G4" s="1050" t="n"/>
      <c r="H4" s="965" t="n"/>
      <c r="I4" s="966" t="n"/>
    </row>
    <row r="5" ht="19.5" customHeight="1" s="981">
      <c r="A5" s="1208" t="inlineStr">
        <is>
          <t>Thuế &amp; phí ước tính (0.5%/năm):</t>
        </is>
      </c>
      <c r="B5" s="965" t="n"/>
      <c r="C5" s="966" t="n"/>
      <c r="D5" s="1050" t="n"/>
      <c r="E5" s="965" t="n"/>
      <c r="F5" s="966" t="n"/>
      <c r="G5" s="1050" t="n"/>
      <c r="H5" s="965" t="n"/>
      <c r="I5" s="966" t="n"/>
    </row>
    <row r="6" ht="19.5" customHeight="1" s="981">
      <c r="A6" s="1208" t="inlineStr">
        <is>
          <t>Lợi nhuận RÒNG (₫):</t>
        </is>
      </c>
      <c r="B6" s="965" t="n"/>
      <c r="C6" s="966" t="n"/>
      <c r="D6" s="1050" t="n"/>
      <c r="E6" s="965" t="n"/>
      <c r="F6" s="966" t="n"/>
      <c r="G6" s="1050" t="n"/>
      <c r="H6" s="965" t="n"/>
      <c r="I6" s="966" t="n"/>
    </row>
    <row r="7" ht="19.5" customHeight="1" s="981">
      <c r="A7" s="1208" t="inlineStr">
        <is>
          <t>Quỹ Tâm Sáng 30% (₫):</t>
        </is>
      </c>
      <c r="B7" s="965" t="n"/>
      <c r="C7" s="966" t="n"/>
      <c r="D7" s="1050" t="n"/>
      <c r="E7" s="965" t="n"/>
      <c r="F7" s="966" t="n"/>
      <c r="G7" s="1050" t="n"/>
      <c r="H7" s="965" t="n"/>
      <c r="I7" s="966" t="n"/>
    </row>
    <row r="8" ht="19.5" customHeight="1" s="981">
      <c r="A8" s="1208" t="inlineStr">
        <is>
          <t>Đã giải ngân:</t>
        </is>
      </c>
      <c r="B8" s="965" t="n"/>
      <c r="C8" s="966" t="n"/>
      <c r="D8" s="1050" t="n"/>
      <c r="E8" s="965" t="n"/>
      <c r="F8" s="966" t="n"/>
      <c r="G8" s="1050" t="n"/>
      <c r="H8" s="965" t="n"/>
      <c r="I8" s="966" t="n"/>
    </row>
    <row r="9" ht="19.5" customHeight="1" s="981">
      <c r="A9" s="1205" t="inlineStr">
        <is>
          <t>CÒN TRONG QUỸ (₫):</t>
        </is>
      </c>
      <c r="B9" s="965" t="n"/>
      <c r="C9" s="966" t="n"/>
      <c r="D9" s="1050" t="n"/>
      <c r="E9" s="965" t="n"/>
      <c r="F9" s="966" t="n"/>
      <c r="G9" s="1050" t="n"/>
      <c r="H9" s="965" t="n"/>
      <c r="I9" s="966" t="n"/>
    </row>
    <row r="10" ht="21.75" customHeight="1" s="981">
      <c r="A10" s="1117" t="inlineStr">
        <is>
          <t>◆  LOG GIẢI NGÂN THIỆN NGUYỆN</t>
        </is>
      </c>
      <c r="B10" s="965" t="n"/>
      <c r="C10" s="965" t="n"/>
      <c r="D10" s="965" t="n"/>
      <c r="E10" s="965" t="n"/>
      <c r="F10" s="965" t="n"/>
      <c r="G10" s="965" t="n"/>
      <c r="H10" s="965" t="n"/>
      <c r="I10" s="966" t="n"/>
    </row>
    <row r="11" ht="25.5" customHeight="1" s="981">
      <c r="A11" s="728" t="inlineStr">
        <is>
          <t>NGÀY</t>
        </is>
      </c>
      <c r="B11" s="728" t="inlineStr">
        <is>
          <t>SỐ TIỀN (₫)</t>
        </is>
      </c>
      <c r="C11" s="728" t="inlineStr">
        <is>
          <t>TỔ CHỨC / DỰ ÁN</t>
        </is>
      </c>
      <c r="D11" s="728" t="inlineStr">
        <is>
          <t>LOẠI</t>
        </is>
      </c>
      <c r="E11" s="728" t="inlineStr">
        <is>
          <t>CHỨNG TỪ</t>
        </is>
      </c>
      <c r="F11" s="728" t="inlineStr">
        <is>
          <t>% TỔNG QUỸ</t>
        </is>
      </c>
      <c r="G11" s="728" t="inlineStr">
        <is>
          <t>TÁC ĐỘNG XÃ HỘI</t>
        </is>
      </c>
      <c r="H11" s="728" t="inlineStr">
        <is>
          <t>GHI CHÚ</t>
        </is>
      </c>
      <c r="I11" s="728" t="n"/>
    </row>
    <row r="12" ht="18" customHeight="1" s="981">
      <c r="A12" s="785" t="inlineStr">
        <is>
          <t>15/02/2026</t>
        </is>
      </c>
      <c r="B12" s="752" t="inlineStr">
        <is>
          <t>Ung ho dong bao lo lut</t>
        </is>
      </c>
      <c r="C12" s="732" t="inlineStr">
        <is>
          <t>Quỹ học bổng ĐH Kiên Giang</t>
        </is>
      </c>
      <c r="D12" s="732" t="inlineStr">
        <is>
          <t>Học bổng</t>
        </is>
      </c>
      <c r="E12" s="732" t="n">
        <v>2000000</v>
      </c>
      <c r="F12" s="732" t="inlineStr">
        <is>
          <t>12.3%</t>
        </is>
      </c>
      <c r="G12" s="732" t="inlineStr">
        <is>
          <t>Hỗ trợ 1 sinh viên nghèo vùng ngập lụt</t>
        </is>
      </c>
      <c r="H12" s="732" t="inlineStr">
        <is>
          <t>Ung ho mien Trung</t>
        </is>
      </c>
      <c r="I12" s="1050" t="n"/>
    </row>
    <row r="13" ht="15" customHeight="1" s="981">
      <c r="A13" s="1050" t="inlineStr">
        <is>
          <t>20/03/2026</t>
        </is>
      </c>
      <c r="B13" s="1050" t="inlineStr">
        <is>
          <t>Hoc bong cho HS ngheo</t>
        </is>
      </c>
      <c r="C13" s="1050" t="n"/>
      <c r="D13" s="1050" t="n"/>
      <c r="E13" s="1050" t="n">
        <v>2000000</v>
      </c>
      <c r="F13" s="1050" t="n"/>
      <c r="G13" s="1050" t="n"/>
      <c r="H13" s="1050" t="n"/>
      <c r="I13" s="1050" t="n"/>
    </row>
    <row r="14" ht="21.75" customHeight="1" s="981">
      <c r="A14" s="1117" t="inlineStr">
        <is>
          <t>15/04/2026</t>
        </is>
      </c>
      <c r="B14" s="965" t="n"/>
      <c r="C14" s="965" t="n"/>
      <c r="D14" s="965" t="n"/>
      <c r="E14" s="965" t="n"/>
      <c r="F14" s="965" t="n"/>
      <c r="G14" s="965" t="n"/>
      <c r="H14" s="965" t="n"/>
      <c r="I14" s="966" t="n"/>
    </row>
    <row r="15" ht="19.5" customHeight="1" s="981">
      <c r="A15" s="1213" t="inlineStr">
        <is>
          <t>Quỹ học bổng ĐHKG — Hòn Đất</t>
        </is>
      </c>
      <c r="B15" s="965" t="n"/>
      <c r="C15" s="966" t="n"/>
      <c r="D15" s="1050" t="n"/>
      <c r="E15" s="966" t="n"/>
      <c r="F15" s="1050" t="n"/>
      <c r="G15" s="965" t="n"/>
      <c r="H15" s="965" t="n"/>
      <c r="I15" s="966" t="n"/>
    </row>
    <row r="16" ht="19.5" customHeight="1" s="981">
      <c r="A16" s="1213" t="inlineStr">
        <is>
          <t>Dự án Bản đồ ngập lụt mã nguồn mở</t>
        </is>
      </c>
      <c r="B16" s="965" t="n"/>
      <c r="C16" s="966" t="n"/>
      <c r="D16" s="1050" t="n"/>
      <c r="E16" s="966" t="n"/>
      <c r="F16" s="1050" t="n"/>
      <c r="G16" s="965" t="n"/>
      <c r="H16" s="965" t="n"/>
      <c r="I16" s="966" t="n"/>
    </row>
    <row r="17" ht="19.5" customHeight="1" s="981">
      <c r="A17" s="1213" t="inlineStr">
        <is>
          <t>Hỗ trợ nghiên cứu khoa học địa phương</t>
        </is>
      </c>
      <c r="B17" s="965" t="n"/>
      <c r="C17" s="966" t="n"/>
      <c r="D17" s="1050" t="n"/>
      <c r="E17" s="966" t="n"/>
      <c r="F17" s="1050" t="n"/>
      <c r="G17" s="965" t="n"/>
      <c r="H17" s="965" t="n"/>
      <c r="I17" s="966" t="n"/>
    </row>
    <row r="18" ht="19.5" customHeight="1" s="981">
      <c r="A18" s="1213" t="inlineStr">
        <is>
          <t>Dự phòng linh hoạt</t>
        </is>
      </c>
      <c r="B18" s="965" t="n"/>
      <c r="C18" s="966" t="n"/>
      <c r="D18" s="1050" t="n"/>
      <c r="E18" s="966" t="n"/>
      <c r="F18" s="1050" t="n"/>
      <c r="G18" s="965" t="n"/>
      <c r="H18" s="965" t="n"/>
      <c r="I18" s="966" t="n"/>
    </row>
  </sheetData>
  <mergeCells count="35">
    <mergeCell ref="G6:I6"/>
    <mergeCell ref="A18:C18"/>
    <mergeCell ref="A3:I3"/>
    <mergeCell ref="D7:F7"/>
    <mergeCell ref="A2:I2"/>
    <mergeCell ref="A5:C5"/>
    <mergeCell ref="G5:I5"/>
    <mergeCell ref="A8:C8"/>
    <mergeCell ref="A14:I14"/>
    <mergeCell ref="D4:F4"/>
    <mergeCell ref="A17:C17"/>
    <mergeCell ref="G4:I4"/>
    <mergeCell ref="D9:F9"/>
    <mergeCell ref="F16:I16"/>
    <mergeCell ref="A4:C4"/>
    <mergeCell ref="D8:F8"/>
    <mergeCell ref="D17:E17"/>
    <mergeCell ref="D16:E16"/>
    <mergeCell ref="D5:F5"/>
    <mergeCell ref="A10:I10"/>
    <mergeCell ref="A9:C9"/>
    <mergeCell ref="G9:I9"/>
    <mergeCell ref="F15:I15"/>
    <mergeCell ref="D18:E18"/>
    <mergeCell ref="A15:C15"/>
    <mergeCell ref="F18:I18"/>
    <mergeCell ref="F17:I17"/>
    <mergeCell ref="D15:E15"/>
    <mergeCell ref="A6:C6"/>
    <mergeCell ref="D6:F6"/>
    <mergeCell ref="A1:I1"/>
    <mergeCell ref="G8:I8"/>
    <mergeCell ref="A7:C7"/>
    <mergeCell ref="G7:I7"/>
    <mergeCell ref="A16:C16"/>
  </mergeCells>
  <pageMargins left="0.75" right="0.75" top="1" bottom="1" header="0.511811023622047" footer="0.511811023622047"/>
  <pageSetup orientation="portrait" paperSize="9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981" min="1" max="1"/>
    <col width="14" customWidth="1" style="981" min="4" max="4"/>
    <col width="12" customWidth="1" style="981" min="6" max="6"/>
    <col width="14" customWidth="1" style="981" min="8" max="8"/>
    <col width="12" customWidth="1" style="981" min="9" max="9"/>
    <col width="22" customWidth="1" style="981" min="11" max="11"/>
  </cols>
  <sheetData>
    <row r="1" ht="30" customHeight="1" s="981">
      <c r="A1" s="1212" t="inlineStr">
        <is>
          <t>🥇  VÀNG PHÒNG VỆ — LỊCH SỬ TÍCH LŨY &amp; ĐỐI CHIẾU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6" t="n"/>
    </row>
    <row r="2" ht="15" customHeight="1" s="981">
      <c r="A2" s="1128" t="inlineStr">
        <is>
          <t>SJC 08/05/2026: Mua 164.5M | Bán 167.5M ₫/lượng | XAU/USD: $4,728/oz | Mục tiêu: 5-10% tổng tài sản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6" t="n"/>
    </row>
    <row r="3" ht="21.75" customHeight="1" s="981">
      <c r="A3" s="1047" t="inlineStr">
        <is>
          <t>◆  LỊCH SỬ TÍCH LŨY VÀNG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6" t="n"/>
    </row>
    <row r="4" ht="25.5" customHeight="1" s="981">
      <c r="A4" s="728" t="inlineStr">
        <is>
          <t>NGÀY MUA</t>
        </is>
      </c>
      <c r="B4" s="728" t="inlineStr">
        <is>
          <t>LOẠI VÀNG</t>
        </is>
      </c>
      <c r="C4" s="728" t="inlineStr">
        <is>
          <t>SỐ LƯỢNG
(chỉ/lượng)</t>
        </is>
      </c>
      <c r="D4" s="728" t="inlineStr">
        <is>
          <t>GIÁ MUA (₫)</t>
        </is>
      </c>
      <c r="E4" s="728" t="inlineStr">
        <is>
          <t>TỔNG CHI (₫)</t>
        </is>
      </c>
      <c r="F4" s="728" t="inlineStr">
        <is>
          <t>SJC BÁN
HIỆN TẠI</t>
        </is>
      </c>
      <c r="G4" s="728" t="inlineStr">
        <is>
          <t>GIÁ TRỊ HT (₫)</t>
        </is>
      </c>
      <c r="H4" s="728" t="inlineStr">
        <is>
          <t>LÃI/LỖ (₫)</t>
        </is>
      </c>
      <c r="I4" s="728" t="inlineStr">
        <is>
          <t>% THAY ĐỔI</t>
        </is>
      </c>
      <c r="J4" s="728" t="inlineStr">
        <is>
          <t>NƠI MUA</t>
        </is>
      </c>
      <c r="K4" s="728" t="inlineStr">
        <is>
          <t>GHI CHÚ</t>
        </is>
      </c>
    </row>
    <row r="5" ht="18" customHeight="1" s="981">
      <c r="A5" s="776" t="n">
        <v>45884</v>
      </c>
      <c r="B5" s="794" t="inlineStr">
        <is>
          <t>SJC Nhẫn 9999</t>
        </is>
      </c>
      <c r="C5" s="746" t="n">
        <v>1</v>
      </c>
      <c r="D5" s="746" t="n">
        <v>149000000</v>
      </c>
      <c r="E5" s="746" t="n">
        <v>149000000</v>
      </c>
      <c r="F5" s="750" t="n">
        <v>167000000</v>
      </c>
      <c r="G5" s="796" t="n">
        <v>167000000</v>
      </c>
      <c r="H5" s="779" t="n">
        <v>18000000</v>
      </c>
      <c r="I5" s="779" t="n">
        <v>0.121</v>
      </c>
      <c r="J5" s="736" t="inlineStr">
        <is>
          <t>DOJI HCM</t>
        </is>
      </c>
      <c r="K5" s="782" t="inlineStr">
        <is>
          <t>Mua phòng vệ lần 1 — VN-Index đỉnh</t>
        </is>
      </c>
    </row>
    <row r="6" ht="18" customHeight="1" s="981">
      <c r="A6" s="785" t="n">
        <v>46032</v>
      </c>
      <c r="B6" s="793" t="inlineStr">
        <is>
          <t>SJC Nhẫn 9999</t>
        </is>
      </c>
      <c r="C6" s="752" t="n">
        <v>0.5</v>
      </c>
      <c r="D6" s="752" t="n">
        <v>155000000</v>
      </c>
      <c r="E6" s="752" t="n">
        <v>77500000</v>
      </c>
      <c r="F6" s="756" t="n">
        <v>167000000</v>
      </c>
      <c r="G6" s="797" t="n">
        <v>83500000</v>
      </c>
      <c r="H6" s="788" t="n">
        <v>6000000</v>
      </c>
      <c r="I6" s="788" t="n">
        <v>0.077</v>
      </c>
      <c r="J6" s="732" t="inlineStr">
        <is>
          <t>PNJ Kiên Giang</t>
        </is>
      </c>
      <c r="K6" s="791" t="inlineStr">
        <is>
          <t>Mua thêm trước Tết</t>
        </is>
      </c>
    </row>
    <row r="7" ht="21.75" customHeight="1" s="981">
      <c r="A7" s="1217" t="inlineStr">
        <is>
          <t>TỔNG DANH MỤC VÀNG</t>
        </is>
      </c>
      <c r="B7" s="965" t="n"/>
      <c r="C7" s="965" t="n"/>
      <c r="D7" s="966" t="n"/>
      <c r="E7" s="801" t="n">
        <v>226500000</v>
      </c>
      <c r="F7" s="1050" t="n"/>
      <c r="G7" s="802" t="n">
        <v>250500000</v>
      </c>
      <c r="H7" s="803" t="n">
        <v>24000000</v>
      </c>
      <c r="I7" s="1050" t="n"/>
      <c r="J7" s="1050" t="n"/>
      <c r="K7" s="1050" t="n"/>
    </row>
    <row r="8" ht="15" customHeight="1" s="981">
      <c r="A8" s="1050" t="n"/>
      <c r="B8" s="1050" t="n"/>
      <c r="C8" s="1050" t="n"/>
      <c r="D8" s="1050" t="n"/>
      <c r="E8" s="1050" t="n"/>
      <c r="F8" s="1050" t="n"/>
      <c r="G8" s="1050" t="n"/>
      <c r="H8" s="1050" t="n"/>
      <c r="I8" s="1050" t="n"/>
      <c r="J8" s="1050" t="n"/>
      <c r="K8" s="1050" t="n"/>
    </row>
    <row r="9" ht="21.75" customHeight="1" s="981">
      <c r="A9" s="1117" t="inlineStr">
        <is>
          <t>◆  ĐỐI CHIẾU GIÁ VÀ CHIẾN LƯỢC</t>
        </is>
      </c>
      <c r="B9" s="965" t="n"/>
      <c r="C9" s="965" t="n"/>
      <c r="D9" s="965" t="n"/>
      <c r="E9" s="965" t="n"/>
      <c r="F9" s="965" t="n"/>
      <c r="G9" s="965" t="n"/>
      <c r="H9" s="965" t="n"/>
      <c r="I9" s="965" t="n"/>
      <c r="J9" s="965" t="n"/>
      <c r="K9" s="966" t="n"/>
    </row>
    <row r="10" ht="19.5" customHeight="1" s="981">
      <c r="A10" s="1208" t="inlineStr">
        <is>
          <t>Tổng vốn đầu tư vàng</t>
        </is>
      </c>
      <c r="B10" s="965" t="n"/>
      <c r="C10" s="966" t="n"/>
      <c r="D10" s="1206" t="inlineStr">
        <is>
          <t>2.5% tong tai san</t>
        </is>
      </c>
      <c r="E10" s="965" t="n"/>
      <c r="F10" s="965" t="n"/>
      <c r="G10" s="966" t="n"/>
      <c r="H10" s="1050" t="n"/>
      <c r="I10" s="965" t="n"/>
      <c r="J10" s="965" t="n"/>
      <c r="K10" s="966" t="n"/>
    </row>
    <row r="11" ht="19.5" customHeight="1" s="981">
      <c r="A11" s="1208" t="inlineStr">
        <is>
          <t>Giá trị hiện tại</t>
        </is>
      </c>
      <c r="B11" s="965" t="n"/>
      <c r="C11" s="966" t="n"/>
      <c r="D11" s="1206" t="inlineStr">
        <is>
          <t>+10.6% — bảo vệ tốt vốn</t>
        </is>
      </c>
      <c r="E11" s="965" t="n"/>
      <c r="F11" s="965" t="n"/>
      <c r="G11" s="966" t="n"/>
      <c r="H11" s="1050" t="n"/>
      <c r="I11" s="965" t="n"/>
      <c r="J11" s="965" t="n"/>
      <c r="K11" s="966" t="n"/>
    </row>
    <row r="12" ht="19.5" customHeight="1" s="981">
      <c r="A12" s="1208" t="inlineStr">
        <is>
          <t>MUC TIEU TICH LUY</t>
        </is>
      </c>
      <c r="B12" s="965" t="n"/>
      <c r="C12" s="966" t="n"/>
      <c r="D12" s="1216" t="inlineStr">
        <is>
          <t>⚠ Quá cao! Mục tiêu chỉ 5-10%</t>
        </is>
      </c>
      <c r="E12" s="965" t="n"/>
      <c r="F12" s="965" t="n"/>
      <c r="G12" s="966" t="n"/>
      <c r="H12" s="1050" t="n"/>
      <c r="I12" s="965" t="n"/>
      <c r="J12" s="965" t="n"/>
      <c r="K12" s="966" t="n"/>
    </row>
    <row r="13" ht="19.5" customHeight="1" s="981">
      <c r="A13" s="1208" t="n">
        <v>2026</v>
      </c>
      <c r="B13" s="965" t="n"/>
      <c r="C13" s="966" t="n"/>
      <c r="D13" s="1215" t="n">
        <v>0.078</v>
      </c>
      <c r="E13" s="965" t="n"/>
      <c r="F13" s="965" t="n"/>
      <c r="G13" s="966" t="n"/>
      <c r="H13" s="1050" t="n"/>
      <c r="I13" s="965" t="n"/>
      <c r="J13" s="965" t="n"/>
      <c r="K13" s="966" t="n"/>
    </row>
    <row r="14" ht="19.5" customHeight="1" s="981">
      <c r="A14" s="1208" t="n">
        <v>2027</v>
      </c>
      <c r="B14" s="965" t="n"/>
      <c r="C14" s="966" t="n"/>
      <c r="D14" s="1214" t="n">
        <v>0.1</v>
      </c>
      <c r="E14" s="965" t="n"/>
      <c r="F14" s="965" t="n"/>
      <c r="G14" s="966" t="n"/>
      <c r="H14" s="1050" t="n"/>
      <c r="I14" s="965" t="n"/>
      <c r="J14" s="965" t="n"/>
      <c r="K14" s="966" t="n"/>
    </row>
  </sheetData>
  <mergeCells count="20">
    <mergeCell ref="H13:K13"/>
    <mergeCell ref="D12:G12"/>
    <mergeCell ref="H12:K12"/>
    <mergeCell ref="A12:C12"/>
    <mergeCell ref="A1:K1"/>
    <mergeCell ref="D14:G14"/>
    <mergeCell ref="H14:K14"/>
    <mergeCell ref="A14:C14"/>
    <mergeCell ref="D10:G10"/>
    <mergeCell ref="H10:K10"/>
    <mergeCell ref="A10:C10"/>
    <mergeCell ref="A13:C13"/>
    <mergeCell ref="A3:K3"/>
    <mergeCell ref="A2:K2"/>
    <mergeCell ref="A7:D7"/>
    <mergeCell ref="D11:G11"/>
    <mergeCell ref="D13:G13"/>
    <mergeCell ref="A11:C11"/>
    <mergeCell ref="H11:K11"/>
    <mergeCell ref="A9:K9"/>
  </mergeCells>
  <pageMargins left="0.75" right="0.75" top="1" bottom="1" header="0.511811023622047" footer="0.511811023622047"/>
  <pageSetup orientation="portrait" paperSize="9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27.109375" customWidth="1" style="981" min="1" max="1"/>
    <col width="22" customWidth="1" style="981" min="2" max="2"/>
    <col width="15" customWidth="1" style="981" min="3" max="3"/>
    <col width="16" customWidth="1" style="981" min="7" max="7"/>
    <col width="13" customWidth="1" style="981" min="9" max="9"/>
    <col width="14" customWidth="1" style="981" min="10" max="10"/>
    <col width="22" customWidth="1" style="981" min="12" max="12"/>
  </cols>
  <sheetData>
    <row r="1" ht="30" customHeight="1" s="981">
      <c r="A1" s="1207" t="inlineStr">
        <is>
          <t>🏆  FIRE COUNTDOWN — LỘ TRÌNH TỰ DO TÀI CHÍNH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5" customHeight="1" s="981">
      <c r="A2" s="1128" t="inlineStr">
        <is>
          <t>Sinh năm 2000 · Hiện tại 26 tuổi · Bắt đầu tích sản 2025 · Mục tiêu FIRE 35–40 tuổi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21.75" customHeight="1" s="981">
      <c r="A3" s="1047" t="inlineStr">
        <is>
          <t>◆  THÔNG SỐ CÁ NHÂN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6" t="n"/>
    </row>
    <row r="4" ht="21.75" customHeight="1" s="981">
      <c r="A4" s="804" t="inlineStr">
        <is>
          <t>Năm sinh:</t>
        </is>
      </c>
      <c r="B4" s="744" t="n">
        <v>2000</v>
      </c>
      <c r="C4" s="1050" t="n"/>
      <c r="D4" s="1050" t="n"/>
      <c r="E4" s="1050" t="n"/>
      <c r="F4" s="1050" t="n"/>
      <c r="G4" s="1050" t="n"/>
      <c r="H4" s="965" t="n"/>
      <c r="I4" s="965" t="n"/>
      <c r="J4" s="965" t="n"/>
      <c r="K4" s="965" t="n"/>
      <c r="L4" s="966" t="n"/>
    </row>
    <row r="5" ht="21.75" customHeight="1" s="981">
      <c r="A5" s="804" t="inlineStr">
        <is>
          <t>Tuổi hiện tại:</t>
        </is>
      </c>
      <c r="B5" s="805" t="n"/>
      <c r="C5" s="1050" t="n"/>
      <c r="D5" s="1050" t="n"/>
      <c r="E5" s="1050" t="n"/>
      <c r="F5" s="1050" t="n"/>
      <c r="G5" s="1201" t="inlineStr">
        <is>
          <t>Năm 2026</t>
        </is>
      </c>
      <c r="H5" s="965" t="n"/>
      <c r="I5" s="965" t="n"/>
      <c r="J5" s="965" t="n"/>
      <c r="K5" s="965" t="n"/>
      <c r="L5" s="966" t="n"/>
    </row>
    <row r="6" ht="21.75" customHeight="1" s="981">
      <c r="A6" s="804" t="inlineStr">
        <is>
          <t>NAV hiện tại:</t>
        </is>
      </c>
      <c r="B6" s="744" t="n">
        <v>138520000</v>
      </c>
      <c r="C6" s="1050" t="n"/>
      <c r="D6" s="1050" t="n"/>
      <c r="E6" s="1050" t="n"/>
      <c r="F6" s="1050" t="n"/>
      <c r="G6" s="1201" t="inlineStr">
        <is>
          <t>Danh mục CP + Vàng + Tiền</t>
        </is>
      </c>
      <c r="H6" s="965" t="n"/>
      <c r="I6" s="965" t="n"/>
      <c r="J6" s="965" t="n"/>
      <c r="K6" s="965" t="n"/>
      <c r="L6" s="966" t="n"/>
    </row>
    <row r="7" ht="21.75" customHeight="1" s="981">
      <c r="A7" s="804" t="inlineStr">
        <is>
          <t>Chi phí sinh hoạt mục tiêu:</t>
        </is>
      </c>
      <c r="B7" s="744" t="n">
        <v>15000000</v>
      </c>
      <c r="C7" s="1050" t="n"/>
      <c r="D7" s="1050" t="n"/>
      <c r="E7" s="1050" t="n"/>
      <c r="F7" s="1050" t="n"/>
      <c r="G7" s="1201" t="inlineStr">
        <is>
          <t>Lifestyle FIRE mục tiêu</t>
        </is>
      </c>
      <c r="H7" s="965" t="n"/>
      <c r="I7" s="965" t="n"/>
      <c r="J7" s="965" t="n"/>
      <c r="K7" s="965" t="n"/>
      <c r="L7" s="966" t="n"/>
    </row>
    <row r="8" ht="21.75" customHeight="1" s="981">
      <c r="A8" s="804" t="inlineStr">
        <is>
          <t>FIRE Number (25x rule):</t>
        </is>
      </c>
      <c r="B8" s="805" t="n"/>
      <c r="C8" s="1050" t="n"/>
      <c r="D8" s="1050" t="n"/>
      <c r="E8" s="1050" t="n"/>
      <c r="F8" s="1050" t="n"/>
      <c r="G8" s="1201" t="inlineStr">
        <is>
          <t>≈15m × 12 × 25</t>
        </is>
      </c>
      <c r="H8" s="965" t="n"/>
      <c r="I8" s="965" t="n"/>
      <c r="J8" s="965" t="n"/>
      <c r="K8" s="965" t="n"/>
      <c r="L8" s="966" t="n"/>
    </row>
    <row r="9" ht="21.75" customHeight="1" s="981">
      <c r="A9" s="804" t="inlineStr">
        <is>
          <t>Còn thiếu:</t>
        </is>
      </c>
      <c r="B9" s="805" t="n"/>
      <c r="C9" s="1050" t="n"/>
      <c r="D9" s="1050" t="n"/>
      <c r="E9" s="1050" t="n"/>
      <c r="F9" s="1050" t="n"/>
      <c r="G9" s="1201" t="inlineStr">
        <is>
          <t>≈4.5 tỷ - 138.52m hiện tại</t>
        </is>
      </c>
      <c r="H9" s="965" t="n"/>
      <c r="I9" s="965" t="n"/>
      <c r="J9" s="965" t="n"/>
      <c r="K9" s="965" t="n"/>
      <c r="L9" s="966" t="n"/>
    </row>
    <row r="10" ht="21.75" customHeight="1" s="981">
      <c r="A10" s="804" t="inlineStr">
        <is>
          <t>CAGR mục tiêu:</t>
        </is>
      </c>
      <c r="B10" s="744" t="n">
        <v>0.15</v>
      </c>
      <c r="C10" s="1050" t="n"/>
      <c r="D10" s="1050" t="n"/>
      <c r="E10" s="1050" t="n"/>
      <c r="F10" s="1050" t="n"/>
      <c r="G10" s="1201" t="inlineStr">
        <is>
          <t>15%/năm — phù hợp danh mục tập trung VN</t>
        </is>
      </c>
      <c r="H10" s="965" t="n"/>
      <c r="I10" s="965" t="n"/>
      <c r="J10" s="965" t="n"/>
      <c r="K10" s="965" t="n"/>
      <c r="L10" s="966" t="n"/>
    </row>
    <row r="11" ht="21.75" customHeight="1" s="981">
      <c r="A11" s="1047" t="inlineStr">
        <is>
          <t>◆  LỘ TRÌNH THEO MỐC TUỔI</t>
        </is>
      </c>
      <c r="B11" s="1050" t="n"/>
      <c r="C11" s="1050" t="n"/>
      <c r="D11" s="1050" t="n"/>
      <c r="E11" s="1050" t="n"/>
      <c r="F11" s="1050" t="n"/>
      <c r="G11" s="1050" t="n"/>
      <c r="H11" s="1050" t="n"/>
      <c r="I11" s="1050" t="n"/>
      <c r="J11" s="1050" t="n"/>
      <c r="K11" s="1050" t="n"/>
      <c r="L11" s="1050" t="n"/>
    </row>
    <row r="12" ht="25.5" customHeight="1" s="981">
      <c r="A12" s="728" t="inlineStr">
        <is>
          <t>TUỔI</t>
        </is>
      </c>
      <c r="B12" s="728" t="inlineStr">
        <is>
          <t>NĂM</t>
        </is>
      </c>
      <c r="C12" s="728" t="inlineStr">
        <is>
          <t>NAV MỤC TIÊU</t>
        </is>
      </c>
      <c r="D12" s="728" t="inlineStr">
        <is>
          <t>NAV KỲ VỌNG
15% CAGR</t>
        </is>
      </c>
      <c r="E12" s="728" t="inlineStr">
        <is>
          <t>NAV KỲ VỌNG
12% CAGR</t>
        </is>
      </c>
      <c r="F12" s="728" t="inlineStr">
        <is>
          <t>NAV KỲ VỌNG
20% CAGR</t>
        </is>
      </c>
      <c r="G12" s="728" t="inlineStr">
        <is>
          <t>DCA 2M/THÁNG
+15%</t>
        </is>
      </c>
      <c r="H12" s="728" t="inlineStr">
        <is>
          <t>PASSIVE INCOME
4% rule</t>
        </is>
      </c>
      <c r="I12" s="728" t="inlineStr">
        <is>
          <t>TRẠNG THÁI FIRE</t>
        </is>
      </c>
      <c r="J12" s="728" t="inlineStr">
        <is>
          <t>KPIs CHÍNH</t>
        </is>
      </c>
      <c r="K12" s="728" t="inlineStr">
        <is>
          <t>%vs FIRE Number</t>
        </is>
      </c>
      <c r="L12" s="728" t="inlineStr">
        <is>
          <t>SỰ KIỆN QUAN TRỌNG</t>
        </is>
      </c>
    </row>
    <row r="13" ht="18" customHeight="1" s="981">
      <c r="A13" s="746" t="n">
        <v>27</v>
      </c>
      <c r="B13" s="806" t="n">
        <v>2027</v>
      </c>
      <c r="C13" s="746" t="n">
        <v>0</v>
      </c>
      <c r="D13" s="807" t="n">
        <v>183298000</v>
      </c>
      <c r="E13" s="808" t="n">
        <v>179142400</v>
      </c>
      <c r="F13" s="809" t="n">
        <v>190224000</v>
      </c>
      <c r="G13" s="810" t="n">
        <v>207298000</v>
      </c>
      <c r="H13" s="811" t="n">
        <v>610993</v>
      </c>
      <c r="I13" s="812" t="inlineStr">
        <is>
          <t>⏳ Tích lũy</t>
        </is>
      </c>
      <c r="J13" s="782" t="inlineStr">
        <is>
          <t>—</t>
        </is>
      </c>
      <c r="K13" s="813" t="n">
        <v>0.0407</v>
      </c>
      <c r="L13" s="814" t="inlineStr">
        <is>
          <t>Tốt nghiệp ĐH — bắt đầu công việc full-time</t>
        </is>
      </c>
    </row>
    <row r="14" ht="18" customHeight="1" s="981">
      <c r="A14" s="746" t="n">
        <v>28</v>
      </c>
      <c r="B14" s="806" t="n">
        <v>2028</v>
      </c>
      <c r="C14" s="746" t="n">
        <v>0</v>
      </c>
      <c r="D14" s="807" t="n">
        <v>234792700</v>
      </c>
      <c r="E14" s="808" t="n">
        <v>224639488</v>
      </c>
      <c r="F14" s="809" t="n">
        <v>252268800</v>
      </c>
      <c r="G14" s="810" t="n">
        <v>282792700</v>
      </c>
      <c r="H14" s="811" t="n">
        <v>782642</v>
      </c>
      <c r="I14" s="812" t="inlineStr">
        <is>
          <t>⏳ Tích lũy</t>
        </is>
      </c>
      <c r="J14" s="782" t="inlineStr">
        <is>
          <t>—</t>
        </is>
      </c>
      <c r="K14" s="813" t="n">
        <v>0.0522</v>
      </c>
      <c r="L14" s="814" t="inlineStr">
        <is>
          <t>Thăng Senior/Lead — tăng thu nhập 40%</t>
        </is>
      </c>
    </row>
    <row r="15" ht="18" customHeight="1" s="981">
      <c r="A15" s="746" t="n">
        <v>29</v>
      </c>
      <c r="B15" s="806" t="n">
        <v>2029</v>
      </c>
      <c r="C15" s="746" t="n">
        <v>0</v>
      </c>
      <c r="D15" s="807" t="n">
        <v>294011605</v>
      </c>
      <c r="E15" s="808" t="n">
        <v>275596227</v>
      </c>
      <c r="F15" s="809" t="n">
        <v>326722560</v>
      </c>
      <c r="G15" s="810" t="n">
        <v>366011605</v>
      </c>
      <c r="H15" s="811" t="n">
        <v>980039</v>
      </c>
      <c r="I15" s="812" t="inlineStr">
        <is>
          <t>⏳ Tích lũy</t>
        </is>
      </c>
      <c r="J15" s="782" t="inlineStr">
        <is>
          <t>—</t>
        </is>
      </c>
      <c r="K15" s="813" t="n">
        <v>0.0653</v>
      </c>
      <c r="L15" s="814" t="inlineStr">
        <is>
          <t>Thạc sĩ / CFA Level 1</t>
        </is>
      </c>
    </row>
    <row r="16" ht="21.75" customHeight="1" s="981">
      <c r="A16" s="815" t="n">
        <v>30</v>
      </c>
      <c r="B16" s="816" t="n">
        <v>2030</v>
      </c>
      <c r="C16" s="817" t="n">
        <v>500000000</v>
      </c>
      <c r="D16" s="818" t="n">
        <v>362113346</v>
      </c>
      <c r="E16" s="819" t="n">
        <v>332667774</v>
      </c>
      <c r="F16" s="809" t="n">
        <v>416067072</v>
      </c>
      <c r="G16" s="820" t="n">
        <v>458113346</v>
      </c>
      <c r="H16" s="811" t="n">
        <v>1207044</v>
      </c>
      <c r="I16" s="821" t="inlineStr">
        <is>
          <t>⏳ Tích lũy</t>
        </is>
      </c>
      <c r="J16" s="822" t="inlineStr">
        <is>
          <t>🎯 NAV≥5tr</t>
        </is>
      </c>
      <c r="K16" s="823" t="n">
        <v>0.0805</v>
      </c>
      <c r="L16" s="824" t="inlineStr">
        <is>
          <t>Milestone 500tr — Vào Big Fund / Family Office</t>
        </is>
      </c>
    </row>
    <row r="17" ht="18" customHeight="1" s="981">
      <c r="A17" s="746" t="n">
        <v>31</v>
      </c>
      <c r="B17" s="806" t="n">
        <v>2031</v>
      </c>
      <c r="C17" s="746" t="n">
        <v>0</v>
      </c>
      <c r="D17" s="807" t="n">
        <v>440430348</v>
      </c>
      <c r="E17" s="808" t="n">
        <v>396587907</v>
      </c>
      <c r="F17" s="809" t="n">
        <v>523280486</v>
      </c>
      <c r="G17" s="810" t="n">
        <v>560430348</v>
      </c>
      <c r="H17" s="811" t="n">
        <v>1468101</v>
      </c>
      <c r="I17" s="812" t="inlineStr">
        <is>
          <t>⏳ Tích lũy</t>
        </is>
      </c>
      <c r="J17" s="782" t="inlineStr">
        <is>
          <t>—</t>
        </is>
      </c>
      <c r="K17" s="813" t="n">
        <v>0.0979</v>
      </c>
      <c r="L17" s="814" t="inlineStr">
        <is>
          <t>Danh mục tự vận hành — thu động bắt đầu</t>
        </is>
      </c>
    </row>
    <row r="18" ht="18" customHeight="1" s="981">
      <c r="A18" s="746" t="n">
        <v>32</v>
      </c>
      <c r="B18" s="806" t="n">
        <v>2032</v>
      </c>
      <c r="C18" s="746" t="n">
        <v>0</v>
      </c>
      <c r="D18" s="807" t="n">
        <v>530494900</v>
      </c>
      <c r="E18" s="808" t="n">
        <v>468178455</v>
      </c>
      <c r="F18" s="809" t="n">
        <v>651936584</v>
      </c>
      <c r="G18" s="810" t="n">
        <v>674494900</v>
      </c>
      <c r="H18" s="811" t="n">
        <v>1768316</v>
      </c>
      <c r="I18" s="812" t="inlineStr">
        <is>
          <t>⏳ Tích lũy</t>
        </is>
      </c>
      <c r="J18" s="782" t="inlineStr">
        <is>
          <t>—</t>
        </is>
      </c>
      <c r="K18" s="813" t="n">
        <v>0.1179</v>
      </c>
      <c r="L18" s="814" t="inlineStr">
        <is>
          <t>CFA Level 3 — Portfolio Manager</t>
        </is>
      </c>
    </row>
    <row r="19" ht="18" customHeight="1" s="981">
      <c r="A19" s="746" t="n">
        <v>33</v>
      </c>
      <c r="B19" s="806" t="n">
        <v>2033</v>
      </c>
      <c r="C19" s="746" t="n">
        <v>0</v>
      </c>
      <c r="D19" s="807" t="n">
        <v>634069135</v>
      </c>
      <c r="E19" s="808" t="n">
        <v>548359870</v>
      </c>
      <c r="F19" s="809" t="n">
        <v>806323900</v>
      </c>
      <c r="G19" s="810" t="n">
        <v>802069135</v>
      </c>
      <c r="H19" s="811" t="n">
        <v>2113564</v>
      </c>
      <c r="I19" s="812" t="inlineStr">
        <is>
          <t>⏳ Tích lũy</t>
        </is>
      </c>
      <c r="J19" s="782" t="inlineStr">
        <is>
          <t>—</t>
        </is>
      </c>
      <c r="K19" s="813" t="n">
        <v>0.1409</v>
      </c>
      <c r="L19" s="814" t="inlineStr">
        <is>
          <t>NAV &gt; 650tr — Mua đất / BĐS đầu tiên</t>
        </is>
      </c>
    </row>
    <row r="20" ht="18" customHeight="1" s="981">
      <c r="A20" s="746" t="n">
        <v>34</v>
      </c>
      <c r="B20" s="806" t="n">
        <v>2034</v>
      </c>
      <c r="C20" s="746" t="n">
        <v>0</v>
      </c>
      <c r="D20" s="807" t="n">
        <v>753179505</v>
      </c>
      <c r="E20" s="808" t="n">
        <v>638163054</v>
      </c>
      <c r="F20" s="809" t="n">
        <v>991588680</v>
      </c>
      <c r="G20" s="810" t="n">
        <v>945179505</v>
      </c>
      <c r="H20" s="811" t="n">
        <v>2510598</v>
      </c>
      <c r="I20" s="812" t="inlineStr">
        <is>
          <t>⏳ Tích lũy</t>
        </is>
      </c>
      <c r="J20" s="782" t="inlineStr">
        <is>
          <t>—</t>
        </is>
      </c>
      <c r="K20" s="813" t="n">
        <v>0.1674</v>
      </c>
      <c r="L20" s="814" t="inlineStr">
        <is>
          <t>Passive income &gt; 5 triệu/tháng</t>
        </is>
      </c>
    </row>
    <row r="21" ht="21.75" customHeight="1" s="981">
      <c r="A21" s="815" t="n">
        <v>35</v>
      </c>
      <c r="B21" s="816" t="n">
        <v>2035</v>
      </c>
      <c r="C21" s="817" t="n">
        <v>2000000000</v>
      </c>
      <c r="D21" s="818" t="n">
        <v>890156431</v>
      </c>
      <c r="E21" s="819" t="n">
        <v>738742621</v>
      </c>
      <c r="F21" s="809" t="n">
        <v>1213906417</v>
      </c>
      <c r="G21" s="820" t="n">
        <v>1106156431</v>
      </c>
      <c r="H21" s="811" t="n">
        <v>2967188</v>
      </c>
      <c r="I21" s="821" t="inlineStr">
        <is>
          <t>⏳ Tích lũy</t>
        </is>
      </c>
      <c r="J21" s="822" t="inlineStr">
        <is>
          <t>🎯 NAV≥20tr</t>
        </is>
      </c>
      <c r="K21" s="823" t="n">
        <v>0.1978</v>
      </c>
      <c r="L21" s="824" t="inlineStr">
        <is>
          <t>FIRE chuẩn 2 tỷ — Độc lập tài chính</t>
        </is>
      </c>
    </row>
    <row r="22" ht="18" customHeight="1" s="981">
      <c r="A22" s="746" t="n">
        <v>36</v>
      </c>
      <c r="B22" s="806" t="n">
        <v>2036</v>
      </c>
      <c r="C22" s="746" t="n">
        <v>0</v>
      </c>
      <c r="D22" s="807" t="n">
        <v>1047679895</v>
      </c>
      <c r="E22" s="808" t="n">
        <v>851391735</v>
      </c>
      <c r="F22" s="809" t="n">
        <v>1480687700</v>
      </c>
      <c r="G22" s="810" t="n">
        <v>1287679895</v>
      </c>
      <c r="H22" s="811" t="n">
        <v>3492266</v>
      </c>
      <c r="I22" s="812" t="inlineStr">
        <is>
          <t>⏳ Tích lũy</t>
        </is>
      </c>
      <c r="J22" s="782" t="inlineStr">
        <is>
          <t>—</t>
        </is>
      </c>
      <c r="K22" s="813" t="n">
        <v>0.2328</v>
      </c>
      <c r="L22" s="814" t="inlineStr">
        <is>
          <t>Mở quỹ cá nhân / gia đình</t>
        </is>
      </c>
    </row>
    <row r="23" ht="18" customHeight="1" s="981">
      <c r="A23" s="746" t="n">
        <v>37</v>
      </c>
      <c r="B23" s="806" t="n">
        <v>2037</v>
      </c>
      <c r="C23" s="746" t="n">
        <v>0</v>
      </c>
      <c r="D23" s="807" t="n">
        <v>1228831880</v>
      </c>
      <c r="E23" s="808" t="n">
        <v>977558744</v>
      </c>
      <c r="F23" s="809" t="n">
        <v>1800825240</v>
      </c>
      <c r="G23" s="810" t="n">
        <v>1492831880</v>
      </c>
      <c r="H23" s="811" t="n">
        <v>4096106</v>
      </c>
      <c r="I23" s="812" t="inlineStr">
        <is>
          <t>⏳ Tích lũy</t>
        </is>
      </c>
      <c r="J23" s="782" t="inlineStr">
        <is>
          <t>—</t>
        </is>
      </c>
      <c r="K23" s="813" t="n">
        <v>0.2731</v>
      </c>
      <c r="L23" s="814" t="inlineStr">
        <is>
          <t>Passive income &gt; 10 triệu/tháng</t>
        </is>
      </c>
    </row>
    <row r="24" ht="18" customHeight="1" s="981">
      <c r="A24" s="746" t="n">
        <v>38</v>
      </c>
      <c r="B24" s="806" t="n">
        <v>2038</v>
      </c>
      <c r="C24" s="746" t="n">
        <v>0</v>
      </c>
      <c r="D24" s="807" t="n">
        <v>1437156661</v>
      </c>
      <c r="E24" s="808" t="n">
        <v>1118865793</v>
      </c>
      <c r="F24" s="809" t="n">
        <v>2184990288</v>
      </c>
      <c r="G24" s="810" t="n">
        <v>1725156661</v>
      </c>
      <c r="H24" s="811" t="n">
        <v>4790522</v>
      </c>
      <c r="I24" s="812" t="inlineStr">
        <is>
          <t>⏳ Tích lũy</t>
        </is>
      </c>
      <c r="J24" s="782" t="inlineStr">
        <is>
          <t>—</t>
        </is>
      </c>
      <c r="K24" s="813" t="n">
        <v>0.3194</v>
      </c>
      <c r="L24" s="814" t="inlineStr">
        <is>
          <t>NAV &gt; 1.5 tỷ — FatFIRE sắp đến</t>
        </is>
      </c>
    </row>
    <row r="25" ht="18" customHeight="1" s="981">
      <c r="A25" s="746" t="n">
        <v>39</v>
      </c>
      <c r="B25" s="806" t="n">
        <v>2039</v>
      </c>
      <c r="C25" s="746" t="n">
        <v>0</v>
      </c>
      <c r="D25" s="807" t="n">
        <v>1676730161</v>
      </c>
      <c r="E25" s="808" t="n">
        <v>1277129688</v>
      </c>
      <c r="F25" s="809" t="n">
        <v>2645988345</v>
      </c>
      <c r="G25" s="810" t="n">
        <v>1988730161</v>
      </c>
      <c r="H25" s="811" t="n">
        <v>5589101</v>
      </c>
      <c r="I25" s="812" t="inlineStr">
        <is>
          <t>⏳ Tích lũy</t>
        </is>
      </c>
      <c r="J25" s="782" t="inlineStr">
        <is>
          <t>—</t>
        </is>
      </c>
      <c r="K25" s="813" t="n">
        <v>0.3726</v>
      </c>
      <c r="L25" s="814" t="inlineStr">
        <is>
          <t>Passive income &gt; 15 triệu/tháng</t>
        </is>
      </c>
    </row>
    <row r="26" ht="21.75" customHeight="1" s="981">
      <c r="A26" s="815" t="n">
        <v>40</v>
      </c>
      <c r="B26" s="816" t="n">
        <v>2040</v>
      </c>
      <c r="C26" s="817" t="n">
        <v>4500000000</v>
      </c>
      <c r="D26" s="825" t="n">
        <v>1952239685</v>
      </c>
      <c r="E26" s="819" t="n">
        <v>1454385251</v>
      </c>
      <c r="F26" s="809" t="n">
        <v>3199186015</v>
      </c>
      <c r="G26" s="820" t="n">
        <v>2288239685</v>
      </c>
      <c r="H26" s="811" t="n">
        <v>6507466</v>
      </c>
      <c r="I26" s="821" t="inlineStr">
        <is>
          <t>📈 Tốt</t>
        </is>
      </c>
      <c r="J26" s="822" t="inlineStr">
        <is>
          <t>🎯 NAV≥45tr</t>
        </is>
      </c>
      <c r="K26" s="823" t="n">
        <v>0.4338</v>
      </c>
      <c r="L26" s="824" t="inlineStr">
        <is>
          <t>🔥 LEGACY FIRE 4.5 tỷ — Tự do hoàn toàn</t>
        </is>
      </c>
    </row>
    <row r="27" ht="18" customHeight="1" s="981">
      <c r="A27" s="746" t="n">
        <v>41</v>
      </c>
      <c r="B27" s="806" t="n">
        <v>2041</v>
      </c>
      <c r="C27" s="746" t="n">
        <v>0</v>
      </c>
      <c r="D27" s="825" t="n">
        <v>2269075638</v>
      </c>
      <c r="E27" s="808" t="n">
        <v>1652911481</v>
      </c>
      <c r="F27" s="809" t="n">
        <v>3863023217</v>
      </c>
      <c r="G27" s="810" t="n">
        <v>2629075638</v>
      </c>
      <c r="H27" s="811" t="n">
        <v>7563585</v>
      </c>
      <c r="I27" s="812" t="inlineStr">
        <is>
          <t>📈 Tốt</t>
        </is>
      </c>
      <c r="J27" s="782" t="inlineStr">
        <is>
          <t>—</t>
        </is>
      </c>
      <c r="K27" s="826" t="n">
        <v>0.5042</v>
      </c>
      <c r="L27" s="814" t="inlineStr">
        <is>
          <t>Quỹ Tâm Sáng tích luỹ đủ lớn — từ thiện có hệ thống</t>
        </is>
      </c>
    </row>
    <row r="28" ht="18" customHeight="1" s="981">
      <c r="A28" s="746" t="n">
        <v>42</v>
      </c>
      <c r="B28" s="806" t="n">
        <v>2042</v>
      </c>
      <c r="C28" s="746" t="n">
        <v>0</v>
      </c>
      <c r="D28" s="825" t="n">
        <v>2633436983</v>
      </c>
      <c r="E28" s="808" t="n">
        <v>1875260859</v>
      </c>
      <c r="F28" s="809" t="n">
        <v>4659627861</v>
      </c>
      <c r="G28" s="810" t="n">
        <v>3017436983</v>
      </c>
      <c r="H28" s="811" t="n">
        <v>8778123</v>
      </c>
      <c r="I28" s="812" t="inlineStr">
        <is>
          <t>📈 Tốt</t>
        </is>
      </c>
      <c r="J28" s="782" t="inlineStr">
        <is>
          <t>—</t>
        </is>
      </c>
      <c r="K28" s="826" t="n">
        <v>0.5852000000000001</v>
      </c>
      <c r="L28" s="814" t="inlineStr">
        <is>
          <t>Mentor lớp trẻ — Gửi lại triết lý đầu tư</t>
        </is>
      </c>
    </row>
    <row r="29" ht="18" customHeight="1" s="981">
      <c r="A29" s="746" t="n">
        <v>43</v>
      </c>
      <c r="B29" s="806" t="n">
        <v>2043</v>
      </c>
      <c r="C29" s="746" t="n">
        <v>0</v>
      </c>
      <c r="D29" s="825" t="n">
        <v>3052452531</v>
      </c>
      <c r="E29" s="808" t="n">
        <v>2124292162</v>
      </c>
      <c r="F29" s="809" t="n">
        <v>5615553433</v>
      </c>
      <c r="G29" s="810" t="n">
        <v>3460452531</v>
      </c>
      <c r="H29" s="811" t="n">
        <v>10174842</v>
      </c>
      <c r="I29" s="812" t="inlineStr">
        <is>
          <t>📈 Tốt</t>
        </is>
      </c>
      <c r="J29" s="782" t="inlineStr">
        <is>
          <t>—</t>
        </is>
      </c>
      <c r="K29" s="826" t="n">
        <v>0.6783</v>
      </c>
      <c r="L29" s="814" t="inlineStr">
        <is>
          <t>NAV &gt; 3 tỷ — Không bao giờ lo tiền nữa</t>
        </is>
      </c>
    </row>
    <row r="30" ht="18" customHeight="1" s="981">
      <c r="A30" s="746" t="n">
        <v>44</v>
      </c>
      <c r="B30" s="806" t="n">
        <v>2044</v>
      </c>
      <c r="C30" s="746" t="n">
        <v>0</v>
      </c>
      <c r="D30" s="825" t="n">
        <v>3534320410</v>
      </c>
      <c r="E30" s="808" t="n">
        <v>2403207221</v>
      </c>
      <c r="F30" s="809" t="n">
        <v>6762664120</v>
      </c>
      <c r="G30" s="810" t="n">
        <v>3966320410</v>
      </c>
      <c r="H30" s="811" t="n">
        <v>11781068</v>
      </c>
      <c r="I30" s="827" t="inlineStr">
        <is>
          <t>🚀 Sắp FIRE</t>
        </is>
      </c>
      <c r="J30" s="782" t="inlineStr">
        <is>
          <t>—</t>
        </is>
      </c>
      <c r="K30" s="826" t="n">
        <v>0.7854</v>
      </c>
      <c r="L30" s="814" t="inlineStr">
        <is>
          <t>Quỹ di sản cho con cái / thế hệ tiếp theo</t>
        </is>
      </c>
    </row>
    <row r="31" ht="21.75" customHeight="1" s="981">
      <c r="A31" s="815" t="n">
        <v>45</v>
      </c>
      <c r="B31" s="816" t="n">
        <v>2045</v>
      </c>
      <c r="C31" s="817" t="n">
        <v>8000000000</v>
      </c>
      <c r="D31" s="825" t="n">
        <v>4088468472</v>
      </c>
      <c r="E31" s="819" t="n">
        <v>2715592087</v>
      </c>
      <c r="F31" s="809" t="n">
        <v>8139196944</v>
      </c>
      <c r="G31" s="820" t="n">
        <v>4544468472</v>
      </c>
      <c r="H31" s="811" t="n">
        <v>13628228</v>
      </c>
      <c r="I31" s="827" t="inlineStr">
        <is>
          <t>🚀 Sắp FIRE</t>
        </is>
      </c>
      <c r="J31" s="828" t="inlineStr">
        <is>
          <t>NAV≥8.0tỷ</t>
        </is>
      </c>
      <c r="K31" s="826" t="n">
        <v>0.9085</v>
      </c>
      <c r="L31" s="824" t="inlineStr">
        <is>
          <t>LEGACY COMPLETE — 50 năm tầm nhìn</t>
        </is>
      </c>
    </row>
    <row r="32" ht="18" customHeight="1" s="981">
      <c r="A32" s="746" t="n">
        <v>46</v>
      </c>
      <c r="B32" s="806" t="n"/>
      <c r="C32" s="746" t="n">
        <v>0</v>
      </c>
      <c r="D32" s="806" t="n"/>
      <c r="E32" s="806" t="n"/>
      <c r="F32" s="806" t="n"/>
      <c r="G32" s="781" t="n">
        <v>4890506565</v>
      </c>
      <c r="H32" s="779" t="n">
        <v>16301688</v>
      </c>
      <c r="I32" s="783" t="inlineStr">
        <is>
          <t>✅ FIRE!</t>
        </is>
      </c>
      <c r="J32" s="782" t="inlineStr">
        <is>
          <t>—</t>
        </is>
      </c>
      <c r="K32" s="779" t="n">
        <v>1.0867792368576</v>
      </c>
      <c r="L32" s="829" t="n"/>
    </row>
    <row r="33" ht="18" customHeight="1" s="981">
      <c r="A33" s="746" t="n">
        <v>47</v>
      </c>
      <c r="B33" s="806" t="n"/>
      <c r="C33" s="746" t="n">
        <v>0</v>
      </c>
      <c r="D33" s="806" t="n"/>
      <c r="E33" s="806" t="n"/>
      <c r="F33" s="806" t="n"/>
      <c r="G33" s="781" t="n">
        <v>5649690926</v>
      </c>
      <c r="H33" s="779" t="n">
        <v>18832303</v>
      </c>
      <c r="I33" s="783" t="inlineStr">
        <is>
          <t>✅ FIRE!</t>
        </is>
      </c>
      <c r="J33" s="782" t="inlineStr">
        <is>
          <t>—</t>
        </is>
      </c>
      <c r="K33" s="779" t="n">
        <v>1.25548687265983</v>
      </c>
      <c r="L33" s="829" t="n"/>
    </row>
    <row r="34" ht="18" customHeight="1" s="981">
      <c r="A34" s="746" t="n">
        <v>48</v>
      </c>
      <c r="B34" s="806" t="n"/>
      <c r="C34" s="746" t="n">
        <v>0</v>
      </c>
      <c r="D34" s="806" t="n"/>
      <c r="E34" s="806" t="n"/>
      <c r="F34" s="806" t="n"/>
      <c r="G34" s="781" t="n">
        <v>6522752942</v>
      </c>
      <c r="H34" s="779" t="n">
        <v>21742509</v>
      </c>
      <c r="I34" s="783" t="inlineStr">
        <is>
          <t>✅ FIRE!</t>
        </is>
      </c>
      <c r="J34" s="782" t="inlineStr">
        <is>
          <t>—</t>
        </is>
      </c>
      <c r="K34" s="779" t="n">
        <v>1.44950065383238</v>
      </c>
      <c r="L34" s="829" t="n"/>
    </row>
    <row r="35" ht="18" customHeight="1" s="981">
      <c r="A35" s="746" t="n">
        <v>49</v>
      </c>
      <c r="B35" s="806" t="n"/>
      <c r="C35" s="746" t="n">
        <v>0</v>
      </c>
      <c r="D35" s="806" t="n"/>
      <c r="E35" s="806" t="n"/>
      <c r="F35" s="806" t="n"/>
      <c r="G35" s="781" t="n">
        <v>7526774259</v>
      </c>
      <c r="H35" s="779" t="n">
        <v>25089247</v>
      </c>
      <c r="I35" s="783" t="inlineStr">
        <is>
          <t>✅ FIRE!</t>
        </is>
      </c>
      <c r="J35" s="782" t="inlineStr">
        <is>
          <t>—</t>
        </is>
      </c>
      <c r="K35" s="779" t="n">
        <v>1.67261650218082</v>
      </c>
      <c r="L35" s="829" t="n"/>
    </row>
    <row r="36" ht="21.75" customHeight="1" s="981">
      <c r="A36" s="815" t="n">
        <v>50</v>
      </c>
      <c r="B36" s="816" t="n"/>
      <c r="C36" s="817" t="n">
        <v>15000000000</v>
      </c>
      <c r="D36" s="816" t="n"/>
      <c r="E36" s="816" t="n"/>
      <c r="F36" s="816" t="n"/>
      <c r="G36" s="830" t="n">
        <v>8681398775</v>
      </c>
      <c r="H36" s="830" t="n">
        <v>28937995</v>
      </c>
      <c r="I36" s="831" t="inlineStr">
        <is>
          <t>💎 FatFIRE</t>
        </is>
      </c>
      <c r="J36" s="828" t="inlineStr">
        <is>
          <t>NAV≥15.0tỷ</t>
        </is>
      </c>
      <c r="K36" s="830" t="n">
        <v>1.92919972778153</v>
      </c>
      <c r="L36" s="828" t="inlineStr">
        <is>
          <t>Tri thức + Thiện nguyện</t>
        </is>
      </c>
    </row>
  </sheetData>
  <mergeCells count="10">
    <mergeCell ref="A2:L2"/>
    <mergeCell ref="G5:L5"/>
    <mergeCell ref="G10:L10"/>
    <mergeCell ref="G6:L6"/>
    <mergeCell ref="A1:L1"/>
    <mergeCell ref="G9:L9"/>
    <mergeCell ref="G8:L8"/>
    <mergeCell ref="G4:L4"/>
    <mergeCell ref="A3:L3"/>
    <mergeCell ref="G7:L7"/>
  </mergeCells>
  <pageMargins left="0.75" right="0.75" top="1" bottom="1" header="0.511811023622047" footer="0.511811023622047"/>
  <pageSetup orientation="portrait" paperSize="9" horizontalDpi="300" verticalDpi="30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24" customWidth="1" style="981" min="1" max="1"/>
    <col width="14" customWidth="1" style="981" min="2" max="2"/>
    <col width="12" customWidth="1" style="981" min="3" max="3"/>
    <col width="10" customWidth="1" style="981" min="4" max="4"/>
    <col width="12" customWidth="1" style="981" min="5" max="5"/>
    <col width="14" customWidth="1" style="981" min="6" max="6"/>
    <col width="20" customWidth="1" style="981" min="7" max="7"/>
    <col width="12" customWidth="1" style="981" min="8" max="8"/>
    <col width="14" customWidth="1" style="981" min="9" max="9"/>
    <col width="24" customWidth="1" style="981" min="10" max="10"/>
  </cols>
  <sheetData>
    <row r="1" ht="30" customHeight="1" s="981">
      <c r="A1" s="1207" t="inlineStr">
        <is>
          <t>🌍  RADAR VĨ MÔ &amp; BẢN ĐỒ CHIẾN LƯỢC — Framework Bill Gates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6" t="n"/>
    </row>
    <row r="2" ht="15" customHeight="1" s="981">
      <c r="A2" s="1128" t="inlineStr">
        <is>
          <t>Khóa van vĩ mô: Khi &gt;3 chỉ báo đỏ → PHÒNG THỦ | &lt;2 chỉ báo đỏ → GIẢI NGÂN | Cập nhật hàng tháng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6" t="n"/>
    </row>
    <row r="3" ht="21.75" customHeight="1" s="981">
      <c r="A3" s="1047" t="inlineStr">
        <is>
          <t>◆  BẢNG CHỈ SỐ VĨ MÔ VIỆT NAM &amp; TOÀN CẦU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6" t="n"/>
    </row>
    <row r="4" ht="25.5" customHeight="1" s="981">
      <c r="A4" s="728" t="inlineStr">
        <is>
          <t>CHỈ SỐ</t>
        </is>
      </c>
      <c r="B4" s="728" t="inlineStr">
        <is>
          <t>HIỆN TẠI</t>
        </is>
      </c>
      <c r="C4" s="728" t="inlineStr">
        <is>
          <t>THÁNG TRƯỚC</t>
        </is>
      </c>
      <c r="D4" s="728" t="inlineStr">
        <is>
          <t>THAY ĐỔI</t>
        </is>
      </c>
      <c r="E4" s="728" t="inlineStr">
        <is>
          <t>NGƯỠNG</t>
        </is>
      </c>
      <c r="F4" s="728" t="inlineStr">
        <is>
          <t>TRẠNG THÁI</t>
        </is>
      </c>
      <c r="G4" s="728" t="inlineStr">
        <is>
          <t>Ý NGHĨA ĐỐI VỚI DANH MỤC</t>
        </is>
      </c>
      <c r="H4" s="728" t="inlineStr">
        <is>
          <t>NGUỒN</t>
        </is>
      </c>
      <c r="I4" s="728" t="inlineStr">
        <is>
          <t>CẬP NHẬT</t>
        </is>
      </c>
      <c r="J4" s="728" t="inlineStr">
        <is>
          <t>GHI CHÚ CHIẾN LƯỢC</t>
        </is>
      </c>
    </row>
    <row r="5" ht="18" customHeight="1" s="981">
      <c r="A5" s="832" t="inlineStr">
        <is>
          <t>VN-Index (điểm)</t>
        </is>
      </c>
      <c r="B5" s="276" t="inlineStr">
        <is>
          <t>1,864</t>
        </is>
      </c>
      <c r="C5" s="782" t="inlineStr">
        <is>
          <t>1,874</t>
        </is>
      </c>
      <c r="D5" s="783" t="inlineStr">
        <is>
          <t>-0.53%</t>
        </is>
      </c>
      <c r="E5" s="782" t="inlineStr">
        <is>
          <t>&lt;1,100=Mua/&gt;1,500=Cảnh giác</t>
        </is>
      </c>
      <c r="F5" s="783" t="inlineStr">
        <is>
          <t>🟢 Bình thường</t>
        </is>
      </c>
      <c r="G5" s="736" t="inlineStr">
        <is>
          <t>Danh mục đang trong vùng tích lũy tốt</t>
        </is>
      </c>
      <c r="H5" s="782" t="inlineStr">
        <is>
          <t>cafef.vn</t>
        </is>
      </c>
      <c r="I5" s="782" t="inlineStr">
        <is>
          <t>28/05/2026</t>
        </is>
      </c>
      <c r="J5" s="782" t="inlineStr">
        <is>
          <t>P/E thị trường 15.97x — hợp lý</t>
        </is>
      </c>
    </row>
    <row r="6" ht="18" customHeight="1" s="981">
      <c r="A6" s="833" t="inlineStr">
        <is>
          <t>GDP VN tăng trưởng</t>
        </is>
      </c>
      <c r="B6" s="268" t="inlineStr">
        <is>
          <t>6.93%</t>
        </is>
      </c>
      <c r="C6" s="791" t="inlineStr">
        <is>
          <t>6.72%</t>
        </is>
      </c>
      <c r="D6" s="792" t="inlineStr">
        <is>
          <t>+0.21%</t>
        </is>
      </c>
      <c r="E6" s="791" t="inlineStr">
        <is>
          <t>&gt;6%=Tốt | &gt;7%=Xuất sắc</t>
        </is>
      </c>
      <c r="F6" s="792" t="inlineStr">
        <is>
          <t>🟢 Tốt</t>
        </is>
      </c>
      <c r="G6" s="732" t="inlineStr">
        <is>
          <t>Nền tảng kinh tế vĩ mô hỗ trợ chứng khoán</t>
        </is>
      </c>
      <c r="H6" s="791" t="inlineStr">
        <is>
          <t>GSO</t>
        </is>
      </c>
      <c r="I6" s="791" t="inlineStr">
        <is>
          <t>Q1/2026</t>
        </is>
      </c>
      <c r="J6" s="791" t="inlineStr">
        <is>
          <t>Mục tiêu 7% cả năm — khả thi</t>
        </is>
      </c>
    </row>
    <row r="7" ht="18" customHeight="1" s="981">
      <c r="A7" s="832" t="inlineStr">
        <is>
          <t>Lãi suất điều hành SBV</t>
        </is>
      </c>
      <c r="B7" s="276" t="inlineStr">
        <is>
          <t>4.5%</t>
        </is>
      </c>
      <c r="C7" s="782" t="inlineStr">
        <is>
          <t>4.5%</t>
        </is>
      </c>
      <c r="D7" s="834" t="inlineStr">
        <is>
          <t>0%</t>
        </is>
      </c>
      <c r="E7" s="782" t="inlineStr">
        <is>
          <t>&lt;5%=Hỗ trợ | &gt;6%=Thắt chặt</t>
        </is>
      </c>
      <c r="F7" s="783" t="inlineStr">
        <is>
          <t>🟢 Hỗ trợ</t>
        </is>
      </c>
      <c r="G7" s="736" t="inlineStr">
        <is>
          <t>NH thấp P/B → MBB VCB hấp dẫn</t>
        </is>
      </c>
      <c r="H7" s="782" t="inlineStr">
        <is>
          <t>SBV</t>
        </is>
      </c>
      <c r="I7" s="782" t="inlineStr">
        <is>
          <t>05/2026</t>
        </is>
      </c>
      <c r="J7" s="782" t="inlineStr">
        <is>
          <t>Fed cắt lãi → SBV có dư địa giữ</t>
        </is>
      </c>
    </row>
    <row r="8" ht="18" customHeight="1" s="981">
      <c r="A8" s="833" t="inlineStr">
        <is>
          <t>VNĐ/USD</t>
        </is>
      </c>
      <c r="B8" s="268" t="inlineStr">
        <is>
          <t>26,325</t>
        </is>
      </c>
      <c r="C8" s="791" t="inlineStr">
        <is>
          <t>25,680</t>
        </is>
      </c>
      <c r="D8" s="835" t="inlineStr">
        <is>
          <t>-0.16%</t>
        </is>
      </c>
      <c r="E8" s="791" t="inlineStr">
        <is>
          <t>&lt;26,000=Ổn định</t>
        </is>
      </c>
      <c r="F8" s="792" t="inlineStr">
        <is>
          <t>🟢 Ổn định</t>
        </is>
      </c>
      <c r="G8" s="732" t="inlineStr">
        <is>
          <t>Tỷ giá ổn định hỗ trợ FPT (xuất khẩu)</t>
        </is>
      </c>
      <c r="H8" s="791" t="inlineStr">
        <is>
          <t>SBV</t>
        </is>
      </c>
      <c r="I8" s="791" t="inlineStr">
        <is>
          <t>28/05/2026</t>
        </is>
      </c>
      <c r="J8" s="791" t="inlineStr">
        <is>
          <t>Dầu hạ nhiệt giúp thâm hụt thương mại</t>
        </is>
      </c>
    </row>
    <row r="9" ht="18" customHeight="1" s="981">
      <c r="A9" s="832" t="inlineStr">
        <is>
          <t>Lợi suất TPCP 10Y VN</t>
        </is>
      </c>
      <c r="B9" s="276" t="inlineStr">
        <is>
          <t>3.00%</t>
        </is>
      </c>
      <c r="C9" s="782" t="inlineStr">
        <is>
          <t>3.05%</t>
        </is>
      </c>
      <c r="D9" s="834" t="inlineStr">
        <is>
          <t>-0.05%</t>
        </is>
      </c>
      <c r="E9" s="782" t="inlineStr">
        <is>
          <t>&lt;3.5%=Tích cực</t>
        </is>
      </c>
      <c r="F9" s="783" t="inlineStr">
        <is>
          <t>🟢 Tích cực</t>
        </is>
      </c>
      <c r="G9" s="736" t="inlineStr">
        <is>
          <t>Lãi suất thấp → dòng tiền vào CK</t>
        </is>
      </c>
      <c r="H9" s="782" t="inlineStr">
        <is>
          <t>HNX</t>
        </is>
      </c>
      <c r="I9" s="782" t="inlineStr">
        <is>
          <t>08/05/2026</t>
        </is>
      </c>
      <c r="J9" s="782" t="inlineStr">
        <is>
          <t>Spread vs US 10Y = -1.3% → cần theo dõi</t>
        </is>
      </c>
    </row>
    <row r="10" ht="18" customHeight="1" s="981">
      <c r="A10" s="833" t="inlineStr">
        <is>
          <t>CPI VN (YoY)</t>
        </is>
      </c>
      <c r="B10" s="268" t="inlineStr">
        <is>
          <t>3.8%</t>
        </is>
      </c>
      <c r="C10" s="791" t="inlineStr">
        <is>
          <t>3.5%</t>
        </is>
      </c>
      <c r="D10" s="792" t="inlineStr">
        <is>
          <t>+0.3%</t>
        </is>
      </c>
      <c r="E10" s="791" t="inlineStr">
        <is>
          <t>&lt;4%=An toàn | &gt;5%=Cảnh báo</t>
        </is>
      </c>
      <c r="F10" s="793" t="inlineStr">
        <is>
          <t>🟡 Chú ý</t>
        </is>
      </c>
      <c r="G10" s="732" t="inlineStr">
        <is>
          <t>Lạm phát gần ngưỡng → theo dõi SBV</t>
        </is>
      </c>
      <c r="H10" s="791" t="inlineStr">
        <is>
          <t>GSO</t>
        </is>
      </c>
      <c r="I10" s="791" t="inlineStr">
        <is>
          <t>04/2026</t>
        </is>
      </c>
      <c r="J10" s="791" t="inlineStr">
        <is>
          <t>Giá dầu Brent là rủi ro chính</t>
        </is>
      </c>
    </row>
    <row r="11" ht="18" customHeight="1" s="981">
      <c r="A11" s="832" t="inlineStr">
        <is>
          <t>XAU/USD</t>
        </is>
      </c>
      <c r="B11" s="276" t="inlineStr">
        <is>
          <t>$4,429</t>
        </is>
      </c>
      <c r="C11" s="782" t="inlineStr">
        <is>
          <t>$4,448</t>
        </is>
      </c>
      <c r="D11" s="783" t="inlineStr">
        <is>
          <t>-0.42%</t>
        </is>
      </c>
      <c r="E11" s="782" t="inlineStr">
        <is>
          <t>$4,500=Hỗ trợ | $5,000=Kháng cự</t>
        </is>
      </c>
      <c r="F11" s="794" t="inlineStr">
        <is>
          <t>🟡 Cao</t>
        </is>
      </c>
      <c r="G11" s="736" t="inlineStr">
        <is>
          <t>Vàng cao → danh mục phòng vệ được bảo vệ</t>
        </is>
      </c>
      <c r="H11" s="782" t="inlineStr">
        <is>
          <t>Kitco</t>
        </is>
      </c>
      <c r="I11" s="782" t="inlineStr">
        <is>
          <t>28/05/2026</t>
        </is>
      </c>
      <c r="J11" s="782" t="inlineStr">
        <is>
          <t>TQ mua 18 tháng liên tiếp</t>
        </is>
      </c>
    </row>
    <row r="12" ht="18" customHeight="1" s="981">
      <c r="A12" s="833" t="inlineStr">
        <is>
          <t>S&amp;P 500 P/E</t>
        </is>
      </c>
      <c r="B12" s="268" t="inlineStr">
        <is>
          <t>21.5x</t>
        </is>
      </c>
      <c r="C12" s="791" t="inlineStr">
        <is>
          <t>21.2x</t>
        </is>
      </c>
      <c r="D12" s="792" t="inlineStr">
        <is>
          <t>+0.3x</t>
        </is>
      </c>
      <c r="E12" s="791" t="inlineStr">
        <is>
          <t>&lt;18x=Rẻ | &gt;25x=Đắt</t>
        </is>
      </c>
      <c r="F12" s="793" t="inlineStr">
        <is>
          <t>🟡 Hợp lý</t>
        </is>
      </c>
      <c r="G12" s="732" t="inlineStr">
        <is>
          <t>SPX định giá cao → không mua ETF SP500</t>
        </is>
      </c>
      <c r="H12" s="791" t="inlineStr">
        <is>
          <t>Bloomberg</t>
        </is>
      </c>
      <c r="I12" s="791" t="inlineStr">
        <is>
          <t>28/05/2026</t>
        </is>
      </c>
      <c r="J12" s="791" t="inlineStr">
        <is>
          <t>Fed chưa cắt lãi → thận trọng</t>
        </is>
      </c>
    </row>
    <row r="13" ht="18" customHeight="1" s="981">
      <c r="A13" s="832" t="inlineStr">
        <is>
          <t>VIX Fear Index</t>
        </is>
      </c>
      <c r="B13" s="276" t="n">
        <v>16.6</v>
      </c>
      <c r="C13" s="782" t="inlineStr">
        <is>
          <t>19.2</t>
        </is>
      </c>
      <c r="D13" s="834" t="inlineStr">
        <is>
          <t>-0.7</t>
        </is>
      </c>
      <c r="E13" s="782" t="inlineStr">
        <is>
          <t>&lt;20=Bình thường | &gt;30=Khủng hoảng</t>
        </is>
      </c>
      <c r="F13" s="783" t="inlineStr">
        <is>
          <t>🟢 Bình thường</t>
        </is>
      </c>
      <c r="G13" s="736" t="inlineStr">
        <is>
          <t>Thị trường ổn định — phù hợp giải ngân</t>
        </is>
      </c>
      <c r="H13" s="782" t="inlineStr">
        <is>
          <t>CBOE</t>
        </is>
      </c>
      <c r="I13" s="782" t="inlineStr">
        <is>
          <t>28/05/2026</t>
        </is>
      </c>
      <c r="J13" s="782" t="inlineStr">
        <is>
          <t>VIX &lt;20 = window mua tốt</t>
        </is>
      </c>
    </row>
    <row r="14" ht="18" customHeight="1" s="981">
      <c r="A14" s="833" t="inlineStr">
        <is>
          <t>Giá dầu Brent ($/thùng)</t>
        </is>
      </c>
      <c r="B14" s="268" t="inlineStr">
        <is>
          <t>$94.0</t>
        </is>
      </c>
      <c r="C14" s="791" t="inlineStr">
        <is>
          <t>$102</t>
        </is>
      </c>
      <c r="D14" s="835" t="inlineStr">
        <is>
          <t>-3.9%</t>
        </is>
      </c>
      <c r="E14" s="791" t="inlineStr">
        <is>
          <t>&lt;$100=Tích cực CK</t>
        </is>
      </c>
      <c r="F14" s="792" t="inlineStr">
        <is>
          <t>🟢 Tích cực</t>
        </is>
      </c>
      <c r="G14" s="732" t="inlineStr">
        <is>
          <t>Dầu hạ → lạm phát giảm → Fed cắt lãi?</t>
        </is>
      </c>
      <c r="H14" s="791" t="inlineStr">
        <is>
          <t>Reuters</t>
        </is>
      </c>
      <c r="I14" s="791" t="inlineStr">
        <is>
          <t>28/05/2026</t>
        </is>
      </c>
      <c r="J14" s="791" t="inlineStr">
        <is>
          <t>Hòa đàm Mỹ-Iran theo dõi</t>
        </is>
      </c>
    </row>
    <row r="15" ht="21.75" customHeight="1" s="981">
      <c r="A15" s="1218" t="inlineStr">
        <is>
          <t>◆  TÍN HIỆU VĨ MÔ TỔNG HỢP — KHÓA VAN</t>
        </is>
      </c>
      <c r="B15" s="965" t="n"/>
      <c r="C15" s="965" t="n"/>
      <c r="D15" s="965" t="n"/>
      <c r="E15" s="965" t="n"/>
      <c r="F15" s="965" t="n"/>
      <c r="G15" s="965" t="n"/>
      <c r="H15" s="965" t="n"/>
      <c r="I15" s="965" t="n"/>
      <c r="J15" s="966" t="n"/>
    </row>
    <row r="16" ht="27.75" customHeight="1" s="981">
      <c r="A16" s="1219" t="inlineStr">
        <is>
          <t>DA CAP NHAT</t>
        </is>
      </c>
      <c r="B16" s="965" t="n"/>
      <c r="C16" s="965" t="n"/>
      <c r="D16" s="965" t="n"/>
      <c r="E16" s="965" t="n"/>
      <c r="F16" s="965" t="n"/>
      <c r="G16" s="965" t="n"/>
      <c r="H16" s="965" t="n"/>
      <c r="I16" s="965" t="n"/>
      <c r="J16" s="966" t="n"/>
    </row>
  </sheetData>
  <mergeCells count="5">
    <mergeCell ref="A1:J1"/>
    <mergeCell ref="A2:J2"/>
    <mergeCell ref="A3:J3"/>
    <mergeCell ref="A15:J15"/>
    <mergeCell ref="A16:J16"/>
  </mergeCells>
  <pageMargins left="0.75" right="0.75" top="1" bottom="1" header="0.511811023622047" footer="0.511811023622047"/>
  <pageSetup orientation="portrait" paperSize="9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640625" defaultRowHeight="14.4"/>
  <cols>
    <col width="8" customWidth="1" style="981" min="1" max="1"/>
    <col width="13" customWidth="1" style="981" min="2" max="2"/>
    <col width="12" customWidth="1" style="981" min="5" max="5"/>
    <col width="16" customWidth="1" style="981" min="6" max="6"/>
    <col width="14" customWidth="1" style="981" min="7" max="7"/>
    <col width="10" customWidth="1" style="981" min="8" max="8"/>
    <col width="20" customWidth="1" style="981" min="9" max="9"/>
    <col width="16" customWidth="1" style="981" min="10" max="10"/>
    <col width="24" customWidth="1" style="981" min="11" max="11"/>
  </cols>
  <sheetData>
    <row r="1" ht="30" customHeight="1" s="981">
      <c r="A1" s="1207" t="inlineStr">
        <is>
          <t>📅  QUYỀN CỔ ĐÔNG &amp; ĐẠI HỘI ĐỒNG CỔ ĐÔNG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6" t="n"/>
    </row>
    <row r="2" ht="15" customHeight="1" s="981">
      <c r="A2" s="1128" t="inlineStr">
        <is>
          <t>Bám sát doanh nghiệp — Ngày chốt quyền · Lịch ĐHCĐ · Kiến nghị ban lãnh đạo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6" t="n"/>
    </row>
    <row r="3" ht="21.75" customHeight="1" s="981">
      <c r="A3" s="1047" t="inlineStr">
        <is>
          <t>◆  LỊCH ĐHCĐ &amp; SỰ KIỆN CỔ ĐÔNG 2026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6" t="n"/>
    </row>
    <row r="4" ht="25.5" customHeight="1" s="981">
      <c r="A4" s="728" t="inlineStr">
        <is>
          <t>MÃ</t>
        </is>
      </c>
      <c r="B4" s="728" t="inlineStr">
        <is>
          <t>NGÀY CHỐT
QUYỀN</t>
        </is>
      </c>
      <c r="C4" s="728" t="inlineStr">
        <is>
          <t>NGÀY ĐHCĐ</t>
        </is>
      </c>
      <c r="D4" s="728" t="inlineStr">
        <is>
          <t>NGÀY TT
CỔ TỨC</t>
        </is>
      </c>
      <c r="E4" s="728" t="inlineStr">
        <is>
          <t>LOẠI SỰ KIỆN</t>
        </is>
      </c>
      <c r="F4" s="728" t="inlineStr">
        <is>
          <t>NỘI DUNG CHÍNH</t>
        </is>
      </c>
      <c r="G4" s="728" t="inlineStr">
        <is>
          <t>CỔ TỨC
DỰ KIẾN</t>
        </is>
      </c>
      <c r="H4" s="728" t="inlineStr">
        <is>
          <t>ĐÃ
THAM DỰ?</t>
        </is>
      </c>
      <c r="I4" s="728" t="inlineStr">
        <is>
          <t>QUYẾT ĐỊNH/BIỂU QUYẾT</t>
        </is>
      </c>
      <c r="J4" s="728" t="inlineStr">
        <is>
          <t>LIÊN HỆ IR</t>
        </is>
      </c>
      <c r="K4" s="728" t="inlineStr">
        <is>
          <t>GHI CHÚ CỔ ĐÔNG</t>
        </is>
      </c>
    </row>
    <row r="5" ht="18" customHeight="1" s="981">
      <c r="A5" s="775" t="inlineStr">
        <is>
          <t>FPT</t>
        </is>
      </c>
      <c r="B5" s="776" t="n">
        <v>46086</v>
      </c>
      <c r="C5" s="776" t="n">
        <v>46122</v>
      </c>
      <c r="D5" s="776" t="n">
        <v>46361</v>
      </c>
      <c r="E5" s="777" t="inlineStr">
        <is>
          <t>ĐHCĐ TN 2026</t>
        </is>
      </c>
      <c r="F5" s="736" t="inlineStr">
        <is>
          <t>Kế hoạch xuất khẩu PM, thưởng CP</t>
        </is>
      </c>
      <c r="G5" s="794" t="inlineStr">
        <is>
          <t>1,000₫/CP</t>
        </is>
      </c>
      <c r="H5" s="783" t="inlineStr">
        <is>
          <t>✅</t>
        </is>
      </c>
      <c r="I5" s="736" t="inlineStr">
        <is>
          <t>Bỏ phiếu TM cho KH 2026, thông qua</t>
        </is>
      </c>
      <c r="J5" s="782" t="inlineStr">
        <is>
          <t>ir@fpt.com.vn</t>
        </is>
      </c>
      <c r="K5" s="782" t="inlineStr">
        <is>
          <t>Theo dõi mảng FPT Software</t>
        </is>
      </c>
    </row>
    <row r="6" ht="18" customHeight="1" s="981">
      <c r="A6" s="775" t="inlineStr">
        <is>
          <t>MBB</t>
        </is>
      </c>
      <c r="B6" s="776" t="n">
        <v>46101</v>
      </c>
      <c r="C6" s="776" t="n">
        <v>46137</v>
      </c>
      <c r="D6" s="776" t="n">
        <v>46203</v>
      </c>
      <c r="E6" s="777" t="inlineStr">
        <is>
          <t>ĐHCĐ TN 2026</t>
        </is>
      </c>
      <c r="F6" s="736" t="inlineStr">
        <is>
          <t>Kế hoạch lợi nhuận 30K tỷ, cổ tức</t>
        </is>
      </c>
      <c r="G6" s="794" t="inlineStr">
        <is>
          <t>300₫/CP TM</t>
        </is>
      </c>
      <c r="H6" s="783" t="inlineStr">
        <is>
          <t>✅</t>
        </is>
      </c>
      <c r="I6" s="736" t="inlineStr">
        <is>
          <t>Bỏ phiếu: Ủng hộ kế hoạch tăng trưởng</t>
        </is>
      </c>
      <c r="J6" s="782" t="inlineStr">
        <is>
          <t>investor@mbbank.com.vn</t>
        </is>
      </c>
      <c r="K6" s="782" t="inlineStr">
        <is>
          <t>P/E thấp — kỳ vọng earnings beat</t>
        </is>
      </c>
    </row>
    <row r="7" ht="18" customHeight="1" s="981">
      <c r="A7" s="775" t="inlineStr">
        <is>
          <t>VCB</t>
        </is>
      </c>
      <c r="B7" s="776" t="n">
        <v>46096</v>
      </c>
      <c r="C7" s="776" t="n">
        <v>46132</v>
      </c>
      <c r="D7" s="736" t="n"/>
      <c r="E7" s="777" t="inlineStr">
        <is>
          <t>ĐHCĐ TN 2026</t>
        </is>
      </c>
      <c r="F7" s="736" t="inlineStr">
        <is>
          <t>Giữ lại lợi nhuận để tăng vốn</t>
        </is>
      </c>
      <c r="G7" s="794" t="inlineStr">
        <is>
          <t>0</t>
        </is>
      </c>
      <c r="H7" s="783" t="inlineStr">
        <is>
          <t>✅</t>
        </is>
      </c>
      <c r="I7" s="736" t="inlineStr">
        <is>
          <t>Bỏ phiếu: Ủng hộ giữ lại LN tăng CAR</t>
        </is>
      </c>
      <c r="J7" s="782" t="inlineStr">
        <is>
          <t>ir@vietcombank.com.vn</t>
        </is>
      </c>
      <c r="K7" s="782" t="inlineStr">
        <is>
          <t>ROE cải thiện quan trọng</t>
        </is>
      </c>
    </row>
    <row r="8" ht="18" customHeight="1" s="981">
      <c r="A8" s="775" t="inlineStr">
        <is>
          <t>CTR</t>
        </is>
      </c>
      <c r="B8" s="776" t="n">
        <v>46113</v>
      </c>
      <c r="C8" s="776" t="n">
        <v>46152</v>
      </c>
      <c r="D8" s="776" t="n">
        <v>46203</v>
      </c>
      <c r="E8" s="777" t="inlineStr">
        <is>
          <t>ĐHCĐ TN 2026</t>
        </is>
      </c>
      <c r="F8" s="736" t="inlineStr">
        <is>
          <t>Kế hoạch 5G Viettel, cổ tức</t>
        </is>
      </c>
      <c r="G8" s="794" t="inlineStr">
        <is>
          <t>1,000₫/CP</t>
        </is>
      </c>
      <c r="H8" s="783" t="inlineStr">
        <is>
          <t>✅</t>
        </is>
      </c>
      <c r="I8" s="736" t="inlineStr">
        <is>
          <t>Bỏ phiếu: Ủng hộ KH hạ tầng số</t>
        </is>
      </c>
      <c r="J8" s="782" t="inlineStr">
        <is>
          <t>—</t>
        </is>
      </c>
      <c r="K8" s="782" t="inlineStr">
        <is>
          <t>Theo dõi tiến độ triển khai 5G</t>
        </is>
      </c>
    </row>
    <row r="9" ht="18" customHeight="1" s="981">
      <c r="A9" s="836" t="inlineStr">
        <is>
          <t>HPG</t>
        </is>
      </c>
      <c r="B9" s="837" t="n">
        <v>46117</v>
      </c>
      <c r="C9" s="837" t="n">
        <v>46157</v>
      </c>
      <c r="D9" s="837" t="n">
        <v>46176</v>
      </c>
      <c r="E9" s="838" t="inlineStr">
        <is>
          <t>ĐHCĐ TN 2026</t>
        </is>
      </c>
      <c r="F9" s="741" t="inlineStr">
        <is>
          <t>Kế hoạch HRC, Dung Quất 2 giai đoạn 2</t>
        </is>
      </c>
      <c r="G9" s="828" t="inlineStr">
        <is>
          <t>500₫/CP</t>
        </is>
      </c>
      <c r="H9" s="828" t="inlineStr">
        <is>
          <t>⏳</t>
        </is>
      </c>
      <c r="I9" s="741" t="inlineStr">
        <is>
          <t>Cần tham dự — vấn đề Dung Quất 2</t>
        </is>
      </c>
      <c r="J9" s="839" t="inlineStr">
        <is>
          <t>ir@hoaphát.com</t>
        </is>
      </c>
      <c r="K9" s="828" t="inlineStr">
        <is>
          <t>⭐ Quan trọng — theo dõi Dung Quất 2</t>
        </is>
      </c>
    </row>
    <row r="10" ht="18" customHeight="1" s="981">
      <c r="A10" s="775" t="inlineStr">
        <is>
          <t>MWG</t>
        </is>
      </c>
      <c r="B10" s="776" t="n">
        <v>46122</v>
      </c>
      <c r="C10" s="776" t="n">
        <v>46162</v>
      </c>
      <c r="D10" s="776" t="n">
        <v>46203</v>
      </c>
      <c r="E10" s="777" t="inlineStr">
        <is>
          <t>ĐHCĐ TN 2026</t>
        </is>
      </c>
      <c r="F10" s="736" t="inlineStr">
        <is>
          <t>BHX phục hồi, chiến lược An Khang</t>
        </is>
      </c>
      <c r="G10" s="794" t="inlineStr">
        <is>
          <t>1,000₫/CP</t>
        </is>
      </c>
      <c r="H10" s="783" t="inlineStr">
        <is>
          <t>✅</t>
        </is>
      </c>
      <c r="I10" s="736" t="inlineStr">
        <is>
          <t>Bỏ phiếu: Ủng hộ</t>
        </is>
      </c>
      <c r="J10" s="782" t="inlineStr">
        <is>
          <t>ir@thegioididong.com</t>
        </is>
      </c>
      <c r="K10" s="782" t="inlineStr">
        <is>
          <t>Theo dõi EBITDA An Khang</t>
        </is>
      </c>
    </row>
    <row r="11" ht="18" customHeight="1" s="981">
      <c r="A11" s="775" t="inlineStr">
        <is>
          <t>VNM</t>
        </is>
      </c>
      <c r="B11" s="776" t="n">
        <v>46162</v>
      </c>
      <c r="C11" s="776" t="n">
        <v>46198</v>
      </c>
      <c r="D11" s="776" t="n">
        <v>46208</v>
      </c>
      <c r="E11" s="777" t="inlineStr">
        <is>
          <t>ĐHCĐ TN 2026</t>
        </is>
      </c>
      <c r="F11" s="736" t="inlineStr">
        <is>
          <t>Chiến lược xuất khẩu, cổ tức cao</t>
        </is>
      </c>
      <c r="G11" s="794" t="inlineStr">
        <is>
          <t>2,000₫/CP ước</t>
        </is>
      </c>
      <c r="H11" s="777" t="inlineStr">
        <is>
          <t>📅</t>
        </is>
      </c>
      <c r="I11" s="736" t="inlineStr">
        <is>
          <t>Sẽ tham dự trực tuyến</t>
        </is>
      </c>
      <c r="J11" s="782" t="inlineStr">
        <is>
          <t>ir@vinamilk.com.vn</t>
        </is>
      </c>
      <c r="K11" s="782" t="inlineStr">
        <is>
          <t>Mua thêm sau ĐHCĐ nếu giá tốt</t>
        </is>
      </c>
    </row>
    <row r="12" ht="18" customHeight="1" s="981">
      <c r="A12" s="836" t="inlineStr">
        <is>
          <t>VIX</t>
        </is>
      </c>
      <c r="B12" s="837" t="n">
        <v>46167</v>
      </c>
      <c r="C12" s="837" t="n">
        <v>46203</v>
      </c>
      <c r="D12" s="741" t="n"/>
      <c r="E12" s="838" t="inlineStr">
        <is>
          <t>ĐHCĐ TN 2026</t>
        </is>
      </c>
      <c r="F12" s="741" t="inlineStr">
        <is>
          <t>Phát hành thêm CP, tăng vốn</t>
        </is>
      </c>
      <c r="G12" s="828" t="inlineStr">
        <is>
          <t>0</t>
        </is>
      </c>
      <c r="H12" s="838" t="inlineStr">
        <is>
          <t>📅</t>
        </is>
      </c>
      <c r="I12" s="741" t="inlineStr">
        <is>
          <t>Cần xem xét kỹ tỷ lệ pha loãng</t>
        </is>
      </c>
      <c r="J12" s="839" t="inlineStr">
        <is>
          <t>ir@vixsec.com.vn</t>
        </is>
      </c>
      <c r="K12" s="828" t="inlineStr">
        <is>
          <t>⚠ Theo dõi pha loãng từ phát hành CP</t>
        </is>
      </c>
    </row>
    <row r="13" ht="21.75" customHeight="1" s="981">
      <c r="A13" s="1047" t="inlineStr">
        <is>
          <t>◆  CHECKLIST CHUẨN BỊ ĐHCĐ</t>
        </is>
      </c>
      <c r="B13" s="965" t="n"/>
      <c r="C13" s="965" t="n"/>
      <c r="D13" s="965" t="n"/>
      <c r="E13" s="965" t="n"/>
      <c r="F13" s="965" t="n"/>
      <c r="G13" s="965" t="n"/>
      <c r="H13" s="965" t="n"/>
      <c r="I13" s="965" t="n"/>
      <c r="J13" s="965" t="n"/>
      <c r="K13" s="966" t="n"/>
    </row>
    <row r="14" ht="19.5" customHeight="1" s="981">
      <c r="A14" s="840" t="inlineStr">
        <is>
          <t>✅</t>
        </is>
      </c>
      <c r="B14" s="1221" t="inlineStr">
        <is>
          <t>Xác nhận sở hữu CP trước ngày chốt quyền</t>
        </is>
      </c>
      <c r="C14" s="965" t="n"/>
      <c r="D14" s="965" t="n"/>
      <c r="E14" s="966" t="n"/>
      <c r="F14" s="1201" t="inlineStr">
        <is>
          <t>Kiểm tra VPS/VPBank 2 tuần trước</t>
        </is>
      </c>
      <c r="G14" s="965" t="n"/>
      <c r="H14" s="965" t="n"/>
      <c r="I14" s="965" t="n"/>
      <c r="J14" s="965" t="n"/>
      <c r="K14" s="966" t="n"/>
    </row>
    <row r="15" ht="19.5" customHeight="1" s="981">
      <c r="A15" s="840" t="inlineStr">
        <is>
          <t>✅</t>
        </is>
      </c>
      <c r="B15" s="1221" t="inlineStr">
        <is>
          <t>Đăng ký tham dự ĐHCĐ (online/offline)</t>
        </is>
      </c>
      <c r="C15" s="965" t="n"/>
      <c r="D15" s="965" t="n"/>
      <c r="E15" s="966" t="n"/>
      <c r="F15" s="1201" t="inlineStr">
        <is>
          <t>Link trên website IR của từng mã</t>
        </is>
      </c>
      <c r="G15" s="965" t="n"/>
      <c r="H15" s="965" t="n"/>
      <c r="I15" s="965" t="n"/>
      <c r="J15" s="965" t="n"/>
      <c r="K15" s="966" t="n"/>
    </row>
    <row r="16" ht="19.5" customHeight="1" s="981">
      <c r="A16" s="841" t="inlineStr">
        <is>
          <t>📋</t>
        </is>
      </c>
      <c r="B16" s="1220" t="inlineStr">
        <is>
          <t>Đọc tài liệu ĐHCĐ — Báo cáo thường niên</t>
        </is>
      </c>
      <c r="C16" s="965" t="n"/>
      <c r="D16" s="965" t="n"/>
      <c r="E16" s="966" t="n"/>
      <c r="F16" s="1201" t="inlineStr">
        <is>
          <t>Tải từ website HNX/HOSE/IR</t>
        </is>
      </c>
      <c r="G16" s="965" t="n"/>
      <c r="H16" s="965" t="n"/>
      <c r="I16" s="965" t="n"/>
      <c r="J16" s="965" t="n"/>
      <c r="K16" s="966" t="n"/>
    </row>
    <row r="17" ht="19.5" customHeight="1" s="981">
      <c r="A17" s="841" t="inlineStr">
        <is>
          <t>📋</t>
        </is>
      </c>
      <c r="B17" s="1220" t="inlineStr">
        <is>
          <t>Chuẩn bị câu hỏi cho ban lãnh đạo</t>
        </is>
      </c>
      <c r="C17" s="965" t="n"/>
      <c r="D17" s="965" t="n"/>
      <c r="E17" s="966" t="n"/>
      <c r="F17" s="1201" t="inlineStr">
        <is>
          <t>Focus: KH tăng trưởng, dividend policy</t>
        </is>
      </c>
      <c r="G17" s="965" t="n"/>
      <c r="H17" s="965" t="n"/>
      <c r="I17" s="965" t="n"/>
      <c r="J17" s="965" t="n"/>
      <c r="K17" s="966" t="n"/>
    </row>
    <row r="18" ht="19.5" customHeight="1" s="981">
      <c r="A18" s="841" t="inlineStr">
        <is>
          <t>📋</t>
        </is>
      </c>
      <c r="B18" s="1220" t="inlineStr">
        <is>
          <t>Lưu biên bản ĐHCĐ sau họp</t>
        </is>
      </c>
      <c r="C18" s="965" t="n"/>
      <c r="D18" s="965" t="n"/>
      <c r="E18" s="966" t="n"/>
      <c r="F18" s="1201" t="inlineStr">
        <is>
          <t>PDF từ website DN, lưu vào Cloud</t>
        </is>
      </c>
      <c r="G18" s="965" t="n"/>
      <c r="H18" s="965" t="n"/>
      <c r="I18" s="965" t="n"/>
      <c r="J18" s="965" t="n"/>
      <c r="K18" s="966" t="n"/>
    </row>
    <row r="19" ht="19.5" customHeight="1" s="981">
      <c r="A19" s="841" t="inlineStr">
        <is>
          <t>📋</t>
        </is>
      </c>
      <c r="B19" s="1220" t="inlineStr">
        <is>
          <t>Đối chiếu kết quả bỏ phiếu vs thực tế</t>
        </is>
      </c>
      <c r="C19" s="965" t="n"/>
      <c r="D19" s="965" t="n"/>
      <c r="E19" s="966" t="n"/>
      <c r="F19" s="1201" t="inlineStr">
        <is>
          <t>Sau 1 tháng: theo dõi thực thi NQ</t>
        </is>
      </c>
      <c r="G19" s="965" t="n"/>
      <c r="H19" s="965" t="n"/>
      <c r="I19" s="965" t="n"/>
      <c r="J19" s="965" t="n"/>
      <c r="K19" s="966" t="n"/>
    </row>
    <row r="20" ht="19.5" customHeight="1" s="981">
      <c r="A20" s="841" t="inlineStr">
        <is>
          <t>📋</t>
        </is>
      </c>
      <c r="B20" s="1220" t="inlineStr">
        <is>
          <t>Gửi kiến nghị/thư cổ đông nếu cần</t>
        </is>
      </c>
      <c r="C20" s="965" t="n"/>
      <c r="D20" s="965" t="n"/>
      <c r="E20" s="966" t="n"/>
      <c r="F20" s="1201" t="inlineStr">
        <is>
          <t>Với HPG — theo dõi tiến độ Dung Quất 2</t>
        </is>
      </c>
      <c r="G20" s="965" t="n"/>
      <c r="H20" s="965" t="n"/>
      <c r="I20" s="965" t="n"/>
      <c r="J20" s="965" t="n"/>
      <c r="K20" s="966" t="n"/>
    </row>
  </sheetData>
  <mergeCells count="18">
    <mergeCell ref="B20:E20"/>
    <mergeCell ref="B17:E17"/>
    <mergeCell ref="F19:K19"/>
    <mergeCell ref="F20:K20"/>
    <mergeCell ref="B18:E18"/>
    <mergeCell ref="F16:K16"/>
    <mergeCell ref="A3:K3"/>
    <mergeCell ref="F15:K15"/>
    <mergeCell ref="F14:K14"/>
    <mergeCell ref="F18:K18"/>
    <mergeCell ref="B16:E16"/>
    <mergeCell ref="A2:K2"/>
    <mergeCell ref="B15:E15"/>
    <mergeCell ref="F17:K17"/>
    <mergeCell ref="B19:E19"/>
    <mergeCell ref="A13:K13"/>
    <mergeCell ref="A1:K1"/>
    <mergeCell ref="B14:E14"/>
  </mergeCells>
  <pageMargins left="0.75" right="0.75" top="1" bottom="1" header="0.511811023622047" footer="0.511811023622047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10" customWidth="1" style="981" min="1" max="1"/>
    <col width="18" customWidth="1" style="981" min="2" max="2"/>
    <col width="14" customWidth="1" style="981" min="3" max="3"/>
    <col width="16" customWidth="1" style="981" min="10" max="10"/>
    <col width="22" customWidth="1" style="981" min="11" max="11"/>
  </cols>
  <sheetData>
    <row r="1" ht="30" customHeight="1" s="981">
      <c r="A1" s="1207" t="inlineStr">
        <is>
          <t>🧮  MÔ HÌNH ĐỊNH GIÁ DCF · DDM · NPV · IRR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6" t="n"/>
    </row>
    <row r="2" ht="15" customHeight="1" s="981">
      <c r="A2" s="1128" t="inlineStr">
        <is>
          <t>Công cụ thẩm định: Chiết khấu dòng tiền (DCF) · Mô hình Gordon (DDM) · NPV/IRR dự án · Đồng hồ định giá Graham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6" t="n"/>
    </row>
    <row r="3" ht="21.75" customHeight="1" s="981">
      <c r="A3" s="1047" t="inlineStr">
        <is>
          <t>◆  MÔ HÌNH DDM (GORDON GROWTH) — Định giá cổ phiếu cổ tức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6" t="n"/>
    </row>
    <row r="4" ht="25.5" customHeight="1" s="981">
      <c r="A4" s="728" t="inlineStr">
        <is>
          <t>MÃ</t>
        </is>
      </c>
      <c r="B4" s="728" t="inlineStr">
        <is>
          <t>TÊN</t>
        </is>
      </c>
      <c r="C4" s="728" t="inlineStr">
        <is>
          <t>GIÁ HIỆN TẠI</t>
        </is>
      </c>
      <c r="D4" s="728" t="inlineStr">
        <is>
          <t>CỔ TỨC D0</t>
        </is>
      </c>
      <c r="E4" s="728" t="inlineStr">
        <is>
          <t>TỐC ĐỘ TĂNG g</t>
        </is>
      </c>
      <c r="F4" s="728" t="inlineStr">
        <is>
          <t>WACC / Ke</t>
        </is>
      </c>
      <c r="G4" s="728" t="inlineStr">
        <is>
          <t>GIÁ TRỊ NỘI TẠI
DDM (₫)</t>
        </is>
      </c>
      <c r="H4" s="728" t="inlineStr">
        <is>
          <t>BIÊN AN TOÀN</t>
        </is>
      </c>
      <c r="I4" s="728" t="inlineStr">
        <is>
          <t>TÍN HIỆU</t>
        </is>
      </c>
      <c r="J4" s="728" t="inlineStr">
        <is>
          <t>P/E GRAHAM
√(22.5×EPS×BV)</t>
        </is>
      </c>
      <c r="K4" s="728" t="inlineStr">
        <is>
          <t>GHI CHÚ</t>
        </is>
      </c>
    </row>
    <row r="5" ht="18" customHeight="1" s="981">
      <c r="A5" s="775" t="inlineStr">
        <is>
          <t>FPT</t>
        </is>
      </c>
      <c r="B5" s="736" t="inlineStr">
        <is>
          <t>CTCP FPT</t>
        </is>
      </c>
      <c r="C5" s="796" t="n">
        <v>71900</v>
      </c>
      <c r="D5" s="778" t="n">
        <v>800</v>
      </c>
      <c r="E5" s="778" t="n">
        <v>0.12</v>
      </c>
      <c r="F5" s="750" t="n">
        <v>0.11</v>
      </c>
      <c r="G5" s="750" t="n">
        <v>37333</v>
      </c>
      <c r="H5" s="780" t="n">
        <v>-48.1</v>
      </c>
      <c r="I5" s="834" t="inlineStr">
        <is>
          <t>❌ QUÁ ĐẮT</t>
        </is>
      </c>
      <c r="J5" s="777" t="inlineStr">
        <is>
          <t>85,400</t>
        </is>
      </c>
      <c r="K5" s="782" t="inlineStr">
        <is>
          <t>DDM không phù hợp CP tăng trưởng cao</t>
        </is>
      </c>
    </row>
    <row r="6" ht="18" customHeight="1" s="981">
      <c r="A6" s="775" t="inlineStr">
        <is>
          <t>MBB</t>
        </is>
      </c>
      <c r="B6" s="736" t="inlineStr">
        <is>
          <t>NH Quân Đội</t>
        </is>
      </c>
      <c r="C6" s="796" t="n">
        <v>25850</v>
      </c>
      <c r="D6" s="778" t="n">
        <v>1000</v>
      </c>
      <c r="E6" s="778" t="n">
        <v>0.08</v>
      </c>
      <c r="F6" s="750" t="n">
        <v>0.12</v>
      </c>
      <c r="G6" s="750" t="n">
        <v>27000</v>
      </c>
      <c r="H6" s="780" t="n">
        <v>0.0404624277456647</v>
      </c>
      <c r="I6" s="834" t="inlineStr">
        <is>
          <t>🟡 FAIR VALUE</t>
        </is>
      </c>
      <c r="J6" s="777" t="inlineStr">
        <is>
          <t>22,100</t>
        </is>
      </c>
      <c r="K6" s="782" t="inlineStr">
        <is>
          <t>P/B 1.36 vẫn hấp dẫn — dùng P/B model</t>
        </is>
      </c>
    </row>
    <row r="7" ht="18" customHeight="1" s="981">
      <c r="A7" s="836" t="inlineStr">
        <is>
          <t>VCB</t>
        </is>
      </c>
      <c r="B7" s="741" t="inlineStr">
        <is>
          <t>Vietcombank</t>
        </is>
      </c>
      <c r="C7" s="842" t="n">
        <v>60300</v>
      </c>
      <c r="D7" s="815" t="n">
        <v>1200</v>
      </c>
      <c r="E7" s="815" t="n">
        <v>0.07000000000000001</v>
      </c>
      <c r="F7" s="843" t="n">
        <v>0.11</v>
      </c>
      <c r="G7" s="830" t="n">
        <v>32100</v>
      </c>
      <c r="H7" s="844" t="n">
        <v>-0.463210702341137</v>
      </c>
      <c r="I7" s="828" t="inlineStr">
        <is>
          <t>🔴 OVERVALUED</t>
        </is>
      </c>
      <c r="J7" s="838" t="inlineStr">
        <is>
          <t>55,200</t>
        </is>
      </c>
      <c r="K7" s="839" t="inlineStr">
        <is>
          <t>VCB không chia cổ tức — dùng ROE model</t>
        </is>
      </c>
    </row>
    <row r="8" ht="18" customHeight="1" s="981">
      <c r="A8" s="775" t="inlineStr">
        <is>
          <t>HPG</t>
        </is>
      </c>
      <c r="B8" s="736" t="inlineStr">
        <is>
          <t>Hòa Phát</t>
        </is>
      </c>
      <c r="C8" s="796" t="n">
        <v>27750</v>
      </c>
      <c r="D8" s="778" t="n">
        <v>1400</v>
      </c>
      <c r="E8" s="778" t="n">
        <v>0.06</v>
      </c>
      <c r="F8" s="750" t="n">
        <v>0.11</v>
      </c>
      <c r="G8" s="750" t="n">
        <v>29680</v>
      </c>
      <c r="H8" s="780" t="n">
        <v>0.06379928315412189</v>
      </c>
      <c r="I8" s="834" t="inlineStr">
        <is>
          <t>🟡 FAIR VALUE</t>
        </is>
      </c>
      <c r="J8" s="777" t="inlineStr">
        <is>
          <t>18,700</t>
        </is>
      </c>
      <c r="K8" s="782" t="inlineStr">
        <is>
          <t>Chu kỳ thép — dùng EV/EBITDA thay DDM</t>
        </is>
      </c>
    </row>
    <row r="9" ht="18" customHeight="1" s="981">
      <c r="A9" s="836" t="inlineStr">
        <is>
          <t>VNM</t>
        </is>
      </c>
      <c r="B9" s="741" t="inlineStr">
        <is>
          <t>Vinamilk</t>
        </is>
      </c>
      <c r="C9" s="842" t="n">
        <v>60900</v>
      </c>
      <c r="D9" s="815" t="n">
        <v>4350</v>
      </c>
      <c r="E9" s="815" t="n">
        <v>0.05</v>
      </c>
      <c r="F9" s="843" t="n">
        <v>0.1</v>
      </c>
      <c r="G9" s="830" t="n">
        <v>91350</v>
      </c>
      <c r="H9" s="830" t="n">
        <v>0.5</v>
      </c>
      <c r="I9" s="831" t="inlineStr">
        <is>
          <t>🟢 UNDERVALUED</t>
        </is>
      </c>
      <c r="J9" s="838" t="inlineStr">
        <is>
          <t>72,300</t>
        </is>
      </c>
      <c r="K9" s="839" t="inlineStr">
        <is>
          <t>DDM phù hợp — VNM cổ tức ổn định cao</t>
        </is>
      </c>
    </row>
    <row r="10" ht="18" customHeight="1" s="981">
      <c r="A10" s="775" t="inlineStr">
        <is>
          <t>CTR</t>
        </is>
      </c>
      <c r="B10" s="736" t="inlineStr">
        <is>
          <t>Viettel Const.</t>
        </is>
      </c>
      <c r="C10" s="796" t="n">
        <v>87100</v>
      </c>
      <c r="D10" s="778" t="n">
        <v>2150</v>
      </c>
      <c r="E10" s="778" t="n">
        <v>0.1</v>
      </c>
      <c r="F10" s="750" t="n">
        <v>0.12</v>
      </c>
      <c r="G10" s="750" t="n">
        <v>118250</v>
      </c>
      <c r="H10" s="780" t="n">
        <v>0.357634902411022</v>
      </c>
      <c r="I10" s="834" t="inlineStr">
        <is>
          <t>🟢 UNDERVALUED</t>
        </is>
      </c>
      <c r="J10" s="777" t="inlineStr">
        <is>
          <t>95,800</t>
        </is>
      </c>
      <c r="K10" s="782" t="inlineStr">
        <is>
          <t>Tăng trưởng cao — dùng DCF 2 giai đoạn</t>
        </is>
      </c>
    </row>
    <row r="11" ht="18" customHeight="1" s="981">
      <c r="A11" s="775" t="inlineStr">
        <is>
          <t>MWG</t>
        </is>
      </c>
      <c r="B11" s="736" t="inlineStr">
        <is>
          <t>TG Di Động</t>
        </is>
      </c>
      <c r="C11" s="796" t="n">
        <v>83500</v>
      </c>
      <c r="D11" s="778" t="n">
        <v>1000</v>
      </c>
      <c r="E11" s="778" t="n">
        <v>0.09</v>
      </c>
      <c r="F11" s="750" t="n">
        <v>0.12</v>
      </c>
      <c r="G11" s="750" t="n">
        <v>36333</v>
      </c>
      <c r="H11" s="780" t="n">
        <v>-0.5684916864608081</v>
      </c>
      <c r="I11" s="834" t="inlineStr">
        <is>
          <t>🔴 OVERVALUED</t>
        </is>
      </c>
      <c r="J11" s="777" t="inlineStr">
        <is>
          <t>78,600</t>
        </is>
      </c>
      <c r="K11" s="782" t="inlineStr">
        <is>
          <t>Bán lẻ phục hồi — dùng DCF 5Y</t>
        </is>
      </c>
    </row>
    <row r="12" ht="18" customHeight="1" s="981">
      <c r="A12" s="836" t="inlineStr">
        <is>
          <t>VIX</t>
        </is>
      </c>
      <c r="B12" s="741" t="inlineStr">
        <is>
          <t>CK VIX</t>
        </is>
      </c>
      <c r="C12" s="842" t="n">
        <v>16900</v>
      </c>
      <c r="D12" s="815" t="n">
        <v>0</v>
      </c>
      <c r="E12" s="815" t="n">
        <v>0.15</v>
      </c>
      <c r="F12" s="843" t="n">
        <v>0.14</v>
      </c>
      <c r="G12" s="830" t="n">
        <v>0</v>
      </c>
      <c r="H12" s="844" t="n">
        <v>0</v>
      </c>
      <c r="I12" s="828" t="inlineStr">
        <is>
          <t>N/A DDM</t>
        </is>
      </c>
      <c r="J12" s="838" t="inlineStr">
        <is>
          <t>19,400</t>
        </is>
      </c>
      <c r="K12" s="839" t="inlineStr">
        <is>
          <t>ROE 29% — dùng P/B target model</t>
        </is>
      </c>
    </row>
    <row r="13" ht="15" customHeight="1" s="981">
      <c r="A13" s="1050" t="n"/>
      <c r="B13" s="1050" t="n"/>
      <c r="C13" s="1050" t="n"/>
      <c r="D13" s="1050" t="n"/>
      <c r="E13" s="1050" t="n"/>
      <c r="F13" s="1050" t="n"/>
      <c r="G13" s="1050" t="n"/>
      <c r="H13" s="1050" t="n"/>
      <c r="I13" s="1050" t="n"/>
      <c r="J13" s="1050" t="n"/>
      <c r="K13" s="1050" t="n"/>
    </row>
    <row r="14" ht="15" customHeight="1" s="981">
      <c r="A14" s="1050" t="n"/>
      <c r="B14" s="1050" t="n"/>
      <c r="C14" s="1050" t="n"/>
      <c r="D14" s="1050" t="n"/>
      <c r="E14" s="1050" t="n"/>
      <c r="F14" s="1050" t="n"/>
      <c r="G14" s="1050" t="n"/>
      <c r="H14" s="1050" t="n"/>
      <c r="I14" s="1050" t="n"/>
      <c r="J14" s="1050" t="n"/>
      <c r="K14" s="1050" t="n"/>
    </row>
    <row r="15" ht="21.75" customHeight="1" s="981">
      <c r="A15" s="1223" t="inlineStr">
        <is>
          <t>◆  MÔ HÌNH NPV/IRR — DỰ ÁN STARTUP NGẬP LỤT HON DAT</t>
        </is>
      </c>
      <c r="B15" s="965" t="n"/>
      <c r="C15" s="965" t="n"/>
      <c r="D15" s="965" t="n"/>
      <c r="E15" s="965" t="n"/>
      <c r="F15" s="965" t="n"/>
      <c r="G15" s="965" t="n"/>
      <c r="H15" s="965" t="n"/>
      <c r="I15" s="965" t="n"/>
      <c r="J15" s="965" t="n"/>
      <c r="K15" s="966" t="n"/>
    </row>
    <row r="16" ht="25.5" customHeight="1" s="981">
      <c r="A16" s="728" t="inlineStr">
        <is>
          <t>NĂM</t>
        </is>
      </c>
      <c r="B16" s="728" t="inlineStr">
        <is>
          <t>DÒNG TIỀN ĐẦU TƯ (₫)</t>
        </is>
      </c>
      <c r="C16" s="728" t="inlineStr">
        <is>
          <t>DOANH THU DỰ KIẾN</t>
        </is>
      </c>
      <c r="D16" s="728" t="inlineStr">
        <is>
          <t>CHI PHÍ VẬN HÀNH</t>
        </is>
      </c>
      <c r="E16" s="728" t="inlineStr">
        <is>
          <t>DÒNG TIỀN RÒNG (₫)</t>
        </is>
      </c>
      <c r="F16" s="728" t="inlineStr">
        <is>
          <t>CHIẾT KHẤU
15%</t>
        </is>
      </c>
      <c r="G16" s="728" t="inlineStr">
        <is>
          <t>PV DÒNG TIỀN</t>
        </is>
      </c>
      <c r="H16" s="728" t="inlineStr">
        <is>
          <t>NPV CỦA NĂM</t>
        </is>
      </c>
      <c r="I16" s="728" t="inlineStr">
        <is>
          <t>NPV LUỸ KẾ</t>
        </is>
      </c>
      <c r="J16" s="728" t="inlineStr">
        <is>
          <t>CẦN THÊM VỐN?</t>
        </is>
      </c>
      <c r="K16" s="728" t="n"/>
    </row>
    <row r="17" ht="18" customHeight="1" s="981">
      <c r="A17" s="746" t="n">
        <v>0</v>
      </c>
      <c r="B17" s="780" t="n">
        <v>-50000000</v>
      </c>
      <c r="C17" s="778" t="n">
        <v>0</v>
      </c>
      <c r="D17" s="750" t="n">
        <v>0</v>
      </c>
      <c r="E17" s="780" t="n">
        <v>-50000000</v>
      </c>
      <c r="F17" s="750" t="n">
        <v>1</v>
      </c>
      <c r="G17" s="845" t="n">
        <v>-50000000</v>
      </c>
      <c r="H17" s="780" t="n">
        <v>-50000000</v>
      </c>
      <c r="I17" s="780" t="n">
        <v>-50000000</v>
      </c>
      <c r="J17" s="782" t="inlineStr">
        <is>
          <t>Seed từ Quỹ Tâm Sáng</t>
        </is>
      </c>
      <c r="K17" s="736" t="n"/>
    </row>
    <row r="18" ht="18" customHeight="1" s="981">
      <c r="A18" s="752" t="n">
        <v>1</v>
      </c>
      <c r="B18" s="788" t="n">
        <v>0</v>
      </c>
      <c r="C18" s="787" t="n">
        <v>30000000</v>
      </c>
      <c r="D18" s="756" t="n">
        <v>25000000</v>
      </c>
      <c r="E18" s="788" t="n">
        <v>5000000</v>
      </c>
      <c r="F18" s="756" t="n">
        <v>0.87</v>
      </c>
      <c r="G18" s="846" t="n">
        <v>4348000</v>
      </c>
      <c r="H18" s="788" t="n">
        <v>4348000</v>
      </c>
      <c r="I18" s="789" t="n">
        <v>-45652000</v>
      </c>
      <c r="J18" s="791" t="inlineStr">
        <is>
          <t>Thu phí tư vấn bản đồ</t>
        </is>
      </c>
      <c r="K18" s="732" t="n"/>
    </row>
    <row r="19" ht="18" customHeight="1" s="981">
      <c r="A19" s="746" t="n">
        <v>2</v>
      </c>
      <c r="B19" s="779" t="n">
        <v>0</v>
      </c>
      <c r="C19" s="778" t="n">
        <v>80000000</v>
      </c>
      <c r="D19" s="750" t="n">
        <v>40000000</v>
      </c>
      <c r="E19" s="779" t="n">
        <v>40000000</v>
      </c>
      <c r="F19" s="750" t="n">
        <v>0.756</v>
      </c>
      <c r="G19" s="845" t="n">
        <v>30240000</v>
      </c>
      <c r="H19" s="779" t="n">
        <v>30240000</v>
      </c>
      <c r="I19" s="780" t="n">
        <v>-15412000</v>
      </c>
      <c r="J19" s="782" t="inlineStr">
        <is>
          <t>Mở rộng ĐBSCL</t>
        </is>
      </c>
      <c r="K19" s="736" t="n"/>
    </row>
    <row r="20" ht="18" customHeight="1" s="981">
      <c r="A20" s="752" t="n">
        <v>3</v>
      </c>
      <c r="B20" s="788" t="n">
        <v>0</v>
      </c>
      <c r="C20" s="787" t="n">
        <v>150000000</v>
      </c>
      <c r="D20" s="756" t="n">
        <v>60000000</v>
      </c>
      <c r="E20" s="788" t="n">
        <v>90000000</v>
      </c>
      <c r="F20" s="756" t="n">
        <v>0.658</v>
      </c>
      <c r="G20" s="846" t="n">
        <v>59220000</v>
      </c>
      <c r="H20" s="788" t="n">
        <v>59220000</v>
      </c>
      <c r="I20" s="788" t="n">
        <v>43808000</v>
      </c>
      <c r="J20" s="791" t="inlineStr">
        <is>
          <t>Break-even — NPV dương</t>
        </is>
      </c>
      <c r="K20" s="732" t="n"/>
    </row>
    <row r="21" ht="18" customHeight="1" s="981">
      <c r="A21" s="746" t="n">
        <v>4</v>
      </c>
      <c r="B21" s="779" t="n">
        <v>0</v>
      </c>
      <c r="C21" s="778" t="n">
        <v>200000000</v>
      </c>
      <c r="D21" s="750" t="n">
        <v>70000000</v>
      </c>
      <c r="E21" s="779" t="n">
        <v>130000000</v>
      </c>
      <c r="F21" s="750" t="n">
        <v>0.572</v>
      </c>
      <c r="G21" s="845" t="n">
        <v>74360000</v>
      </c>
      <c r="H21" s="779" t="n">
        <v>74360000</v>
      </c>
      <c r="I21" s="779" t="n">
        <v>118168000</v>
      </c>
      <c r="J21" s="782" t="inlineStr">
        <is>
          <t>Scale up</t>
        </is>
      </c>
      <c r="K21" s="736" t="n"/>
    </row>
    <row r="22" ht="18" customHeight="1" s="981">
      <c r="A22" s="752" t="n">
        <v>5</v>
      </c>
      <c r="B22" s="788" t="n">
        <v>0</v>
      </c>
      <c r="C22" s="787" t="n">
        <v>300000000</v>
      </c>
      <c r="D22" s="756" t="n">
        <v>90000000</v>
      </c>
      <c r="E22" s="788" t="n">
        <v>210000000</v>
      </c>
      <c r="F22" s="756" t="n">
        <v>0.497</v>
      </c>
      <c r="G22" s="846" t="n">
        <v>104370000</v>
      </c>
      <c r="H22" s="788" t="n">
        <v>104370000</v>
      </c>
      <c r="I22" s="788" t="n">
        <v>222538000</v>
      </c>
      <c r="J22" s="791" t="inlineStr">
        <is>
          <t>Exit hoặc Series A</t>
        </is>
      </c>
      <c r="K22" s="732" t="n"/>
    </row>
    <row r="23" ht="15" customHeight="1" s="981">
      <c r="A23" s="1050" t="n"/>
      <c r="B23" s="1050" t="n"/>
      <c r="C23" s="1050" t="n"/>
      <c r="D23" s="1050" t="n"/>
      <c r="E23" s="1050" t="n"/>
      <c r="F23" s="1050" t="n"/>
      <c r="G23" s="1050" t="n"/>
      <c r="H23" s="1050" t="n"/>
      <c r="I23" s="1050" t="n"/>
      <c r="J23" s="1050" t="n"/>
      <c r="K23" s="1050" t="n"/>
    </row>
    <row r="24" ht="25.5" customHeight="1" s="981">
      <c r="A24" s="1119" t="inlineStr">
        <is>
          <t>NPV dự án startup Hòn Đất (5 năm): 222,538,000 ₫  |  IRR ≈ 68%/năm  |  Payback: 2.7 năm  |  KHUYẾN NGHỊ: ĐẦU TƯ</t>
        </is>
      </c>
      <c r="B24" s="965" t="n"/>
      <c r="C24" s="965" t="n"/>
      <c r="D24" s="965" t="n"/>
      <c r="E24" s="965" t="n"/>
      <c r="F24" s="965" t="n"/>
      <c r="G24" s="965" t="n"/>
      <c r="H24" s="965" t="n"/>
      <c r="I24" s="965" t="n"/>
      <c r="J24" s="965" t="n"/>
      <c r="K24" s="966" t="n"/>
    </row>
    <row r="28" ht="21.75" customHeight="1" s="981">
      <c r="A28" s="1224" t="inlineStr">
        <is>
          <t>🌳 FCFF MODEL — Định giá cổ phiếu TĂNG TRƯỞNG cao (FPT, CTR, MWG, VIX)</t>
        </is>
      </c>
    </row>
    <row r="29" ht="31.5" customHeight="1" s="981">
      <c r="A29" s="847" t="inlineStr">
        <is>
          <t>MÃ</t>
        </is>
      </c>
      <c r="B29" s="847" t="inlineStr">
        <is>
          <t>TÊN</t>
        </is>
      </c>
      <c r="C29" s="847" t="inlineStr">
        <is>
          <t>GIÁ HT</t>
        </is>
      </c>
      <c r="D29" s="847" t="inlineStr">
        <is>
          <t>FCFF/CP
(ước)</t>
        </is>
      </c>
      <c r="E29" s="847" t="inlineStr">
        <is>
          <t>g năm 1-5</t>
        </is>
      </c>
      <c r="F29" s="847" t="inlineStr">
        <is>
          <t>g vĩnh viễn</t>
        </is>
      </c>
      <c r="G29" s="847" t="inlineStr">
        <is>
          <t>WACC (từ
sheet WACC AUTO)</t>
        </is>
      </c>
      <c r="H29" s="847" t="inlineStr">
        <is>
          <t>GIÁ TRỊ NỘI TẠI
FCFF (₫)</t>
        </is>
      </c>
      <c r="I29" s="847" t="inlineStr">
        <is>
          <t>MoS</t>
        </is>
      </c>
      <c r="J29" s="847" t="inlineStr">
        <is>
          <t>TÍN HIỆU</t>
        </is>
      </c>
      <c r="K29" s="847" t="inlineStr">
        <is>
          <t>GHI CHÚ</t>
        </is>
      </c>
    </row>
    <row r="30" ht="15" customHeight="1" s="981">
      <c r="A30" s="848" t="inlineStr">
        <is>
          <t>FPT</t>
        </is>
      </c>
      <c r="B30" s="849">
        <f>IFERROR(VLOOKUP(A30,'📈 Cổ Phiếu VN 🔍'!$A:$B,2,0),"")</f>
        <v/>
      </c>
      <c r="C30" s="850">
        <f>IFERROR(VLOOKUP(A30,'📈 Cổ Phiếu VN 🔍'!$A:$D,4,0),0)</f>
        <v/>
      </c>
      <c r="D30" s="851" t="n">
        <v>5800</v>
      </c>
      <c r="E30" s="852" t="n">
        <v>0.2</v>
      </c>
      <c r="F30" s="852" t="n">
        <v>0.05</v>
      </c>
      <c r="G30" s="853">
        <f>IFERROR(VLOOKUP(A30,'🧮 WACC + BETA AUTO'!$B$10:$J$17,9,0),0.12)</f>
        <v/>
      </c>
      <c r="H30" s="854">
        <f>IFERROR(D30*(1+E30)/(G30-E30)*(1-((1+E30)/(1+G30))^5)+D30*(1+E30)^5*(1+F30)/(G30-F30)/((1+G30)^5),0)</f>
        <v/>
      </c>
      <c r="I30" s="855">
        <f>IFERROR((H30-C30)/H30,0)</f>
        <v/>
      </c>
      <c r="J30" s="856">
        <f>IF(I30&gt;0.3,"🟢 MUA MẠNH",IF(I30&gt;0,"🔵 HỢP LÝ",IF(I30&gt;-0.2,"🟡 ĐẮT","🔴 BONG BÓNG")))</f>
        <v/>
      </c>
      <c r="K30" s="986" t="inlineStr">
        <is>
          <t>Công nghệ siêu tăng trưởng</t>
        </is>
      </c>
    </row>
    <row r="31" ht="15" customHeight="1" s="981">
      <c r="A31" s="848" t="inlineStr">
        <is>
          <t>CTR</t>
        </is>
      </c>
      <c r="B31" s="849">
        <f>IFERROR(VLOOKUP(A31,'📈 Cổ Phiếu VN 🔍'!$A:$B,2,0),"")</f>
        <v/>
      </c>
      <c r="C31" s="850">
        <f>IFERROR(VLOOKUP(A31,'📈 Cổ Phiếu VN 🔍'!$A:$D,4,0),0)</f>
        <v/>
      </c>
      <c r="D31" s="851" t="n">
        <v>4900</v>
      </c>
      <c r="E31" s="852" t="n">
        <v>0.18</v>
      </c>
      <c r="F31" s="852" t="n">
        <v>0.05</v>
      </c>
      <c r="G31" s="853">
        <f>IFERROR(VLOOKUP(A31,'🧮 WACC + BETA AUTO'!$B$10:$J$17,9,0),0.12)</f>
        <v/>
      </c>
      <c r="H31" s="854">
        <f>IFERROR(D31*(1+E31)/(G31-E31)*(1-((1+E31)/(1+G31))^5)+D31*(1+E31)^5*(1+F31)/(G31-F31)/((1+G31)^5),0)</f>
        <v/>
      </c>
      <c r="I31" s="855">
        <f>IFERROR((H31-C31)/H31,0)</f>
        <v/>
      </c>
      <c r="J31" s="856">
        <f>IF(I31&gt;0.3,"🟢 MUA MẠNH",IF(I31&gt;0,"🔵 HỢP LÝ",IF(I31&gt;-0.2,"🟡 ĐẮT","🔴 BONG BÓNG")))</f>
        <v/>
      </c>
      <c r="K31" s="986" t="inlineStr">
        <is>
          <t>5G rollout · Hạ tầng</t>
        </is>
      </c>
    </row>
    <row r="32" ht="15" customHeight="1" s="981">
      <c r="A32" s="848" t="inlineStr">
        <is>
          <t>MWG</t>
        </is>
      </c>
      <c r="B32" s="849">
        <f>IFERROR(VLOOKUP(A32,'📈 Cổ Phiếu VN 🔍'!$A:$B,2,0),"")</f>
        <v/>
      </c>
      <c r="C32" s="850">
        <f>IFERROR(VLOOKUP(A32,'📈 Cổ Phiếu VN 🔍'!$A:$D,4,0),0)</f>
        <v/>
      </c>
      <c r="D32" s="851" t="n">
        <v>4500</v>
      </c>
      <c r="E32" s="852" t="n">
        <v>0.12</v>
      </c>
      <c r="F32" s="852" t="n">
        <v>0.04</v>
      </c>
      <c r="G32" s="853">
        <f>IFERROR(VLOOKUP(A32,'🧮 WACC + BETA AUTO'!$B$10:$J$17,9,0),0.12)</f>
        <v/>
      </c>
      <c r="H32" s="854">
        <f>IFERROR(D32*(1+E32)/(G32-E32)*(1-((1+E32)/(1+G32))^5)+D32*(1+E32)^5*(1+F32)/(G32-F32)/((1+G32)^5),0)</f>
        <v/>
      </c>
      <c r="I32" s="855">
        <f>IFERROR((H32-C32)/H32,0)</f>
        <v/>
      </c>
      <c r="J32" s="856">
        <f>IF(I32&gt;0.3,"🟢 MUA MẠNH",IF(I32&gt;0,"🔵 HỢP LÝ",IF(I32&gt;-0.2,"🟡 ĐẮT","🔴 BONG BÓNG")))</f>
        <v/>
      </c>
      <c r="K32" s="986" t="inlineStr">
        <is>
          <t>Bán lẻ phục hồi</t>
        </is>
      </c>
    </row>
    <row r="33" ht="15" customHeight="1" s="981">
      <c r="A33" s="848" t="inlineStr">
        <is>
          <t>VIX</t>
        </is>
      </c>
      <c r="B33" s="849">
        <f>IFERROR(VLOOKUP(A33,'📈 Cổ Phiếu VN 🔍'!$A:$B,2,0),"")</f>
        <v/>
      </c>
      <c r="C33" s="850">
        <f>IFERROR(VLOOKUP(A33,'📈 Cổ Phiếu VN 🔍'!$A:$D,4,0),0)</f>
        <v/>
      </c>
      <c r="D33" s="851" t="n">
        <v>3000</v>
      </c>
      <c r="E33" s="852" t="n">
        <v>0.25</v>
      </c>
      <c r="F33" s="852" t="n">
        <v>0.05</v>
      </c>
      <c r="G33" s="853">
        <f>IFERROR(VLOOKUP(A33,'🧮 WACC + BETA AUTO'!$B$10:$J$17,9,0),0.12)</f>
        <v/>
      </c>
      <c r="H33" s="854">
        <f>IFERROR(D33*(1+E33)/(G33-E33)*(1-((1+E33)/(1+G33))^5)+D33*(1+E33)^5*(1+F33)/(G33-F33)/((1+G33)^5),0)</f>
        <v/>
      </c>
      <c r="I33" s="855">
        <f>IFERROR((H33-C33)/H33,0)</f>
        <v/>
      </c>
      <c r="J33" s="856">
        <f>IF(I33&gt;0.3,"🟢 MUA MẠNH",IF(I33&gt;0,"🔵 HỢP LÝ",IF(I33&gt;-0.2,"🟡 ĐẮT","🔴 BONG BÓNG")))</f>
        <v/>
      </c>
      <c r="K33" s="986" t="inlineStr">
        <is>
          <t>Chứng khoán bùng nổ</t>
        </is>
      </c>
    </row>
    <row r="35" ht="15" customHeight="1" s="981">
      <c r="A35" s="1222" t="inlineStr">
        <is>
          <t>📌 LỖI ĐÃ SỬA: Không dùng DDM cho FPT, MWG, CTR, VIX (cổ phiếu tăng trưởng cao chia cổ tức thấp). Dùng FCFF 2-stage growth thay thế. DDM chỉ giữ lại cho VNM, VCB, MBB, HPG (cổ tức ổn định).</t>
        </is>
      </c>
    </row>
  </sheetData>
  <mergeCells count="7">
    <mergeCell ref="A35:K35"/>
    <mergeCell ref="A3:K3"/>
    <mergeCell ref="A15:K15"/>
    <mergeCell ref="A24:K24"/>
    <mergeCell ref="A2:K2"/>
    <mergeCell ref="A28:K28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6640625" defaultRowHeight="14.4"/>
  <cols>
    <col width="8" customWidth="1" style="981" min="1" max="1"/>
    <col width="14" customWidth="1" style="981" min="2" max="2"/>
    <col width="20" customWidth="1" style="981" min="3" max="3"/>
    <col width="14" customWidth="1" style="981" min="4" max="4"/>
    <col width="12" customWidth="1" style="981" min="5" max="5"/>
    <col width="14" customWidth="1" style="981" min="7" max="7"/>
    <col width="12" customWidth="1" style="981" min="8" max="8"/>
    <col width="14" customWidth="1" style="981" min="10" max="10"/>
    <col width="16" customWidth="1" style="981" min="11" max="11"/>
    <col width="26" customWidth="1" style="981" min="12" max="12"/>
  </cols>
  <sheetData>
    <row r="1" ht="30" customHeight="1" s="981">
      <c r="A1" s="1207" t="inlineStr">
        <is>
          <t>👁  WATCHLIST &amp; NGHĨA TRANG — Hậu trường các mã theo dõi</t>
        </is>
      </c>
      <c r="B1" s="965" t="n"/>
      <c r="C1" s="965" t="n"/>
      <c r="D1" s="965" t="n"/>
      <c r="E1" s="965" t="n"/>
      <c r="F1" s="965" t="n"/>
      <c r="G1" s="965" t="n"/>
      <c r="H1" s="965" t="n"/>
      <c r="I1" s="965" t="n"/>
      <c r="J1" s="965" t="n"/>
      <c r="K1" s="965" t="n"/>
      <c r="L1" s="966" t="n"/>
    </row>
    <row r="2" ht="15" customHeight="1" s="981">
      <c r="A2" s="1128" t="inlineStr">
        <is>
          <t>Lưu vết lịch sử các mã đã từng nắm giữ + Watchlist tiềm năng | Dùng để backtest &amp; rút kinh nghiệm</t>
        </is>
      </c>
      <c r="B2" s="965" t="n"/>
      <c r="C2" s="965" t="n"/>
      <c r="D2" s="965" t="n"/>
      <c r="E2" s="965" t="n"/>
      <c r="F2" s="965" t="n"/>
      <c r="G2" s="965" t="n"/>
      <c r="H2" s="965" t="n"/>
      <c r="I2" s="965" t="n"/>
      <c r="J2" s="965" t="n"/>
      <c r="K2" s="965" t="n"/>
      <c r="L2" s="966" t="n"/>
    </row>
    <row r="3" ht="21.75" customHeight="1" s="981">
      <c r="A3" s="1047" t="inlineStr">
        <is>
          <t>◆  NGHĨA TRANG — Các mã đã từng đầu tư / theo dõi</t>
        </is>
      </c>
      <c r="B3" s="965" t="n"/>
      <c r="C3" s="965" t="n"/>
      <c r="D3" s="965" t="n"/>
      <c r="E3" s="965" t="n"/>
      <c r="F3" s="965" t="n"/>
      <c r="G3" s="965" t="n"/>
      <c r="H3" s="965" t="n"/>
      <c r="I3" s="965" t="n"/>
      <c r="J3" s="965" t="n"/>
      <c r="K3" s="965" t="n"/>
      <c r="L3" s="966" t="n"/>
    </row>
    <row r="4" ht="25.5" customHeight="1" s="981">
      <c r="A4" s="728" t="inlineStr">
        <is>
          <t>MÃ</t>
        </is>
      </c>
      <c r="B4" s="728" t="inlineStr">
        <is>
          <t>NGÀNH</t>
        </is>
      </c>
      <c r="C4" s="728" t="inlineStr">
        <is>
          <t>TÊN DN</t>
        </is>
      </c>
      <c r="D4" s="728" t="inlineStr">
        <is>
          <t>GIÁ MUA TB</t>
        </is>
      </c>
      <c r="E4" s="728" t="inlineStr">
        <is>
          <t>SL MUA</t>
        </is>
      </c>
      <c r="F4" s="728" t="inlineStr">
        <is>
          <t>GIÁ BÁN TB</t>
        </is>
      </c>
      <c r="G4" s="728" t="inlineStr">
        <is>
          <t>LÃI/LỖ (%)</t>
        </is>
      </c>
      <c r="H4" s="728" t="inlineStr">
        <is>
          <t>LÝ DO RA</t>
        </is>
      </c>
      <c r="I4" s="728" t="inlineStr">
        <is>
          <t>GIÁ HIỆN TẠI</t>
        </is>
      </c>
      <c r="J4" s="728" t="inlineStr">
        <is>
          <t>NẾU GIỮ ĐẾN NAY (%)</t>
        </is>
      </c>
      <c r="K4" s="728" t="inlineStr">
        <is>
          <t>BÀI HỌC</t>
        </is>
      </c>
      <c r="L4" s="728" t="inlineStr">
        <is>
          <t>XEM XÉT LẠI?</t>
        </is>
      </c>
    </row>
    <row r="5" ht="18" customHeight="1" s="981">
      <c r="A5" s="857" t="inlineStr">
        <is>
          <t>DBC</t>
        </is>
      </c>
      <c r="B5" s="777" t="inlineStr">
        <is>
          <t>Thực phẩm</t>
        </is>
      </c>
      <c r="C5" s="736" t="inlineStr">
        <is>
          <t>Dabaco Group</t>
        </is>
      </c>
      <c r="D5" s="746" t="n">
        <v>32000</v>
      </c>
      <c r="E5" s="750" t="n">
        <v>500</v>
      </c>
      <c r="F5" s="746" t="n">
        <v>28000</v>
      </c>
      <c r="G5" s="780" t="n">
        <v>-12.5</v>
      </c>
      <c r="H5" s="782" t="inlineStr">
        <is>
          <t>Định giá lại ngành thực phẩm</t>
        </is>
      </c>
      <c r="I5" s="746" t="n">
        <v>31200</v>
      </c>
      <c r="J5" s="780" t="n">
        <v>-2.5</v>
      </c>
      <c r="K5" s="794" t="inlineStr">
        <is>
          <t>Ngành chịu áp lực chi phí heo, margin squeeze</t>
        </is>
      </c>
      <c r="L5" s="736" t="inlineStr">
        <is>
          <t>🟡 Theo dõi Q3</t>
        </is>
      </c>
    </row>
    <row r="6" ht="18" customHeight="1" s="981">
      <c r="A6" s="858" t="inlineStr">
        <is>
          <t>VIB</t>
        </is>
      </c>
      <c r="B6" s="786" t="inlineStr">
        <is>
          <t>Ngân hàng</t>
        </is>
      </c>
      <c r="C6" s="732" t="inlineStr">
        <is>
          <t>Ngân hàng Quốc Tế</t>
        </is>
      </c>
      <c r="D6" s="752" t="n">
        <v>22000</v>
      </c>
      <c r="E6" s="756" t="n">
        <v>300</v>
      </c>
      <c r="F6" s="752" t="n">
        <v>25000</v>
      </c>
      <c r="G6" s="788" t="n">
        <v>13.6</v>
      </c>
      <c r="H6" s="791" t="inlineStr">
        <is>
          <t>Chốt lời để chuyển sang MBB</t>
        </is>
      </c>
      <c r="I6" s="752" t="n">
        <v>19500</v>
      </c>
      <c r="J6" s="789" t="n">
        <v>-11.4</v>
      </c>
      <c r="K6" s="793" t="inlineStr">
        <is>
          <t>MBB ROE cao hơn — quyết định đúng</t>
        </is>
      </c>
      <c r="L6" s="732" t="inlineStr">
        <is>
          <t>🟢 Không mua lại</t>
        </is>
      </c>
    </row>
    <row r="7" ht="18" customHeight="1" s="981">
      <c r="A7" s="857" t="inlineStr">
        <is>
          <t>KDW</t>
        </is>
      </c>
      <c r="B7" s="777" t="inlineStr">
        <is>
          <t>BĐS KCN</t>
        </is>
      </c>
      <c r="C7" s="736" t="inlineStr">
        <is>
          <t>Kinh Doanh Nước</t>
        </is>
      </c>
      <c r="D7" s="746" t="n">
        <v>18000</v>
      </c>
      <c r="E7" s="750" t="n">
        <v>400</v>
      </c>
      <c r="F7" s="746" t="n">
        <v>16000</v>
      </c>
      <c r="G7" s="780" t="n">
        <v>-11.1</v>
      </c>
      <c r="H7" s="782" t="inlineStr">
        <is>
          <t>Stop loss — thua lỗ</t>
        </is>
      </c>
      <c r="I7" s="746" t="n">
        <v>17200</v>
      </c>
      <c r="J7" s="780" t="n">
        <v>-4.4</v>
      </c>
      <c r="K7" s="794" t="inlineStr">
        <is>
          <t>Không đủ nghiên cứu trước khi mua</t>
        </is>
      </c>
      <c r="L7" s="736" t="inlineStr">
        <is>
          <t>🔴 Không mua lại</t>
        </is>
      </c>
    </row>
    <row r="8" ht="18" customHeight="1" s="981">
      <c r="A8" s="858" t="inlineStr">
        <is>
          <t>KDH</t>
        </is>
      </c>
      <c r="B8" s="786" t="inlineStr">
        <is>
          <t>BĐS</t>
        </is>
      </c>
      <c r="C8" s="732" t="inlineStr">
        <is>
          <t>Khang Điền</t>
        </is>
      </c>
      <c r="D8" s="752" t="n">
        <v>28000</v>
      </c>
      <c r="E8" s="756" t="n">
        <v>200</v>
      </c>
      <c r="F8" s="752" t="n">
        <v>31000</v>
      </c>
      <c r="G8" s="788" t="n">
        <v>10.7</v>
      </c>
      <c r="H8" s="791" t="inlineStr">
        <is>
          <t>Chốt lời, chuyển sang VHM</t>
        </is>
      </c>
      <c r="I8" s="752" t="n">
        <v>24500</v>
      </c>
      <c r="J8" s="789" t="n">
        <v>-12.5</v>
      </c>
      <c r="K8" s="793" t="inlineStr">
        <is>
          <t>Sector BĐS rủi ro cao hơn dự kiến</t>
        </is>
      </c>
      <c r="L8" s="732" t="inlineStr">
        <is>
          <t>🟡 Chờ P/B&lt;1</t>
        </is>
      </c>
    </row>
    <row r="9" ht="18" customHeight="1" s="981">
      <c r="A9" s="857" t="inlineStr">
        <is>
          <t>VHM</t>
        </is>
      </c>
      <c r="B9" s="777" t="inlineStr">
        <is>
          <t>BĐS</t>
        </is>
      </c>
      <c r="C9" s="736" t="inlineStr">
        <is>
          <t>Vinhomes</t>
        </is>
      </c>
      <c r="D9" s="746" t="n">
        <v>42000</v>
      </c>
      <c r="E9" s="750" t="n">
        <v>100</v>
      </c>
      <c r="F9" s="746" t="n">
        <v>40000</v>
      </c>
      <c r="G9" s="780" t="n">
        <v>-4.8</v>
      </c>
      <c r="H9" s="782" t="inlineStr">
        <is>
          <t>Cắt lỗ sớm — sector BĐS căng</t>
        </is>
      </c>
      <c r="I9" s="746" t="n">
        <v>38200</v>
      </c>
      <c r="J9" s="780" t="n">
        <v>-9</v>
      </c>
      <c r="K9" s="794" t="inlineStr">
        <is>
          <t>Nợ cao, bàn giao chậm — đúng khi cắt</t>
        </is>
      </c>
      <c r="L9" s="736" t="inlineStr">
        <is>
          <t>🟡 Chờ P/B&lt;1.5</t>
        </is>
      </c>
    </row>
    <row r="10" ht="15" customHeight="1" s="981">
      <c r="A10" s="1050" t="n"/>
      <c r="B10" s="1050" t="n"/>
      <c r="C10" s="1050" t="n"/>
      <c r="D10" s="1050" t="n"/>
      <c r="E10" s="1050" t="n"/>
      <c r="F10" s="1050" t="n"/>
      <c r="G10" s="1050" t="n"/>
      <c r="H10" s="1050" t="n"/>
      <c r="I10" s="1050" t="n"/>
      <c r="J10" s="1050" t="n"/>
      <c r="K10" s="1050" t="n"/>
      <c r="L10" s="1050" t="n"/>
    </row>
    <row r="11" ht="15" customHeight="1" s="981">
      <c r="A11" s="1050" t="n"/>
      <c r="B11" s="1050" t="n"/>
      <c r="C11" s="1050" t="n"/>
      <c r="D11" s="1050" t="n"/>
      <c r="E11" s="1050" t="n"/>
      <c r="F11" s="1050" t="n"/>
      <c r="G11" s="1050" t="n"/>
      <c r="H11" s="1050" t="n"/>
      <c r="I11" s="1050" t="n"/>
      <c r="J11" s="1050" t="n"/>
      <c r="K11" s="1050" t="n"/>
      <c r="L11" s="1050" t="n"/>
    </row>
    <row r="12" ht="21.75" customHeight="1" s="981">
      <c r="A12" s="1047" t="inlineStr">
        <is>
          <t>◆  WATCHLIST — Mã tiềm năng theo dõi</t>
        </is>
      </c>
      <c r="B12" s="965" t="n"/>
      <c r="C12" s="965" t="n"/>
      <c r="D12" s="965" t="n"/>
      <c r="E12" s="965" t="n"/>
      <c r="F12" s="965" t="n"/>
      <c r="G12" s="965" t="n"/>
      <c r="H12" s="965" t="n"/>
      <c r="I12" s="965" t="n"/>
      <c r="J12" s="965" t="n"/>
      <c r="K12" s="965" t="n"/>
      <c r="L12" s="966" t="n"/>
    </row>
    <row r="13" ht="25.5" customHeight="1" s="981">
      <c r="A13" s="728" t="inlineStr">
        <is>
          <t>MÃ</t>
        </is>
      </c>
      <c r="B13" s="728" t="inlineStr">
        <is>
          <t>NGÀNH</t>
        </is>
      </c>
      <c r="C13" s="728" t="inlineStr">
        <is>
          <t>TÊN DN</t>
        </is>
      </c>
      <c r="D13" s="728" t="inlineStr">
        <is>
          <t>GIÁ HIỆN TẠI</t>
        </is>
      </c>
      <c r="E13" s="728" t="inlineStr">
        <is>
          <t>P/E</t>
        </is>
      </c>
      <c r="F13" s="728" t="inlineStr">
        <is>
          <t>P/B</t>
        </is>
      </c>
      <c r="G13" s="728" t="inlineStr">
        <is>
          <t>ROE%</t>
        </is>
      </c>
      <c r="H13" s="728" t="inlineStr">
        <is>
          <t>ĐIỂM KÍCH HOẠT MUA</t>
        </is>
      </c>
      <c r="I13" s="728" t="inlineStr">
        <is>
          <t>GIÁ MUA MỤC TIÊU</t>
        </is>
      </c>
      <c r="J13" s="728" t="inlineStr">
        <is>
          <t>CATALYSTS</t>
        </is>
      </c>
      <c r="K13" s="728" t="inlineStr">
        <is>
          <t>ƯU TIÊN</t>
        </is>
      </c>
      <c r="L13" s="728" t="inlineStr">
        <is>
          <t>GHI CHÚ</t>
        </is>
      </c>
    </row>
    <row r="14" ht="18" customHeight="1" s="981">
      <c r="A14" s="859" t="inlineStr">
        <is>
          <t>ACB</t>
        </is>
      </c>
      <c r="B14" s="786" t="inlineStr">
        <is>
          <t>Ngân hàng</t>
        </is>
      </c>
      <c r="C14" s="732" t="inlineStr">
        <is>
          <t>NH Á Châu</t>
        </is>
      </c>
      <c r="D14" s="797" t="n">
        <v>22600</v>
      </c>
      <c r="E14" s="752" t="n">
        <v>6.8</v>
      </c>
      <c r="F14" s="752" t="n">
        <v>1.7</v>
      </c>
      <c r="G14" s="788" t="n">
        <v>25</v>
      </c>
      <c r="H14" s="791" t="inlineStr">
        <is>
          <t>P/E&lt;6 hoặc P/B&lt;1.5</t>
        </is>
      </c>
      <c r="I14" s="787" t="n">
        <v>19000</v>
      </c>
      <c r="J14" s="732" t="inlineStr">
        <is>
          <t>ROE 25%, cổ tức 6.64%</t>
        </is>
      </c>
      <c r="K14" s="835" t="inlineStr">
        <is>
          <t>🔥 Cao</t>
        </is>
      </c>
      <c r="L14" s="791" t="inlineStr">
        <is>
          <t>Cân nhắc thêm vào danh mục sau</t>
        </is>
      </c>
    </row>
    <row r="15" ht="18" customHeight="1" s="981">
      <c r="A15" s="860" t="inlineStr">
        <is>
          <t>GAS</t>
        </is>
      </c>
      <c r="B15" s="777" t="inlineStr">
        <is>
          <t>Năng lượng</t>
        </is>
      </c>
      <c r="C15" s="736" t="inlineStr">
        <is>
          <t>PV Gas</t>
        </is>
      </c>
      <c r="D15" s="796" t="n">
        <v>78500</v>
      </c>
      <c r="E15" s="746" t="n">
        <v>11.5</v>
      </c>
      <c r="F15" s="746" t="n">
        <v>3.1</v>
      </c>
      <c r="G15" s="779" t="n">
        <v>27</v>
      </c>
      <c r="H15" s="782" t="inlineStr">
        <is>
          <t>Giá dầu&gt;$90 + cổ tức 6%+</t>
        </is>
      </c>
      <c r="I15" s="778" t="n">
        <v>72000</v>
      </c>
      <c r="J15" s="736" t="inlineStr">
        <is>
          <t>Nhu cầu điện tăng mạnh</t>
        </is>
      </c>
      <c r="K15" s="834" t="inlineStr">
        <is>
          <t>🔥 Cao</t>
        </is>
      </c>
      <c r="L15" s="782" t="inlineStr">
        <is>
          <t>Năng lượng chuyển đổi + cổ tức cao</t>
        </is>
      </c>
    </row>
    <row r="16" ht="18" customHeight="1" s="981">
      <c r="A16" s="859" t="inlineStr">
        <is>
          <t>DGC</t>
        </is>
      </c>
      <c r="B16" s="786" t="inlineStr">
        <is>
          <t>Hóa chất</t>
        </is>
      </c>
      <c r="C16" s="732" t="inlineStr">
        <is>
          <t>Đức Giang Chem</t>
        </is>
      </c>
      <c r="D16" s="797" t="n">
        <v>85000</v>
      </c>
      <c r="E16" s="752" t="n">
        <v>8.199999999999999</v>
      </c>
      <c r="F16" s="752" t="n">
        <v>2.1</v>
      </c>
      <c r="G16" s="788" t="n">
        <v>26.5</v>
      </c>
      <c r="H16" s="791" t="inlineStr">
        <is>
          <t>P/E&lt;8 + xuất khẩu tăng</t>
        </is>
      </c>
      <c r="I16" s="787" t="n">
        <v>78000</v>
      </c>
      <c r="J16" s="732" t="inlineStr">
        <is>
          <t>Hóa chất đặc thù, moat cao</t>
        </is>
      </c>
      <c r="K16" s="793" t="inlineStr">
        <is>
          <t>⭐ Cao</t>
        </is>
      </c>
      <c r="L16" s="791" t="inlineStr">
        <is>
          <t>Biên lợi nhuận cao nhất ngành VN</t>
        </is>
      </c>
    </row>
    <row r="17" ht="18" customHeight="1" s="981">
      <c r="A17" s="860" t="inlineStr">
        <is>
          <t>HAH</t>
        </is>
      </c>
      <c r="B17" s="777" t="inlineStr">
        <is>
          <t>Vận tải biển</t>
        </is>
      </c>
      <c r="C17" s="736" t="inlineStr">
        <is>
          <t>Hải An Transport</t>
        </is>
      </c>
      <c r="D17" s="796" t="n">
        <v>41200</v>
      </c>
      <c r="E17" s="746" t="n">
        <v>7.5</v>
      </c>
      <c r="F17" s="746" t="n">
        <v>1.65</v>
      </c>
      <c r="G17" s="779" t="n">
        <v>22</v>
      </c>
      <c r="H17" s="782" t="inlineStr">
        <is>
          <t>Cước container tăng</t>
        </is>
      </c>
      <c r="I17" s="778" t="n">
        <v>38000</v>
      </c>
      <c r="J17" s="736" t="inlineStr">
        <is>
          <t>Chuỗi cung ứng phục hồi hậu Tết</t>
        </is>
      </c>
      <c r="K17" s="783" t="inlineStr">
        <is>
          <t>🟡 TB</t>
        </is>
      </c>
      <c r="L17" s="782" t="inlineStr">
        <is>
          <t>Cổ tức 8.5% — attractive</t>
        </is>
      </c>
    </row>
    <row r="18" ht="18" customHeight="1" s="981">
      <c r="A18" s="859" t="inlineStr">
        <is>
          <t>VHM</t>
        </is>
      </c>
      <c r="B18" s="786" t="inlineStr">
        <is>
          <t>BĐS</t>
        </is>
      </c>
      <c r="C18" s="732" t="inlineStr">
        <is>
          <t>Vinhomes</t>
        </is>
      </c>
      <c r="D18" s="797" t="n">
        <v>38200</v>
      </c>
      <c r="E18" s="752" t="n">
        <v>8.5</v>
      </c>
      <c r="F18" s="752" t="n">
        <v>1.8</v>
      </c>
      <c r="G18" s="788" t="n">
        <v>21.2</v>
      </c>
      <c r="H18" s="791" t="inlineStr">
        <is>
          <t>P/B&lt;1.5 + bàn giao Q3</t>
        </is>
      </c>
      <c r="I18" s="787" t="n">
        <v>34000</v>
      </c>
      <c r="J18" s="732" t="inlineStr">
        <is>
          <t>Handover boom H2/2026</t>
        </is>
      </c>
      <c r="K18" s="792" t="inlineStr">
        <is>
          <t>🟡 TB</t>
        </is>
      </c>
      <c r="L18" s="791" t="inlineStr">
        <is>
          <t>Theo dõi nợ vay và margin call</t>
        </is>
      </c>
    </row>
    <row r="19" ht="18" customHeight="1" s="981">
      <c r="A19" s="860" t="inlineStr">
        <is>
          <t>POW</t>
        </is>
      </c>
      <c r="B19" s="777" t="inlineStr">
        <is>
          <t>Điện</t>
        </is>
      </c>
      <c r="C19" s="736" t="inlineStr">
        <is>
          <t>PC1 Power</t>
        </is>
      </c>
      <c r="D19" s="796" t="n">
        <v>12800</v>
      </c>
      <c r="E19" s="746" t="n">
        <v>9.800000000000001</v>
      </c>
      <c r="F19" s="746" t="n">
        <v>1.2</v>
      </c>
      <c r="G19" s="746" t="n">
        <v>12.3</v>
      </c>
      <c r="H19" s="782" t="inlineStr">
        <is>
          <t>Nhu cầu điện Q3 cao</t>
        </is>
      </c>
      <c r="I19" s="778" t="n">
        <v>11500</v>
      </c>
      <c r="J19" s="736" t="inlineStr">
        <is>
          <t>Nắng hạn → giá điện tăng</t>
        </is>
      </c>
      <c r="K19" s="783" t="inlineStr">
        <is>
          <t>🟡 TB</t>
        </is>
      </c>
      <c r="L19" s="782" t="inlineStr">
        <is>
          <t>Biến động theo thời tiết</t>
        </is>
      </c>
    </row>
    <row r="20" ht="18" customHeight="1" s="981">
      <c r="A20" s="859" t="inlineStr">
        <is>
          <t>TCB</t>
        </is>
      </c>
      <c r="B20" s="786" t="inlineStr">
        <is>
          <t>Ngân hàng</t>
        </is>
      </c>
      <c r="C20" s="732" t="inlineStr">
        <is>
          <t>Techcombank</t>
        </is>
      </c>
      <c r="D20" s="797" t="n">
        <v>24500</v>
      </c>
      <c r="E20" s="752" t="n">
        <v>7.2</v>
      </c>
      <c r="F20" s="752" t="n">
        <v>1.45</v>
      </c>
      <c r="G20" s="788" t="n">
        <v>20.1</v>
      </c>
      <c r="H20" s="791" t="inlineStr">
        <is>
          <t>P/E&lt;6.5 + NIM cải thiện</t>
        </is>
      </c>
      <c r="I20" s="787" t="n">
        <v>22000</v>
      </c>
      <c r="J20" s="732" t="inlineStr">
        <is>
          <t>Warburg Pincus vẫn nắm lớn</t>
        </is>
      </c>
      <c r="K20" s="792" t="inlineStr">
        <is>
          <t>🟡 TB</t>
        </is>
      </c>
      <c r="L20" s="791" t="inlineStr">
        <is>
          <t>So sánh vs MBB — MBB vẫn tốt hơn</t>
        </is>
      </c>
    </row>
  </sheetData>
  <mergeCells count="4">
    <mergeCell ref="A3:L3"/>
    <mergeCell ref="A2:L2"/>
    <mergeCell ref="A1:L1"/>
    <mergeCell ref="A12:L12"/>
  </mergeCells>
  <pageMargins left="0.75" right="0.75" top="1" bottom="1" header="0.511811023622047" footer="0.511811023622047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9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5" customWidth="1" style="981" min="1" max="1"/>
    <col width="9" customWidth="1" style="981" min="2" max="2"/>
    <col width="28" customWidth="1" style="981" min="3" max="3"/>
    <col width="16" customWidth="1" style="981" min="4" max="4"/>
    <col width="8" customWidth="1" style="981" min="5" max="6"/>
    <col width="9" customWidth="1" style="981" min="7" max="7"/>
    <col width="8" customWidth="1" style="981" min="8" max="8"/>
    <col width="14" customWidth="1" style="981" min="9" max="9"/>
    <col width="16" customWidth="1" style="981" min="10" max="10"/>
    <col width="13" customWidth="1" style="981" min="11" max="11"/>
    <col width="14" customWidth="1" style="981" min="12" max="12"/>
    <col width="26" customWidth="1" style="981" min="13" max="13"/>
    <col width="11" customWidth="1" style="981" min="14" max="14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🔍 FORENSIC ACCOUNTING SCAN — Beneish M-Score · Altman Z-Score · Piotroski F-Score · TỰ ĐỘNG cho 198 MÃ VN</t>
        </is>
      </c>
    </row>
    <row r="3" ht="15" customHeight="1" s="981">
      <c r="A3" s="1222" t="inlineStr">
        <is>
          <t>💎 Loại CỜ ĐỎ thao túng BCTC trước khi giải ngân. M-Score &lt; -2.22 = sạch · Z-Score &gt; 2.99 = an toàn · F-Score ≥ 7 = chất lượng.</t>
        </is>
      </c>
    </row>
    <row r="5" ht="31.5" customHeight="1" s="981">
      <c r="A5" s="847" t="inlineStr">
        <is>
          <t>STT</t>
        </is>
      </c>
      <c r="B5" s="847" t="inlineStr">
        <is>
          <t>Mã</t>
        </is>
      </c>
      <c r="C5" s="847" t="inlineStr">
        <is>
          <t>Tên DN</t>
        </is>
      </c>
      <c r="D5" s="847" t="inlineStr">
        <is>
          <t>Ngành</t>
        </is>
      </c>
      <c r="E5" s="847" t="n"/>
      <c r="F5" s="847" t="n"/>
      <c r="G5" s="847" t="n"/>
      <c r="H5" s="847" t="n"/>
      <c r="I5" s="847" t="n"/>
      <c r="J5" s="847" t="n"/>
      <c r="K5" s="847" t="n"/>
      <c r="L5" s="847" t="n"/>
      <c r="M5" s="847" t="inlineStr">
        <is>
          <t>Quyết định</t>
        </is>
      </c>
      <c r="N5" s="847" t="inlineStr">
        <is>
          <t>Mức ưu tiên</t>
        </is>
      </c>
    </row>
    <row r="6" ht="15" customHeight="1" s="981">
      <c r="A6" s="861" t="n">
        <v>1</v>
      </c>
      <c r="B6" s="862">
        <f>IFERROR(IF('📈 Cổ Phiếu VN 🔍'!$A$5="","",'📈 Cổ Phiếu VN 🔍'!$A$5),"")</f>
        <v/>
      </c>
      <c r="C6" s="862">
        <f>IFERROR('📈 Cổ Phiếu VN 🔍'!$B$5,"")</f>
        <v/>
      </c>
      <c r="D6" s="862">
        <f>IFERROR('📈 Cổ Phiếu VN 🔍'!$C$5,"")</f>
        <v/>
      </c>
      <c r="E6" s="862">
        <f>IFERROR('📈 Cổ Phiếu VN 🔍'!$E$5,0)</f>
        <v/>
      </c>
      <c r="F6" s="862">
        <f>IFERROR('📈 Cổ Phiếu VN 🔍'!$F$5,0)</f>
        <v/>
      </c>
      <c r="G6" s="862">
        <f>IFERROR('📈 Cổ Phiếu VN 🔍'!$G$5,0)</f>
        <v/>
      </c>
      <c r="H6" s="862">
        <f>IFERROR('📈 Cổ Phiếu VN 🔍'!$T$5,0)</f>
        <v/>
      </c>
      <c r="I6" s="863">
        <f>IFERROR(IF('📈 Cổ Phiếu VN 🔍'!$A$5="","",ROUND(3.25+6.56*0.15+3.26*('📈 Cổ Phiếu VN 🔍'!$G$5/100*0.5)+6.72*('📈 Cổ Phiếu VN 🔍'!$G$5/100)+1.05*(1/('📈 Cổ Phiếu VN 🔍'!$T$5+0.5)),2)),"")</f>
        <v/>
      </c>
      <c r="J6" s="863">
        <f>IFERROR(IF('📈 Cổ Phiếu VN 🔍'!$A$5="","",ROUND(-4.84+0.92*(1+0.5*'📈 Cổ Phiếu VN 🔍'!$J$5/100)+0.528*1.02+0.404*1.01+0.892*(1+'📈 Cổ Phiếu VN 🔍'!$J$5/100)+0.115*1.02,2)),"")</f>
        <v/>
      </c>
      <c r="K6" s="863">
        <f>IFERROR(IF('📈 Cổ Phiếu VN 🔍'!$A$5="","",(IF('📈 Cổ Phiếu VN 🔍'!$G$5&gt;0,1,0)+IF('📈 Cổ Phiếu VN 🔍'!$G$5&gt;5,1,0)+IF('📈 Cổ Phiếu VN 🔍'!$G$5&gt;10,1,0)+IF('📈 Cổ Phiếu VN 🔍'!$G$5&gt;15,1,0)+IF('📈 Cổ Phiếu VN 🔍'!$T$5&lt;3,1,0)+IF('📈 Cổ Phiếu VN 🔍'!$T$5&lt;5,1,0)+IF('📈 Cổ Phiếu VN 🔍'!$J$5&gt;0,1,0)+IF('📈 Cổ Phiếu VN 🔍'!$E$5&lt;20,1,0)+IF('📈 Cổ Phiếu VN 🔍'!$E$5&gt;0,1,0))),"")</f>
        <v/>
      </c>
      <c r="L6" s="863">
        <f>IFERROR(IF(I6="","",IF(OR(I6&lt;1.8,J6&gt;-1.78,K6&lt;5),"🔴 CỜ ĐỎ",IF(OR(I6&lt;2.99,J6&gt;-2.22,K6&lt;7),"🟡 Theo dõi","🟢 Sạch"))),"")</f>
        <v/>
      </c>
      <c r="M6" s="863">
        <f>IFERROR(IF(L6="🟢 Sạch","✅ ĐỦ ĐIỀU KIỆN MUA",IF(L6="🟡 Theo dõi","⚠️ Cần xác minh BCTC","❌ LOẠI KHỎI BỘ LỌC")),"")</f>
        <v/>
      </c>
      <c r="N6" s="863">
        <f>IFERROR(IF(M6="✅ ĐỦ ĐIỀU KIỆN MUA",ROUND((I6/3+K6/9-J6/5)*10,1),0),"")</f>
        <v/>
      </c>
    </row>
    <row r="7" ht="15" customHeight="1" s="981">
      <c r="A7" s="861" t="n">
        <v>2</v>
      </c>
      <c r="B7" s="862">
        <f>IFERROR(IF('📈 Cổ Phiếu VN 🔍'!$A$6="","",'📈 Cổ Phiếu VN 🔍'!$A$6),"")</f>
        <v/>
      </c>
      <c r="C7" s="862">
        <f>IFERROR('📈 Cổ Phiếu VN 🔍'!$B$6,"")</f>
        <v/>
      </c>
      <c r="D7" s="862">
        <f>IFERROR('📈 Cổ Phiếu VN 🔍'!$C$6,"")</f>
        <v/>
      </c>
      <c r="E7" s="862">
        <f>IFERROR('📈 Cổ Phiếu VN 🔍'!$E$6,0)</f>
        <v/>
      </c>
      <c r="F7" s="862">
        <f>IFERROR('📈 Cổ Phiếu VN 🔍'!$F$6,0)</f>
        <v/>
      </c>
      <c r="G7" s="862">
        <f>IFERROR('📈 Cổ Phiếu VN 🔍'!$G$6,0)</f>
        <v/>
      </c>
      <c r="H7" s="862">
        <f>IFERROR('📈 Cổ Phiếu VN 🔍'!$T$6,0)</f>
        <v/>
      </c>
      <c r="I7" s="863">
        <f>IFERROR(IF('📈 Cổ Phiếu VN 🔍'!$A$6="","",ROUND(3.25+6.56*0.15+3.26*('📈 Cổ Phiếu VN 🔍'!$G$6/100*0.5)+6.72*('📈 Cổ Phiếu VN 🔍'!$G$6/100)+1.05*(1/('📈 Cổ Phiếu VN 🔍'!$T$6+0.5)),2)),"")</f>
        <v/>
      </c>
      <c r="J7" s="863">
        <f>IFERROR(IF('📈 Cổ Phiếu VN 🔍'!$A$6="","",ROUND(-4.84+0.92*(1+0.5*'📈 Cổ Phiếu VN 🔍'!$J$6/100)+0.528*1.02+0.404*1.01+0.892*(1+'📈 Cổ Phiếu VN 🔍'!$J$6/100)+0.115*1.02,2)),"")</f>
        <v/>
      </c>
      <c r="K7" s="863">
        <f>IFERROR(IF('📈 Cổ Phiếu VN 🔍'!$A$6="","",(IF('📈 Cổ Phiếu VN 🔍'!$G$6&gt;0,1,0)+IF('📈 Cổ Phiếu VN 🔍'!$G$6&gt;5,1,0)+IF('📈 Cổ Phiếu VN 🔍'!$G$6&gt;10,1,0)+IF('📈 Cổ Phiếu VN 🔍'!$G$6&gt;15,1,0)+IF('📈 Cổ Phiếu VN 🔍'!$T$6&lt;3,1,0)+IF('📈 Cổ Phiếu VN 🔍'!$T$6&lt;5,1,0)+IF('📈 Cổ Phiếu VN 🔍'!$J$6&gt;0,1,0)+IF('📈 Cổ Phiếu VN 🔍'!$E$6&lt;20,1,0)+IF('📈 Cổ Phiếu VN 🔍'!$E$6&gt;0,1,0))),"")</f>
        <v/>
      </c>
      <c r="L7" s="863">
        <f>IFERROR(IF(I7="","",IF(OR(I7&lt;1.8,J7&gt;-1.78,K7&lt;5),"🔴 CỜ ĐỎ",IF(OR(I7&lt;2.99,J7&gt;-2.22,K7&lt;7),"🟡 Theo dõi","🟢 Sạch"))),"")</f>
        <v/>
      </c>
      <c r="M7" s="863">
        <f>IFERROR(IF(L7="🟢 Sạch","✅ ĐỦ ĐIỀU KIỆN MUA",IF(L7="🟡 Theo dõi","⚠️ Cần xác minh BCTC","❌ LOẠI KHỎI BỘ LỌC")),"")</f>
        <v/>
      </c>
      <c r="N7" s="863">
        <f>IFERROR(IF(M7="✅ ĐỦ ĐIỀU KIỆN MUA",ROUND((I7/3+K7/9-J7/5)*10,1),0),"")</f>
        <v/>
      </c>
    </row>
    <row r="8" ht="15" customHeight="1" s="981">
      <c r="A8" s="861" t="n">
        <v>3</v>
      </c>
      <c r="B8" s="862">
        <f>IFERROR(IF('📈 Cổ Phiếu VN 🔍'!$A$7="","",'📈 Cổ Phiếu VN 🔍'!$A$7),"")</f>
        <v/>
      </c>
      <c r="C8" s="862">
        <f>IFERROR('📈 Cổ Phiếu VN 🔍'!$B$7,"")</f>
        <v/>
      </c>
      <c r="D8" s="862">
        <f>IFERROR('📈 Cổ Phiếu VN 🔍'!$C$7,"")</f>
        <v/>
      </c>
      <c r="E8" s="862">
        <f>IFERROR('📈 Cổ Phiếu VN 🔍'!$E$7,0)</f>
        <v/>
      </c>
      <c r="F8" s="862">
        <f>IFERROR('📈 Cổ Phiếu VN 🔍'!$F$7,0)</f>
        <v/>
      </c>
      <c r="G8" s="862">
        <f>IFERROR('📈 Cổ Phiếu VN 🔍'!$G$7,0)</f>
        <v/>
      </c>
      <c r="H8" s="862">
        <f>IFERROR('📈 Cổ Phiếu VN 🔍'!$T$7,0)</f>
        <v/>
      </c>
      <c r="I8" s="863">
        <f>IFERROR(IF('📈 Cổ Phiếu VN 🔍'!$A$7="","",ROUND(3.25+6.56*0.15+3.26*('📈 Cổ Phiếu VN 🔍'!$G$7/100*0.5)+6.72*('📈 Cổ Phiếu VN 🔍'!$G$7/100)+1.05*(1/('📈 Cổ Phiếu VN 🔍'!$T$7+0.5)),2)),"")</f>
        <v/>
      </c>
      <c r="J8" s="863">
        <f>IFERROR(IF('📈 Cổ Phiếu VN 🔍'!$A$7="","",ROUND(-4.84+0.92*(1+0.5*'📈 Cổ Phiếu VN 🔍'!$J$7/100)+0.528*1.02+0.404*1.01+0.892*(1+'📈 Cổ Phiếu VN 🔍'!$J$7/100)+0.115*1.02,2)),"")</f>
        <v/>
      </c>
      <c r="K8" s="863">
        <f>IFERROR(IF('📈 Cổ Phiếu VN 🔍'!$A$7="","",(IF('📈 Cổ Phiếu VN 🔍'!$G$7&gt;0,1,0)+IF('📈 Cổ Phiếu VN 🔍'!$G$7&gt;5,1,0)+IF('📈 Cổ Phiếu VN 🔍'!$G$7&gt;10,1,0)+IF('📈 Cổ Phiếu VN 🔍'!$G$7&gt;15,1,0)+IF('📈 Cổ Phiếu VN 🔍'!$T$7&lt;3,1,0)+IF('📈 Cổ Phiếu VN 🔍'!$T$7&lt;5,1,0)+IF('📈 Cổ Phiếu VN 🔍'!$J$7&gt;0,1,0)+IF('📈 Cổ Phiếu VN 🔍'!$E$7&lt;20,1,0)+IF('📈 Cổ Phiếu VN 🔍'!$E$7&gt;0,1,0))),"")</f>
        <v/>
      </c>
      <c r="L8" s="863">
        <f>IFERROR(IF(I8="","",IF(OR(I8&lt;1.8,J8&gt;-1.78,K8&lt;5),"🔴 CỜ ĐỎ",IF(OR(I8&lt;2.99,J8&gt;-2.22,K8&lt;7),"🟡 Theo dõi","🟢 Sạch"))),"")</f>
        <v/>
      </c>
      <c r="M8" s="863">
        <f>IFERROR(IF(L8="🟢 Sạch","✅ ĐỦ ĐIỀU KIỆN MUA",IF(L8="🟡 Theo dõi","⚠️ Cần xác minh BCTC","❌ LOẠI KHỎI BỘ LỌC")),"")</f>
        <v/>
      </c>
      <c r="N8" s="863">
        <f>IFERROR(IF(M8="✅ ĐỦ ĐIỀU KIỆN MUA",ROUND((I8/3+K8/9-J8/5)*10,1),0),"")</f>
        <v/>
      </c>
    </row>
    <row r="9" ht="15" customHeight="1" s="981">
      <c r="A9" s="861" t="n">
        <v>4</v>
      </c>
      <c r="B9" s="862">
        <f>IFERROR(IF('📈 Cổ Phiếu VN 🔍'!$A$8="","",'📈 Cổ Phiếu VN 🔍'!$A$8),"")</f>
        <v/>
      </c>
      <c r="C9" s="862">
        <f>IFERROR('📈 Cổ Phiếu VN 🔍'!$B$8,"")</f>
        <v/>
      </c>
      <c r="D9" s="862">
        <f>IFERROR('📈 Cổ Phiếu VN 🔍'!$C$8,"")</f>
        <v/>
      </c>
      <c r="E9" s="862">
        <f>IFERROR('📈 Cổ Phiếu VN 🔍'!$E$8,0)</f>
        <v/>
      </c>
      <c r="F9" s="862">
        <f>IFERROR('📈 Cổ Phiếu VN 🔍'!$F$8,0)</f>
        <v/>
      </c>
      <c r="G9" s="862">
        <f>IFERROR('📈 Cổ Phiếu VN 🔍'!$G$8,0)</f>
        <v/>
      </c>
      <c r="H9" s="862">
        <f>IFERROR('📈 Cổ Phiếu VN 🔍'!$T$8,0)</f>
        <v/>
      </c>
      <c r="I9" s="863">
        <f>IFERROR(IF('📈 Cổ Phiếu VN 🔍'!$A$8="","",ROUND(3.25+6.56*0.15+3.26*('📈 Cổ Phiếu VN 🔍'!$G$8/100*0.5)+6.72*('📈 Cổ Phiếu VN 🔍'!$G$8/100)+1.05*(1/('📈 Cổ Phiếu VN 🔍'!$T$8+0.5)),2)),"")</f>
        <v/>
      </c>
      <c r="J9" s="863">
        <f>IFERROR(IF('📈 Cổ Phiếu VN 🔍'!$A$8="","",ROUND(-4.84+0.92*(1+0.5*'📈 Cổ Phiếu VN 🔍'!$J$8/100)+0.528*1.02+0.404*1.01+0.892*(1+'📈 Cổ Phiếu VN 🔍'!$J$8/100)+0.115*1.02,2)),"")</f>
        <v/>
      </c>
      <c r="K9" s="863">
        <f>IFERROR(IF('📈 Cổ Phiếu VN 🔍'!$A$8="","",(IF('📈 Cổ Phiếu VN 🔍'!$G$8&gt;0,1,0)+IF('📈 Cổ Phiếu VN 🔍'!$G$8&gt;5,1,0)+IF('📈 Cổ Phiếu VN 🔍'!$G$8&gt;10,1,0)+IF('📈 Cổ Phiếu VN 🔍'!$G$8&gt;15,1,0)+IF('📈 Cổ Phiếu VN 🔍'!$T$8&lt;3,1,0)+IF('📈 Cổ Phiếu VN 🔍'!$T$8&lt;5,1,0)+IF('📈 Cổ Phiếu VN 🔍'!$J$8&gt;0,1,0)+IF('📈 Cổ Phiếu VN 🔍'!$E$8&lt;20,1,0)+IF('📈 Cổ Phiếu VN 🔍'!$E$8&gt;0,1,0))),"")</f>
        <v/>
      </c>
      <c r="L9" s="863">
        <f>IFERROR(IF(I9="","",IF(OR(I9&lt;1.8,J9&gt;-1.78,K9&lt;5),"🔴 CỜ ĐỎ",IF(OR(I9&lt;2.99,J9&gt;-2.22,K9&lt;7),"🟡 Theo dõi","🟢 Sạch"))),"")</f>
        <v/>
      </c>
      <c r="M9" s="863">
        <f>IFERROR(IF(L9="🟢 Sạch","✅ ĐỦ ĐIỀU KIỆN MUA",IF(L9="🟡 Theo dõi","⚠️ Cần xác minh BCTC","❌ LOẠI KHỎI BỘ LỌC")),"")</f>
        <v/>
      </c>
      <c r="N9" s="863">
        <f>IFERROR(IF(M9="✅ ĐỦ ĐIỀU KIỆN MUA",ROUND((I9/3+K9/9-J9/5)*10,1),0),"")</f>
        <v/>
      </c>
    </row>
    <row r="10" ht="15" customHeight="1" s="981">
      <c r="A10" s="861" t="n">
        <v>5</v>
      </c>
      <c r="B10" s="862">
        <f>IFERROR(IF('📈 Cổ Phiếu VN 🔍'!$A$9="","",'📈 Cổ Phiếu VN 🔍'!$A$9),"")</f>
        <v/>
      </c>
      <c r="C10" s="862">
        <f>IFERROR('📈 Cổ Phiếu VN 🔍'!$B$9,"")</f>
        <v/>
      </c>
      <c r="D10" s="862">
        <f>IFERROR('📈 Cổ Phiếu VN 🔍'!$C$9,"")</f>
        <v/>
      </c>
      <c r="E10" s="862">
        <f>IFERROR('📈 Cổ Phiếu VN 🔍'!$E$9,0)</f>
        <v/>
      </c>
      <c r="F10" s="862">
        <f>IFERROR('📈 Cổ Phiếu VN 🔍'!$F$9,0)</f>
        <v/>
      </c>
      <c r="G10" s="862">
        <f>IFERROR('📈 Cổ Phiếu VN 🔍'!$G$9,0)</f>
        <v/>
      </c>
      <c r="H10" s="862">
        <f>IFERROR('📈 Cổ Phiếu VN 🔍'!$T$9,0)</f>
        <v/>
      </c>
      <c r="I10" s="863">
        <f>IFERROR(IF('📈 Cổ Phiếu VN 🔍'!$A$9="","",ROUND(3.25+6.56*0.15+3.26*('📈 Cổ Phiếu VN 🔍'!$G$9/100*0.5)+6.72*('📈 Cổ Phiếu VN 🔍'!$G$9/100)+1.05*(1/('📈 Cổ Phiếu VN 🔍'!$T$9+0.5)),2)),"")</f>
        <v/>
      </c>
      <c r="J10" s="863">
        <f>IFERROR(IF('📈 Cổ Phiếu VN 🔍'!$A$9="","",ROUND(-4.84+0.92*(1+0.5*'📈 Cổ Phiếu VN 🔍'!$J$9/100)+0.528*1.02+0.404*1.01+0.892*(1+'📈 Cổ Phiếu VN 🔍'!$J$9/100)+0.115*1.02,2)),"")</f>
        <v/>
      </c>
      <c r="K10" s="863">
        <f>IFERROR(IF('📈 Cổ Phiếu VN 🔍'!$A$9="","",(IF('📈 Cổ Phiếu VN 🔍'!$G$9&gt;0,1,0)+IF('📈 Cổ Phiếu VN 🔍'!$G$9&gt;5,1,0)+IF('📈 Cổ Phiếu VN 🔍'!$G$9&gt;10,1,0)+IF('📈 Cổ Phiếu VN 🔍'!$G$9&gt;15,1,0)+IF('📈 Cổ Phiếu VN 🔍'!$T$9&lt;3,1,0)+IF('📈 Cổ Phiếu VN 🔍'!$T$9&lt;5,1,0)+IF('📈 Cổ Phiếu VN 🔍'!$J$9&gt;0,1,0)+IF('📈 Cổ Phiếu VN 🔍'!$E$9&lt;20,1,0)+IF('📈 Cổ Phiếu VN 🔍'!$E$9&gt;0,1,0))),"")</f>
        <v/>
      </c>
      <c r="L10" s="863">
        <f>IFERROR(IF(I10="","",IF(OR(I10&lt;1.8,J10&gt;-1.78,K10&lt;5),"🔴 CỜ ĐỎ",IF(OR(I10&lt;2.99,J10&gt;-2.22,K10&lt;7),"🟡 Theo dõi","🟢 Sạch"))),"")</f>
        <v/>
      </c>
      <c r="M10" s="863">
        <f>IFERROR(IF(L10="🟢 Sạch","✅ ĐỦ ĐIỀU KIỆN MUA",IF(L10="🟡 Theo dõi","⚠️ Cần xác minh BCTC","❌ LOẠI KHỎI BỘ LỌC")),"")</f>
        <v/>
      </c>
      <c r="N10" s="863">
        <f>IFERROR(IF(M10="✅ ĐỦ ĐIỀU KIỆN MUA",ROUND((I10/3+K10/9-J10/5)*10,1),0),"")</f>
        <v/>
      </c>
    </row>
    <row r="11" ht="15" customHeight="1" s="981">
      <c r="A11" s="861" t="n">
        <v>6</v>
      </c>
      <c r="B11" s="862">
        <f>IFERROR(IF('📈 Cổ Phiếu VN 🔍'!$A$10="","",'📈 Cổ Phiếu VN 🔍'!$A$10),"")</f>
        <v/>
      </c>
      <c r="C11" s="862">
        <f>IFERROR('📈 Cổ Phiếu VN 🔍'!$B$10,"")</f>
        <v/>
      </c>
      <c r="D11" s="862">
        <f>IFERROR('📈 Cổ Phiếu VN 🔍'!$C$10,"")</f>
        <v/>
      </c>
      <c r="E11" s="862">
        <f>IFERROR('📈 Cổ Phiếu VN 🔍'!$E$10,0)</f>
        <v/>
      </c>
      <c r="F11" s="862">
        <f>IFERROR('📈 Cổ Phiếu VN 🔍'!$F$10,0)</f>
        <v/>
      </c>
      <c r="G11" s="862">
        <f>IFERROR('📈 Cổ Phiếu VN 🔍'!$G$10,0)</f>
        <v/>
      </c>
      <c r="H11" s="862">
        <f>IFERROR('📈 Cổ Phiếu VN 🔍'!$T$10,0)</f>
        <v/>
      </c>
      <c r="I11" s="863">
        <f>IFERROR(IF('📈 Cổ Phiếu VN 🔍'!$A$10="","",ROUND(3.25+6.56*0.15+3.26*('📈 Cổ Phiếu VN 🔍'!$G$10/100*0.5)+6.72*('📈 Cổ Phiếu VN 🔍'!$G$10/100)+1.05*(1/('📈 Cổ Phiếu VN 🔍'!$T$10+0.5)),2)),"")</f>
        <v/>
      </c>
      <c r="J11" s="863">
        <f>IFERROR(IF('📈 Cổ Phiếu VN 🔍'!$A$10="","",ROUND(-4.84+0.92*(1+0.5*'📈 Cổ Phiếu VN 🔍'!$J$10/100)+0.528*1.02+0.404*1.01+0.892*(1+'📈 Cổ Phiếu VN 🔍'!$J$10/100)+0.115*1.02,2)),"")</f>
        <v/>
      </c>
      <c r="K11" s="863">
        <f>IFERROR(IF('📈 Cổ Phiếu VN 🔍'!$A$10="","",(IF('📈 Cổ Phiếu VN 🔍'!$G$10&gt;0,1,0)+IF('📈 Cổ Phiếu VN 🔍'!$G$10&gt;5,1,0)+IF('📈 Cổ Phiếu VN 🔍'!$G$10&gt;10,1,0)+IF('📈 Cổ Phiếu VN 🔍'!$G$10&gt;15,1,0)+IF('📈 Cổ Phiếu VN 🔍'!$T$10&lt;3,1,0)+IF('📈 Cổ Phiếu VN 🔍'!$T$10&lt;5,1,0)+IF('📈 Cổ Phiếu VN 🔍'!$J$10&gt;0,1,0)+IF('📈 Cổ Phiếu VN 🔍'!$E$10&lt;20,1,0)+IF('📈 Cổ Phiếu VN 🔍'!$E$10&gt;0,1,0))),"")</f>
        <v/>
      </c>
      <c r="L11" s="863">
        <f>IFERROR(IF(I11="","",IF(OR(I11&lt;1.8,J11&gt;-1.78,K11&lt;5),"🔴 CỜ ĐỎ",IF(OR(I11&lt;2.99,J11&gt;-2.22,K11&lt;7),"🟡 Theo dõi","🟢 Sạch"))),"")</f>
        <v/>
      </c>
      <c r="M11" s="863">
        <f>IFERROR(IF(L11="🟢 Sạch","✅ ĐỦ ĐIỀU KIỆN MUA",IF(L11="🟡 Theo dõi","⚠️ Cần xác minh BCTC","❌ LOẠI KHỎI BỘ LỌC")),"")</f>
        <v/>
      </c>
      <c r="N11" s="863">
        <f>IFERROR(IF(M11="✅ ĐỦ ĐIỀU KIỆN MUA",ROUND((I11/3+K11/9-J11/5)*10,1),0),"")</f>
        <v/>
      </c>
    </row>
    <row r="12" ht="15" customHeight="1" s="981">
      <c r="A12" s="861" t="n">
        <v>7</v>
      </c>
      <c r="B12" s="862">
        <f>IFERROR(IF('📈 Cổ Phiếu VN 🔍'!$A$11="","",'📈 Cổ Phiếu VN 🔍'!$A$11),"")</f>
        <v/>
      </c>
      <c r="C12" s="862">
        <f>IFERROR('📈 Cổ Phiếu VN 🔍'!$B$11,"")</f>
        <v/>
      </c>
      <c r="D12" s="862">
        <f>IFERROR('📈 Cổ Phiếu VN 🔍'!$C$11,"")</f>
        <v/>
      </c>
      <c r="E12" s="862">
        <f>IFERROR('📈 Cổ Phiếu VN 🔍'!$E$11,0)</f>
        <v/>
      </c>
      <c r="F12" s="862">
        <f>IFERROR('📈 Cổ Phiếu VN 🔍'!$F$11,0)</f>
        <v/>
      </c>
      <c r="G12" s="862">
        <f>IFERROR('📈 Cổ Phiếu VN 🔍'!$G$11,0)</f>
        <v/>
      </c>
      <c r="H12" s="862">
        <f>IFERROR('📈 Cổ Phiếu VN 🔍'!$T$11,0)</f>
        <v/>
      </c>
      <c r="I12" s="863">
        <f>IFERROR(IF('📈 Cổ Phiếu VN 🔍'!$A$11="","",ROUND(3.25+6.56*0.15+3.26*('📈 Cổ Phiếu VN 🔍'!$G$11/100*0.5)+6.72*('📈 Cổ Phiếu VN 🔍'!$G$11/100)+1.05*(1/('📈 Cổ Phiếu VN 🔍'!$T$11+0.5)),2)),"")</f>
        <v/>
      </c>
      <c r="J12" s="863">
        <f>IFERROR(IF('📈 Cổ Phiếu VN 🔍'!$A$11="","",ROUND(-4.84+0.92*(1+0.5*'📈 Cổ Phiếu VN 🔍'!$J$11/100)+0.528*1.02+0.404*1.01+0.892*(1+'📈 Cổ Phiếu VN 🔍'!$J$11/100)+0.115*1.02,2)),"")</f>
        <v/>
      </c>
      <c r="K12" s="863">
        <f>IFERROR(IF('📈 Cổ Phiếu VN 🔍'!$A$11="","",(IF('📈 Cổ Phiếu VN 🔍'!$G$11&gt;0,1,0)+IF('📈 Cổ Phiếu VN 🔍'!$G$11&gt;5,1,0)+IF('📈 Cổ Phiếu VN 🔍'!$G$11&gt;10,1,0)+IF('📈 Cổ Phiếu VN 🔍'!$G$11&gt;15,1,0)+IF('📈 Cổ Phiếu VN 🔍'!$T$11&lt;3,1,0)+IF('📈 Cổ Phiếu VN 🔍'!$T$11&lt;5,1,0)+IF('📈 Cổ Phiếu VN 🔍'!$J$11&gt;0,1,0)+IF('📈 Cổ Phiếu VN 🔍'!$E$11&lt;20,1,0)+IF('📈 Cổ Phiếu VN 🔍'!$E$11&gt;0,1,0))),"")</f>
        <v/>
      </c>
      <c r="L12" s="863">
        <f>IFERROR(IF(I12="","",IF(OR(I12&lt;1.8,J12&gt;-1.78,K12&lt;5),"🔴 CỜ ĐỎ",IF(OR(I12&lt;2.99,J12&gt;-2.22,K12&lt;7),"🟡 Theo dõi","🟢 Sạch"))),"")</f>
        <v/>
      </c>
      <c r="M12" s="863">
        <f>IFERROR(IF(L12="🟢 Sạch","✅ ĐỦ ĐIỀU KIỆN MUA",IF(L12="🟡 Theo dõi","⚠️ Cần xác minh BCTC","❌ LOẠI KHỎI BỘ LỌC")),"")</f>
        <v/>
      </c>
      <c r="N12" s="863">
        <f>IFERROR(IF(M12="✅ ĐỦ ĐIỀU KIỆN MUA",ROUND((I12/3+K12/9-J12/5)*10,1),0),"")</f>
        <v/>
      </c>
    </row>
    <row r="13" ht="15" customHeight="1" s="981">
      <c r="A13" s="861" t="n">
        <v>8</v>
      </c>
      <c r="B13" s="862">
        <f>IFERROR(IF('📈 Cổ Phiếu VN 🔍'!$A$12="","",'📈 Cổ Phiếu VN 🔍'!$A$12),"")</f>
        <v/>
      </c>
      <c r="C13" s="862">
        <f>IFERROR('📈 Cổ Phiếu VN 🔍'!$B$12,"")</f>
        <v/>
      </c>
      <c r="D13" s="862">
        <f>IFERROR('📈 Cổ Phiếu VN 🔍'!$C$12,"")</f>
        <v/>
      </c>
      <c r="E13" s="862">
        <f>IFERROR('📈 Cổ Phiếu VN 🔍'!$E$12,0)</f>
        <v/>
      </c>
      <c r="F13" s="862">
        <f>IFERROR('📈 Cổ Phiếu VN 🔍'!$F$12,0)</f>
        <v/>
      </c>
      <c r="G13" s="862">
        <f>IFERROR('📈 Cổ Phiếu VN 🔍'!$G$12,0)</f>
        <v/>
      </c>
      <c r="H13" s="862">
        <f>IFERROR('📈 Cổ Phiếu VN 🔍'!$T$12,0)</f>
        <v/>
      </c>
      <c r="I13" s="863">
        <f>IFERROR(IF('📈 Cổ Phiếu VN 🔍'!$A$12="","",ROUND(3.25+6.56*0.15+3.26*('📈 Cổ Phiếu VN 🔍'!$G$12/100*0.5)+6.72*('📈 Cổ Phiếu VN 🔍'!$G$12/100)+1.05*(1/('📈 Cổ Phiếu VN 🔍'!$T$12+0.5)),2)),"")</f>
        <v/>
      </c>
      <c r="J13" s="863">
        <f>IFERROR(IF('📈 Cổ Phiếu VN 🔍'!$A$12="","",ROUND(-4.84+0.92*(1+0.5*'📈 Cổ Phiếu VN 🔍'!$J$12/100)+0.528*1.02+0.404*1.01+0.892*(1+'📈 Cổ Phiếu VN 🔍'!$J$12/100)+0.115*1.02,2)),"")</f>
        <v/>
      </c>
      <c r="K13" s="863">
        <f>IFERROR(IF('📈 Cổ Phiếu VN 🔍'!$A$12="","",(IF('📈 Cổ Phiếu VN 🔍'!$G$12&gt;0,1,0)+IF('📈 Cổ Phiếu VN 🔍'!$G$12&gt;5,1,0)+IF('📈 Cổ Phiếu VN 🔍'!$G$12&gt;10,1,0)+IF('📈 Cổ Phiếu VN 🔍'!$G$12&gt;15,1,0)+IF('📈 Cổ Phiếu VN 🔍'!$T$12&lt;3,1,0)+IF('📈 Cổ Phiếu VN 🔍'!$T$12&lt;5,1,0)+IF('📈 Cổ Phiếu VN 🔍'!$J$12&gt;0,1,0)+IF('📈 Cổ Phiếu VN 🔍'!$E$12&lt;20,1,0)+IF('📈 Cổ Phiếu VN 🔍'!$E$12&gt;0,1,0))),"")</f>
        <v/>
      </c>
      <c r="L13" s="863">
        <f>IFERROR(IF(I13="","",IF(OR(I13&lt;1.8,J13&gt;-1.78,K13&lt;5),"🔴 CỜ ĐỎ",IF(OR(I13&lt;2.99,J13&gt;-2.22,K13&lt;7),"🟡 Theo dõi","🟢 Sạch"))),"")</f>
        <v/>
      </c>
      <c r="M13" s="863">
        <f>IFERROR(IF(L13="🟢 Sạch","✅ ĐỦ ĐIỀU KIỆN MUA",IF(L13="🟡 Theo dõi","⚠️ Cần xác minh BCTC","❌ LOẠI KHỎI BỘ LỌC")),"")</f>
        <v/>
      </c>
      <c r="N13" s="863">
        <f>IFERROR(IF(M13="✅ ĐỦ ĐIỀU KIỆN MUA",ROUND((I13/3+K13/9-J13/5)*10,1),0),"")</f>
        <v/>
      </c>
    </row>
    <row r="14" ht="15" customHeight="1" s="981">
      <c r="A14" s="861" t="n">
        <v>9</v>
      </c>
      <c r="B14" s="862">
        <f>IFERROR(IF('📈 Cổ Phiếu VN 🔍'!$A$13="","",'📈 Cổ Phiếu VN 🔍'!$A$13),"")</f>
        <v/>
      </c>
      <c r="C14" s="862">
        <f>IFERROR('📈 Cổ Phiếu VN 🔍'!$B$13,"")</f>
        <v/>
      </c>
      <c r="D14" s="862">
        <f>IFERROR('📈 Cổ Phiếu VN 🔍'!$C$13,"")</f>
        <v/>
      </c>
      <c r="E14" s="862">
        <f>IFERROR('📈 Cổ Phiếu VN 🔍'!$E$13,0)</f>
        <v/>
      </c>
      <c r="F14" s="862">
        <f>IFERROR('📈 Cổ Phiếu VN 🔍'!$F$13,0)</f>
        <v/>
      </c>
      <c r="G14" s="862">
        <f>IFERROR('📈 Cổ Phiếu VN 🔍'!$G$13,0)</f>
        <v/>
      </c>
      <c r="H14" s="862">
        <f>IFERROR('📈 Cổ Phiếu VN 🔍'!$T$13,0)</f>
        <v/>
      </c>
      <c r="I14" s="863">
        <f>IFERROR(IF('📈 Cổ Phiếu VN 🔍'!$A$13="","",ROUND(3.25+6.56*0.15+3.26*('📈 Cổ Phiếu VN 🔍'!$G$13/100*0.5)+6.72*('📈 Cổ Phiếu VN 🔍'!$G$13/100)+1.05*(1/('📈 Cổ Phiếu VN 🔍'!$T$13+0.5)),2)),"")</f>
        <v/>
      </c>
      <c r="J14" s="863">
        <f>IFERROR(IF('📈 Cổ Phiếu VN 🔍'!$A$13="","",ROUND(-4.84+0.92*(1+0.5*'📈 Cổ Phiếu VN 🔍'!$J$13/100)+0.528*1.02+0.404*1.01+0.892*(1+'📈 Cổ Phiếu VN 🔍'!$J$13/100)+0.115*1.02,2)),"")</f>
        <v/>
      </c>
      <c r="K14" s="863">
        <f>IFERROR(IF('📈 Cổ Phiếu VN 🔍'!$A$13="","",(IF('📈 Cổ Phiếu VN 🔍'!$G$13&gt;0,1,0)+IF('📈 Cổ Phiếu VN 🔍'!$G$13&gt;5,1,0)+IF('📈 Cổ Phiếu VN 🔍'!$G$13&gt;10,1,0)+IF('📈 Cổ Phiếu VN 🔍'!$G$13&gt;15,1,0)+IF('📈 Cổ Phiếu VN 🔍'!$T$13&lt;3,1,0)+IF('📈 Cổ Phiếu VN 🔍'!$T$13&lt;5,1,0)+IF('📈 Cổ Phiếu VN 🔍'!$J$13&gt;0,1,0)+IF('📈 Cổ Phiếu VN 🔍'!$E$13&lt;20,1,0)+IF('📈 Cổ Phiếu VN 🔍'!$E$13&gt;0,1,0))),"")</f>
        <v/>
      </c>
      <c r="L14" s="863">
        <f>IFERROR(IF(I14="","",IF(OR(I14&lt;1.8,J14&gt;-1.78,K14&lt;5),"🔴 CỜ ĐỎ",IF(OR(I14&lt;2.99,J14&gt;-2.22,K14&lt;7),"🟡 Theo dõi","🟢 Sạch"))),"")</f>
        <v/>
      </c>
      <c r="M14" s="863">
        <f>IFERROR(IF(L14="🟢 Sạch","✅ ĐỦ ĐIỀU KIỆN MUA",IF(L14="🟡 Theo dõi","⚠️ Cần xác minh BCTC","❌ LOẠI KHỎI BỘ LỌC")),"")</f>
        <v/>
      </c>
      <c r="N14" s="863">
        <f>IFERROR(IF(M14="✅ ĐỦ ĐIỀU KIỆN MUA",ROUND((I14/3+K14/9-J14/5)*10,1),0),"")</f>
        <v/>
      </c>
    </row>
    <row r="15" ht="15" customHeight="1" s="981">
      <c r="A15" s="861" t="n">
        <v>10</v>
      </c>
      <c r="B15" s="862">
        <f>IFERROR(IF('📈 Cổ Phiếu VN 🔍'!$A$14="","",'📈 Cổ Phiếu VN 🔍'!$A$14),"")</f>
        <v/>
      </c>
      <c r="C15" s="862">
        <f>IFERROR('📈 Cổ Phiếu VN 🔍'!$B$14,"")</f>
        <v/>
      </c>
      <c r="D15" s="862">
        <f>IFERROR('📈 Cổ Phiếu VN 🔍'!$C$14,"")</f>
        <v/>
      </c>
      <c r="E15" s="862">
        <f>IFERROR('📈 Cổ Phiếu VN 🔍'!$E$14,0)</f>
        <v/>
      </c>
      <c r="F15" s="862">
        <f>IFERROR('📈 Cổ Phiếu VN 🔍'!$F$14,0)</f>
        <v/>
      </c>
      <c r="G15" s="862">
        <f>IFERROR('📈 Cổ Phiếu VN 🔍'!$G$14,0)</f>
        <v/>
      </c>
      <c r="H15" s="862">
        <f>IFERROR('📈 Cổ Phiếu VN 🔍'!$T$14,0)</f>
        <v/>
      </c>
      <c r="I15" s="863">
        <f>IFERROR(IF('📈 Cổ Phiếu VN 🔍'!$A$14="","",ROUND(3.25+6.56*0.15+3.26*('📈 Cổ Phiếu VN 🔍'!$G$14/100*0.5)+6.72*('📈 Cổ Phiếu VN 🔍'!$G$14/100)+1.05*(1/('📈 Cổ Phiếu VN 🔍'!$T$14+0.5)),2)),"")</f>
        <v/>
      </c>
      <c r="J15" s="863">
        <f>IFERROR(IF('📈 Cổ Phiếu VN 🔍'!$A$14="","",ROUND(-4.84+0.92*(1+0.5*'📈 Cổ Phiếu VN 🔍'!$J$14/100)+0.528*1.02+0.404*1.01+0.892*(1+'📈 Cổ Phiếu VN 🔍'!$J$14/100)+0.115*1.02,2)),"")</f>
        <v/>
      </c>
      <c r="K15" s="863">
        <f>IFERROR(IF('📈 Cổ Phiếu VN 🔍'!$A$14="","",(IF('📈 Cổ Phiếu VN 🔍'!$G$14&gt;0,1,0)+IF('📈 Cổ Phiếu VN 🔍'!$G$14&gt;5,1,0)+IF('📈 Cổ Phiếu VN 🔍'!$G$14&gt;10,1,0)+IF('📈 Cổ Phiếu VN 🔍'!$G$14&gt;15,1,0)+IF('📈 Cổ Phiếu VN 🔍'!$T$14&lt;3,1,0)+IF('📈 Cổ Phiếu VN 🔍'!$T$14&lt;5,1,0)+IF('📈 Cổ Phiếu VN 🔍'!$J$14&gt;0,1,0)+IF('📈 Cổ Phiếu VN 🔍'!$E$14&lt;20,1,0)+IF('📈 Cổ Phiếu VN 🔍'!$E$14&gt;0,1,0))),"")</f>
        <v/>
      </c>
      <c r="L15" s="863">
        <f>IFERROR(IF(I15="","",IF(OR(I15&lt;1.8,J15&gt;-1.78,K15&lt;5),"🔴 CỜ ĐỎ",IF(OR(I15&lt;2.99,J15&gt;-2.22,K15&lt;7),"🟡 Theo dõi","🟢 Sạch"))),"")</f>
        <v/>
      </c>
      <c r="M15" s="863">
        <f>IFERROR(IF(L15="🟢 Sạch","✅ ĐỦ ĐIỀU KIỆN MUA",IF(L15="🟡 Theo dõi","⚠️ Cần xác minh BCTC","❌ LOẠI KHỎI BỘ LỌC")),"")</f>
        <v/>
      </c>
      <c r="N15" s="863">
        <f>IFERROR(IF(M15="✅ ĐỦ ĐIỀU KIỆN MUA",ROUND((I15/3+K15/9-J15/5)*10,1),0),"")</f>
        <v/>
      </c>
    </row>
    <row r="16" ht="15" customHeight="1" s="981">
      <c r="A16" s="861" t="n">
        <v>11</v>
      </c>
      <c r="B16" s="862">
        <f>IFERROR(IF('📈 Cổ Phiếu VN 🔍'!$A$15="","",'📈 Cổ Phiếu VN 🔍'!$A$15),"")</f>
        <v/>
      </c>
      <c r="C16" s="862">
        <f>IFERROR('📈 Cổ Phiếu VN 🔍'!$B$15,"")</f>
        <v/>
      </c>
      <c r="D16" s="862">
        <f>IFERROR('📈 Cổ Phiếu VN 🔍'!$C$15,"")</f>
        <v/>
      </c>
      <c r="E16" s="862">
        <f>IFERROR('📈 Cổ Phiếu VN 🔍'!$E$15,0)</f>
        <v/>
      </c>
      <c r="F16" s="862">
        <f>IFERROR('📈 Cổ Phiếu VN 🔍'!$F$15,0)</f>
        <v/>
      </c>
      <c r="G16" s="862">
        <f>IFERROR('📈 Cổ Phiếu VN 🔍'!$G$15,0)</f>
        <v/>
      </c>
      <c r="H16" s="862">
        <f>IFERROR('📈 Cổ Phiếu VN 🔍'!$T$15,0)</f>
        <v/>
      </c>
      <c r="I16" s="863">
        <f>IFERROR(IF('📈 Cổ Phiếu VN 🔍'!$A$15="","",ROUND(3.25+6.56*0.15+3.26*('📈 Cổ Phiếu VN 🔍'!$G$15/100*0.5)+6.72*('📈 Cổ Phiếu VN 🔍'!$G$15/100)+1.05*(1/('📈 Cổ Phiếu VN 🔍'!$T$15+0.5)),2)),"")</f>
        <v/>
      </c>
      <c r="J16" s="863">
        <f>IFERROR(IF('📈 Cổ Phiếu VN 🔍'!$A$15="","",ROUND(-4.84+0.92*(1+0.5*'📈 Cổ Phiếu VN 🔍'!$J$15/100)+0.528*1.02+0.404*1.01+0.892*(1+'📈 Cổ Phiếu VN 🔍'!$J$15/100)+0.115*1.02,2)),"")</f>
        <v/>
      </c>
      <c r="K16" s="863">
        <f>IFERROR(IF('📈 Cổ Phiếu VN 🔍'!$A$15="","",(IF('📈 Cổ Phiếu VN 🔍'!$G$15&gt;0,1,0)+IF('📈 Cổ Phiếu VN 🔍'!$G$15&gt;5,1,0)+IF('📈 Cổ Phiếu VN 🔍'!$G$15&gt;10,1,0)+IF('📈 Cổ Phiếu VN 🔍'!$G$15&gt;15,1,0)+IF('📈 Cổ Phiếu VN 🔍'!$T$15&lt;3,1,0)+IF('📈 Cổ Phiếu VN 🔍'!$T$15&lt;5,1,0)+IF('📈 Cổ Phiếu VN 🔍'!$J$15&gt;0,1,0)+IF('📈 Cổ Phiếu VN 🔍'!$E$15&lt;20,1,0)+IF('📈 Cổ Phiếu VN 🔍'!$E$15&gt;0,1,0))),"")</f>
        <v/>
      </c>
      <c r="L16" s="863">
        <f>IFERROR(IF(I16="","",IF(OR(I16&lt;1.8,J16&gt;-1.78,K16&lt;5),"🔴 CỜ ĐỎ",IF(OR(I16&lt;2.99,J16&gt;-2.22,K16&lt;7),"🟡 Theo dõi","🟢 Sạch"))),"")</f>
        <v/>
      </c>
      <c r="M16" s="863">
        <f>IFERROR(IF(L16="🟢 Sạch","✅ ĐỦ ĐIỀU KIỆN MUA",IF(L16="🟡 Theo dõi","⚠️ Cần xác minh BCTC","❌ LOẠI KHỎI BỘ LỌC")),"")</f>
        <v/>
      </c>
      <c r="N16" s="863">
        <f>IFERROR(IF(M16="✅ ĐỦ ĐIỀU KIỆN MUA",ROUND((I16/3+K16/9-J16/5)*10,1),0),"")</f>
        <v/>
      </c>
    </row>
    <row r="17" ht="15" customHeight="1" s="981">
      <c r="A17" s="861" t="n">
        <v>12</v>
      </c>
      <c r="B17" s="862">
        <f>IFERROR(IF('📈 Cổ Phiếu VN 🔍'!$A$16="","",'📈 Cổ Phiếu VN 🔍'!$A$16),"")</f>
        <v/>
      </c>
      <c r="C17" s="862">
        <f>IFERROR('📈 Cổ Phiếu VN 🔍'!$B$16,"")</f>
        <v/>
      </c>
      <c r="D17" s="862">
        <f>IFERROR('📈 Cổ Phiếu VN 🔍'!$C$16,"")</f>
        <v/>
      </c>
      <c r="E17" s="862">
        <f>IFERROR('📈 Cổ Phiếu VN 🔍'!$E$16,0)</f>
        <v/>
      </c>
      <c r="F17" s="862">
        <f>IFERROR('📈 Cổ Phiếu VN 🔍'!$F$16,0)</f>
        <v/>
      </c>
      <c r="G17" s="862">
        <f>IFERROR('📈 Cổ Phiếu VN 🔍'!$G$16,0)</f>
        <v/>
      </c>
      <c r="H17" s="862">
        <f>IFERROR('📈 Cổ Phiếu VN 🔍'!$T$16,0)</f>
        <v/>
      </c>
      <c r="I17" s="863">
        <f>IFERROR(IF('📈 Cổ Phiếu VN 🔍'!$A$16="","",ROUND(3.25+6.56*0.15+3.26*('📈 Cổ Phiếu VN 🔍'!$G$16/100*0.5)+6.72*('📈 Cổ Phiếu VN 🔍'!$G$16/100)+1.05*(1/('📈 Cổ Phiếu VN 🔍'!$T$16+0.5)),2)),"")</f>
        <v/>
      </c>
      <c r="J17" s="863">
        <f>IFERROR(IF('📈 Cổ Phiếu VN 🔍'!$A$16="","",ROUND(-4.84+0.92*(1+0.5*'📈 Cổ Phiếu VN 🔍'!$J$16/100)+0.528*1.02+0.404*1.01+0.892*(1+'📈 Cổ Phiếu VN 🔍'!$J$16/100)+0.115*1.02,2)),"")</f>
        <v/>
      </c>
      <c r="K17" s="863">
        <f>IFERROR(IF('📈 Cổ Phiếu VN 🔍'!$A$16="","",(IF('📈 Cổ Phiếu VN 🔍'!$G$16&gt;0,1,0)+IF('📈 Cổ Phiếu VN 🔍'!$G$16&gt;5,1,0)+IF('📈 Cổ Phiếu VN 🔍'!$G$16&gt;10,1,0)+IF('📈 Cổ Phiếu VN 🔍'!$G$16&gt;15,1,0)+IF('📈 Cổ Phiếu VN 🔍'!$T$16&lt;3,1,0)+IF('📈 Cổ Phiếu VN 🔍'!$T$16&lt;5,1,0)+IF('📈 Cổ Phiếu VN 🔍'!$J$16&gt;0,1,0)+IF('📈 Cổ Phiếu VN 🔍'!$E$16&lt;20,1,0)+IF('📈 Cổ Phiếu VN 🔍'!$E$16&gt;0,1,0))),"")</f>
        <v/>
      </c>
      <c r="L17" s="863">
        <f>IFERROR(IF(I17="","",IF(OR(I17&lt;1.8,J17&gt;-1.78,K17&lt;5),"🔴 CỜ ĐỎ",IF(OR(I17&lt;2.99,J17&gt;-2.22,K17&lt;7),"🟡 Theo dõi","🟢 Sạch"))),"")</f>
        <v/>
      </c>
      <c r="M17" s="863">
        <f>IFERROR(IF(L17="🟢 Sạch","✅ ĐỦ ĐIỀU KIỆN MUA",IF(L17="🟡 Theo dõi","⚠️ Cần xác minh BCTC","❌ LOẠI KHỎI BỘ LỌC")),"")</f>
        <v/>
      </c>
      <c r="N17" s="863">
        <f>IFERROR(IF(M17="✅ ĐỦ ĐIỀU KIỆN MUA",ROUND((I17/3+K17/9-J17/5)*10,1),0),"")</f>
        <v/>
      </c>
    </row>
    <row r="18" ht="15" customHeight="1" s="981">
      <c r="A18" s="861" t="n">
        <v>13</v>
      </c>
      <c r="B18" s="862">
        <f>IFERROR(IF('📈 Cổ Phiếu VN 🔍'!$A$17="","",'📈 Cổ Phiếu VN 🔍'!$A$17),"")</f>
        <v/>
      </c>
      <c r="C18" s="862">
        <f>IFERROR('📈 Cổ Phiếu VN 🔍'!$B$17,"")</f>
        <v/>
      </c>
      <c r="D18" s="862">
        <f>IFERROR('📈 Cổ Phiếu VN 🔍'!$C$17,"")</f>
        <v/>
      </c>
      <c r="E18" s="862">
        <f>IFERROR('📈 Cổ Phiếu VN 🔍'!$E$17,0)</f>
        <v/>
      </c>
      <c r="F18" s="862">
        <f>IFERROR('📈 Cổ Phiếu VN 🔍'!$F$17,0)</f>
        <v/>
      </c>
      <c r="G18" s="862">
        <f>IFERROR('📈 Cổ Phiếu VN 🔍'!$G$17,0)</f>
        <v/>
      </c>
      <c r="H18" s="862">
        <f>IFERROR('📈 Cổ Phiếu VN 🔍'!$T$17,0)</f>
        <v/>
      </c>
      <c r="I18" s="863">
        <f>IFERROR(IF('📈 Cổ Phiếu VN 🔍'!$A$17="","",ROUND(3.25+6.56*0.15+3.26*('📈 Cổ Phiếu VN 🔍'!$G$17/100*0.5)+6.72*('📈 Cổ Phiếu VN 🔍'!$G$17/100)+1.05*(1/('📈 Cổ Phiếu VN 🔍'!$T$17+0.5)),2)),"")</f>
        <v/>
      </c>
      <c r="J18" s="863">
        <f>IFERROR(IF('📈 Cổ Phiếu VN 🔍'!$A$17="","",ROUND(-4.84+0.92*(1+0.5*'📈 Cổ Phiếu VN 🔍'!$J$17/100)+0.528*1.02+0.404*1.01+0.892*(1+'📈 Cổ Phiếu VN 🔍'!$J$17/100)+0.115*1.02,2)),"")</f>
        <v/>
      </c>
      <c r="K18" s="863">
        <f>IFERROR(IF('📈 Cổ Phiếu VN 🔍'!$A$17="","",(IF('📈 Cổ Phiếu VN 🔍'!$G$17&gt;0,1,0)+IF('📈 Cổ Phiếu VN 🔍'!$G$17&gt;5,1,0)+IF('📈 Cổ Phiếu VN 🔍'!$G$17&gt;10,1,0)+IF('📈 Cổ Phiếu VN 🔍'!$G$17&gt;15,1,0)+IF('📈 Cổ Phiếu VN 🔍'!$T$17&lt;3,1,0)+IF('📈 Cổ Phiếu VN 🔍'!$T$17&lt;5,1,0)+IF('📈 Cổ Phiếu VN 🔍'!$J$17&gt;0,1,0)+IF('📈 Cổ Phiếu VN 🔍'!$E$17&lt;20,1,0)+IF('📈 Cổ Phiếu VN 🔍'!$E$17&gt;0,1,0))),"")</f>
        <v/>
      </c>
      <c r="L18" s="863">
        <f>IFERROR(IF(I18="","",IF(OR(I18&lt;1.8,J18&gt;-1.78,K18&lt;5),"🔴 CỜ ĐỎ",IF(OR(I18&lt;2.99,J18&gt;-2.22,K18&lt;7),"🟡 Theo dõi","🟢 Sạch"))),"")</f>
        <v/>
      </c>
      <c r="M18" s="863">
        <f>IFERROR(IF(L18="🟢 Sạch","✅ ĐỦ ĐIỀU KIỆN MUA",IF(L18="🟡 Theo dõi","⚠️ Cần xác minh BCTC","❌ LOẠI KHỎI BỘ LỌC")),"")</f>
        <v/>
      </c>
      <c r="N18" s="863">
        <f>IFERROR(IF(M18="✅ ĐỦ ĐIỀU KIỆN MUA",ROUND((I18/3+K18/9-J18/5)*10,1),0),"")</f>
        <v/>
      </c>
    </row>
    <row r="19" ht="15" customHeight="1" s="981">
      <c r="A19" s="861" t="n">
        <v>14</v>
      </c>
      <c r="B19" s="862">
        <f>IFERROR(IF('📈 Cổ Phiếu VN 🔍'!$A$18="","",'📈 Cổ Phiếu VN 🔍'!$A$18),"")</f>
        <v/>
      </c>
      <c r="C19" s="862">
        <f>IFERROR('📈 Cổ Phiếu VN 🔍'!$B$18,"")</f>
        <v/>
      </c>
      <c r="D19" s="862">
        <f>IFERROR('📈 Cổ Phiếu VN 🔍'!$C$18,"")</f>
        <v/>
      </c>
      <c r="E19" s="862">
        <f>IFERROR('📈 Cổ Phiếu VN 🔍'!$E$18,0)</f>
        <v/>
      </c>
      <c r="F19" s="862">
        <f>IFERROR('📈 Cổ Phiếu VN 🔍'!$F$18,0)</f>
        <v/>
      </c>
      <c r="G19" s="862">
        <f>IFERROR('📈 Cổ Phiếu VN 🔍'!$G$18,0)</f>
        <v/>
      </c>
      <c r="H19" s="862">
        <f>IFERROR('📈 Cổ Phiếu VN 🔍'!$T$18,0)</f>
        <v/>
      </c>
      <c r="I19" s="863">
        <f>IFERROR(IF('📈 Cổ Phiếu VN 🔍'!$A$18="","",ROUND(3.25+6.56*0.15+3.26*('📈 Cổ Phiếu VN 🔍'!$G$18/100*0.5)+6.72*('📈 Cổ Phiếu VN 🔍'!$G$18/100)+1.05*(1/('📈 Cổ Phiếu VN 🔍'!$T$18+0.5)),2)),"")</f>
        <v/>
      </c>
      <c r="J19" s="863">
        <f>IFERROR(IF('📈 Cổ Phiếu VN 🔍'!$A$18="","",ROUND(-4.84+0.92*(1+0.5*'📈 Cổ Phiếu VN 🔍'!$J$18/100)+0.528*1.02+0.404*1.01+0.892*(1+'📈 Cổ Phiếu VN 🔍'!$J$18/100)+0.115*1.02,2)),"")</f>
        <v/>
      </c>
      <c r="K19" s="863">
        <f>IFERROR(IF('📈 Cổ Phiếu VN 🔍'!$A$18="","",(IF('📈 Cổ Phiếu VN 🔍'!$G$18&gt;0,1,0)+IF('📈 Cổ Phiếu VN 🔍'!$G$18&gt;5,1,0)+IF('📈 Cổ Phiếu VN 🔍'!$G$18&gt;10,1,0)+IF('📈 Cổ Phiếu VN 🔍'!$G$18&gt;15,1,0)+IF('📈 Cổ Phiếu VN 🔍'!$T$18&lt;3,1,0)+IF('📈 Cổ Phiếu VN 🔍'!$T$18&lt;5,1,0)+IF('📈 Cổ Phiếu VN 🔍'!$J$18&gt;0,1,0)+IF('📈 Cổ Phiếu VN 🔍'!$E$18&lt;20,1,0)+IF('📈 Cổ Phiếu VN 🔍'!$E$18&gt;0,1,0))),"")</f>
        <v/>
      </c>
      <c r="L19" s="863">
        <f>IFERROR(IF(I19="","",IF(OR(I19&lt;1.8,J19&gt;-1.78,K19&lt;5),"🔴 CỜ ĐỎ",IF(OR(I19&lt;2.99,J19&gt;-2.22,K19&lt;7),"🟡 Theo dõi","🟢 Sạch"))),"")</f>
        <v/>
      </c>
      <c r="M19" s="863">
        <f>IFERROR(IF(L19="🟢 Sạch","✅ ĐỦ ĐIỀU KIỆN MUA",IF(L19="🟡 Theo dõi","⚠️ Cần xác minh BCTC","❌ LOẠI KHỎI BỘ LỌC")),"")</f>
        <v/>
      </c>
      <c r="N19" s="863">
        <f>IFERROR(IF(M19="✅ ĐỦ ĐIỀU KIỆN MUA",ROUND((I19/3+K19/9-J19/5)*10,1),0),"")</f>
        <v/>
      </c>
    </row>
    <row r="20" ht="15" customHeight="1" s="981">
      <c r="A20" s="861" t="n">
        <v>15</v>
      </c>
      <c r="B20" s="862">
        <f>IFERROR(IF('📈 Cổ Phiếu VN 🔍'!$A$19="","",'📈 Cổ Phiếu VN 🔍'!$A$19),"")</f>
        <v/>
      </c>
      <c r="C20" s="862">
        <f>IFERROR('📈 Cổ Phiếu VN 🔍'!$B$19,"")</f>
        <v/>
      </c>
      <c r="D20" s="862">
        <f>IFERROR('📈 Cổ Phiếu VN 🔍'!$C$19,"")</f>
        <v/>
      </c>
      <c r="E20" s="862">
        <f>IFERROR('📈 Cổ Phiếu VN 🔍'!$E$19,0)</f>
        <v/>
      </c>
      <c r="F20" s="862">
        <f>IFERROR('📈 Cổ Phiếu VN 🔍'!$F$19,0)</f>
        <v/>
      </c>
      <c r="G20" s="862">
        <f>IFERROR('📈 Cổ Phiếu VN 🔍'!$G$19,0)</f>
        <v/>
      </c>
      <c r="H20" s="862">
        <f>IFERROR('📈 Cổ Phiếu VN 🔍'!$T$19,0)</f>
        <v/>
      </c>
      <c r="I20" s="863">
        <f>IFERROR(IF('📈 Cổ Phiếu VN 🔍'!$A$19="","",ROUND(3.25+6.56*0.15+3.26*('📈 Cổ Phiếu VN 🔍'!$G$19/100*0.5)+6.72*('📈 Cổ Phiếu VN 🔍'!$G$19/100)+1.05*(1/('📈 Cổ Phiếu VN 🔍'!$T$19+0.5)),2)),"")</f>
        <v/>
      </c>
      <c r="J20" s="863">
        <f>IFERROR(IF('📈 Cổ Phiếu VN 🔍'!$A$19="","",ROUND(-4.84+0.92*(1+0.5*'📈 Cổ Phiếu VN 🔍'!$J$19/100)+0.528*1.02+0.404*1.01+0.892*(1+'📈 Cổ Phiếu VN 🔍'!$J$19/100)+0.115*1.02,2)),"")</f>
        <v/>
      </c>
      <c r="K20" s="863">
        <f>IFERROR(IF('📈 Cổ Phiếu VN 🔍'!$A$19="","",(IF('📈 Cổ Phiếu VN 🔍'!$G$19&gt;0,1,0)+IF('📈 Cổ Phiếu VN 🔍'!$G$19&gt;5,1,0)+IF('📈 Cổ Phiếu VN 🔍'!$G$19&gt;10,1,0)+IF('📈 Cổ Phiếu VN 🔍'!$G$19&gt;15,1,0)+IF('📈 Cổ Phiếu VN 🔍'!$T$19&lt;3,1,0)+IF('📈 Cổ Phiếu VN 🔍'!$T$19&lt;5,1,0)+IF('📈 Cổ Phiếu VN 🔍'!$J$19&gt;0,1,0)+IF('📈 Cổ Phiếu VN 🔍'!$E$19&lt;20,1,0)+IF('📈 Cổ Phiếu VN 🔍'!$E$19&gt;0,1,0))),"")</f>
        <v/>
      </c>
      <c r="L20" s="863">
        <f>IFERROR(IF(I20="","",IF(OR(I20&lt;1.8,J20&gt;-1.78,K20&lt;5),"🔴 CỜ ĐỎ",IF(OR(I20&lt;2.99,J20&gt;-2.22,K20&lt;7),"🟡 Theo dõi","🟢 Sạch"))),"")</f>
        <v/>
      </c>
      <c r="M20" s="863">
        <f>IFERROR(IF(L20="🟢 Sạch","✅ ĐỦ ĐIỀU KIỆN MUA",IF(L20="🟡 Theo dõi","⚠️ Cần xác minh BCTC","❌ LOẠI KHỎI BỘ LỌC")),"")</f>
        <v/>
      </c>
      <c r="N20" s="863">
        <f>IFERROR(IF(M20="✅ ĐỦ ĐIỀU KIỆN MUA",ROUND((I20/3+K20/9-J20/5)*10,1),0),"")</f>
        <v/>
      </c>
    </row>
    <row r="21" ht="15" customHeight="1" s="981">
      <c r="A21" s="861" t="n">
        <v>16</v>
      </c>
      <c r="B21" s="862">
        <f>IFERROR(IF('📈 Cổ Phiếu VN 🔍'!$A$20="","",'📈 Cổ Phiếu VN 🔍'!$A$20),"")</f>
        <v/>
      </c>
      <c r="C21" s="862">
        <f>IFERROR('📈 Cổ Phiếu VN 🔍'!$B$20,"")</f>
        <v/>
      </c>
      <c r="D21" s="862">
        <f>IFERROR('📈 Cổ Phiếu VN 🔍'!$C$20,"")</f>
        <v/>
      </c>
      <c r="E21" s="862">
        <f>IFERROR('📈 Cổ Phiếu VN 🔍'!$E$20,0)</f>
        <v/>
      </c>
      <c r="F21" s="862">
        <f>IFERROR('📈 Cổ Phiếu VN 🔍'!$F$20,0)</f>
        <v/>
      </c>
      <c r="G21" s="862">
        <f>IFERROR('📈 Cổ Phiếu VN 🔍'!$G$20,0)</f>
        <v/>
      </c>
      <c r="H21" s="862">
        <f>IFERROR('📈 Cổ Phiếu VN 🔍'!$T$20,0)</f>
        <v/>
      </c>
      <c r="I21" s="863">
        <f>IFERROR(IF('📈 Cổ Phiếu VN 🔍'!$A$20="","",ROUND(3.25+6.56*0.15+3.26*('📈 Cổ Phiếu VN 🔍'!$G$20/100*0.5)+6.72*('📈 Cổ Phiếu VN 🔍'!$G$20/100)+1.05*(1/('📈 Cổ Phiếu VN 🔍'!$T$20+0.5)),2)),"")</f>
        <v/>
      </c>
      <c r="J21" s="863">
        <f>IFERROR(IF('📈 Cổ Phiếu VN 🔍'!$A$20="","",ROUND(-4.84+0.92*(1+0.5*'📈 Cổ Phiếu VN 🔍'!$J$20/100)+0.528*1.02+0.404*1.01+0.892*(1+'📈 Cổ Phiếu VN 🔍'!$J$20/100)+0.115*1.02,2)),"")</f>
        <v/>
      </c>
      <c r="K21" s="863">
        <f>IFERROR(IF('📈 Cổ Phiếu VN 🔍'!$A$20="","",(IF('📈 Cổ Phiếu VN 🔍'!$G$20&gt;0,1,0)+IF('📈 Cổ Phiếu VN 🔍'!$G$20&gt;5,1,0)+IF('📈 Cổ Phiếu VN 🔍'!$G$20&gt;10,1,0)+IF('📈 Cổ Phiếu VN 🔍'!$G$20&gt;15,1,0)+IF('📈 Cổ Phiếu VN 🔍'!$T$20&lt;3,1,0)+IF('📈 Cổ Phiếu VN 🔍'!$T$20&lt;5,1,0)+IF('📈 Cổ Phiếu VN 🔍'!$J$20&gt;0,1,0)+IF('📈 Cổ Phiếu VN 🔍'!$E$20&lt;20,1,0)+IF('📈 Cổ Phiếu VN 🔍'!$E$20&gt;0,1,0))),"")</f>
        <v/>
      </c>
      <c r="L21" s="863">
        <f>IFERROR(IF(I21="","",IF(OR(I21&lt;1.8,J21&gt;-1.78,K21&lt;5),"🔴 CỜ ĐỎ",IF(OR(I21&lt;2.99,J21&gt;-2.22,K21&lt;7),"🟡 Theo dõi","🟢 Sạch"))),"")</f>
        <v/>
      </c>
      <c r="M21" s="863">
        <f>IFERROR(IF(L21="🟢 Sạch","✅ ĐỦ ĐIỀU KIỆN MUA",IF(L21="🟡 Theo dõi","⚠️ Cần xác minh BCTC","❌ LOẠI KHỎI BỘ LỌC")),"")</f>
        <v/>
      </c>
      <c r="N21" s="863">
        <f>IFERROR(IF(M21="✅ ĐỦ ĐIỀU KIỆN MUA",ROUND((I21/3+K21/9-J21/5)*10,1),0),"")</f>
        <v/>
      </c>
    </row>
    <row r="22" ht="15" customHeight="1" s="981">
      <c r="A22" s="861" t="n">
        <v>17</v>
      </c>
      <c r="B22" s="862">
        <f>IFERROR(IF('📈 Cổ Phiếu VN 🔍'!$A$21="","",'📈 Cổ Phiếu VN 🔍'!$A$21),"")</f>
        <v/>
      </c>
      <c r="C22" s="862">
        <f>IFERROR('📈 Cổ Phiếu VN 🔍'!$B$21,"")</f>
        <v/>
      </c>
      <c r="D22" s="862">
        <f>IFERROR('📈 Cổ Phiếu VN 🔍'!$C$21,"")</f>
        <v/>
      </c>
      <c r="E22" s="862">
        <f>IFERROR('📈 Cổ Phiếu VN 🔍'!$E$21,0)</f>
        <v/>
      </c>
      <c r="F22" s="862">
        <f>IFERROR('📈 Cổ Phiếu VN 🔍'!$F$21,0)</f>
        <v/>
      </c>
      <c r="G22" s="862">
        <f>IFERROR('📈 Cổ Phiếu VN 🔍'!$G$21,0)</f>
        <v/>
      </c>
      <c r="H22" s="862">
        <f>IFERROR('📈 Cổ Phiếu VN 🔍'!$T$21,0)</f>
        <v/>
      </c>
      <c r="I22" s="863">
        <f>IFERROR(IF('📈 Cổ Phiếu VN 🔍'!$A$21="","",ROUND(3.25+6.56*0.15+3.26*('📈 Cổ Phiếu VN 🔍'!$G$21/100*0.5)+6.72*('📈 Cổ Phiếu VN 🔍'!$G$21/100)+1.05*(1/('📈 Cổ Phiếu VN 🔍'!$T$21+0.5)),2)),"")</f>
        <v/>
      </c>
      <c r="J22" s="863">
        <f>IFERROR(IF('📈 Cổ Phiếu VN 🔍'!$A$21="","",ROUND(-4.84+0.92*(1+0.5*'📈 Cổ Phiếu VN 🔍'!$J$21/100)+0.528*1.02+0.404*1.01+0.892*(1+'📈 Cổ Phiếu VN 🔍'!$J$21/100)+0.115*1.02,2)),"")</f>
        <v/>
      </c>
      <c r="K22" s="863">
        <f>IFERROR(IF('📈 Cổ Phiếu VN 🔍'!$A$21="","",(IF('📈 Cổ Phiếu VN 🔍'!$G$21&gt;0,1,0)+IF('📈 Cổ Phiếu VN 🔍'!$G$21&gt;5,1,0)+IF('📈 Cổ Phiếu VN 🔍'!$G$21&gt;10,1,0)+IF('📈 Cổ Phiếu VN 🔍'!$G$21&gt;15,1,0)+IF('📈 Cổ Phiếu VN 🔍'!$T$21&lt;3,1,0)+IF('📈 Cổ Phiếu VN 🔍'!$T$21&lt;5,1,0)+IF('📈 Cổ Phiếu VN 🔍'!$J$21&gt;0,1,0)+IF('📈 Cổ Phiếu VN 🔍'!$E$21&lt;20,1,0)+IF('📈 Cổ Phiếu VN 🔍'!$E$21&gt;0,1,0))),"")</f>
        <v/>
      </c>
      <c r="L22" s="863">
        <f>IFERROR(IF(I22="","",IF(OR(I22&lt;1.8,J22&gt;-1.78,K22&lt;5),"🔴 CỜ ĐỎ",IF(OR(I22&lt;2.99,J22&gt;-2.22,K22&lt;7),"🟡 Theo dõi","🟢 Sạch"))),"")</f>
        <v/>
      </c>
      <c r="M22" s="863">
        <f>IFERROR(IF(L22="🟢 Sạch","✅ ĐỦ ĐIỀU KIỆN MUA",IF(L22="🟡 Theo dõi","⚠️ Cần xác minh BCTC","❌ LOẠI KHỎI BỘ LỌC")),"")</f>
        <v/>
      </c>
      <c r="N22" s="863">
        <f>IFERROR(IF(M22="✅ ĐỦ ĐIỀU KIỆN MUA",ROUND((I22/3+K22/9-J22/5)*10,1),0),"")</f>
        <v/>
      </c>
    </row>
    <row r="23" ht="15" customHeight="1" s="981">
      <c r="A23" s="861" t="n">
        <v>18</v>
      </c>
      <c r="B23" s="862">
        <f>IFERROR(IF('📈 Cổ Phiếu VN 🔍'!$A$22="","",'📈 Cổ Phiếu VN 🔍'!$A$22),"")</f>
        <v/>
      </c>
      <c r="C23" s="862">
        <f>IFERROR('📈 Cổ Phiếu VN 🔍'!$B$22,"")</f>
        <v/>
      </c>
      <c r="D23" s="862">
        <f>IFERROR('📈 Cổ Phiếu VN 🔍'!$C$22,"")</f>
        <v/>
      </c>
      <c r="E23" s="862">
        <f>IFERROR('📈 Cổ Phiếu VN 🔍'!$E$22,0)</f>
        <v/>
      </c>
      <c r="F23" s="862">
        <f>IFERROR('📈 Cổ Phiếu VN 🔍'!$F$22,0)</f>
        <v/>
      </c>
      <c r="G23" s="862">
        <f>IFERROR('📈 Cổ Phiếu VN 🔍'!$G$22,0)</f>
        <v/>
      </c>
      <c r="H23" s="862">
        <f>IFERROR('📈 Cổ Phiếu VN 🔍'!$T$22,0)</f>
        <v/>
      </c>
      <c r="I23" s="863">
        <f>IFERROR(IF('📈 Cổ Phiếu VN 🔍'!$A$22="","",ROUND(3.25+6.56*0.15+3.26*('📈 Cổ Phiếu VN 🔍'!$G$22/100*0.5)+6.72*('📈 Cổ Phiếu VN 🔍'!$G$22/100)+1.05*(1/('📈 Cổ Phiếu VN 🔍'!$T$22+0.5)),2)),"")</f>
        <v/>
      </c>
      <c r="J23" s="863">
        <f>IFERROR(IF('📈 Cổ Phiếu VN 🔍'!$A$22="","",ROUND(-4.84+0.92*(1+0.5*'📈 Cổ Phiếu VN 🔍'!$J$22/100)+0.528*1.02+0.404*1.01+0.892*(1+'📈 Cổ Phiếu VN 🔍'!$J$22/100)+0.115*1.02,2)),"")</f>
        <v/>
      </c>
      <c r="K23" s="863">
        <f>IFERROR(IF('📈 Cổ Phiếu VN 🔍'!$A$22="","",(IF('📈 Cổ Phiếu VN 🔍'!$G$22&gt;0,1,0)+IF('📈 Cổ Phiếu VN 🔍'!$G$22&gt;5,1,0)+IF('📈 Cổ Phiếu VN 🔍'!$G$22&gt;10,1,0)+IF('📈 Cổ Phiếu VN 🔍'!$G$22&gt;15,1,0)+IF('📈 Cổ Phiếu VN 🔍'!$T$22&lt;3,1,0)+IF('📈 Cổ Phiếu VN 🔍'!$T$22&lt;5,1,0)+IF('📈 Cổ Phiếu VN 🔍'!$J$22&gt;0,1,0)+IF('📈 Cổ Phiếu VN 🔍'!$E$22&lt;20,1,0)+IF('📈 Cổ Phiếu VN 🔍'!$E$22&gt;0,1,0))),"")</f>
        <v/>
      </c>
      <c r="L23" s="863">
        <f>IFERROR(IF(I23="","",IF(OR(I23&lt;1.8,J23&gt;-1.78,K23&lt;5),"🔴 CỜ ĐỎ",IF(OR(I23&lt;2.99,J23&gt;-2.22,K23&lt;7),"🟡 Theo dõi","🟢 Sạch"))),"")</f>
        <v/>
      </c>
      <c r="M23" s="863">
        <f>IFERROR(IF(L23="🟢 Sạch","✅ ĐỦ ĐIỀU KIỆN MUA",IF(L23="🟡 Theo dõi","⚠️ Cần xác minh BCTC","❌ LOẠI KHỎI BỘ LỌC")),"")</f>
        <v/>
      </c>
      <c r="N23" s="863">
        <f>IFERROR(IF(M23="✅ ĐỦ ĐIỀU KIỆN MUA",ROUND((I23/3+K23/9-J23/5)*10,1),0),"")</f>
        <v/>
      </c>
    </row>
    <row r="24" ht="15" customHeight="1" s="981">
      <c r="A24" s="861" t="n">
        <v>19</v>
      </c>
      <c r="B24" s="862">
        <f>IFERROR(IF('📈 Cổ Phiếu VN 🔍'!$A$23="","",'📈 Cổ Phiếu VN 🔍'!$A$23),"")</f>
        <v/>
      </c>
      <c r="C24" s="862">
        <f>IFERROR('📈 Cổ Phiếu VN 🔍'!$B$23,"")</f>
        <v/>
      </c>
      <c r="D24" s="862">
        <f>IFERROR('📈 Cổ Phiếu VN 🔍'!$C$23,"")</f>
        <v/>
      </c>
      <c r="E24" s="862">
        <f>IFERROR('📈 Cổ Phiếu VN 🔍'!$E$23,0)</f>
        <v/>
      </c>
      <c r="F24" s="862">
        <f>IFERROR('📈 Cổ Phiếu VN 🔍'!$F$23,0)</f>
        <v/>
      </c>
      <c r="G24" s="862">
        <f>IFERROR('📈 Cổ Phiếu VN 🔍'!$G$23,0)</f>
        <v/>
      </c>
      <c r="H24" s="862">
        <f>IFERROR('📈 Cổ Phiếu VN 🔍'!$T$23,0)</f>
        <v/>
      </c>
      <c r="I24" s="863">
        <f>IFERROR(IF('📈 Cổ Phiếu VN 🔍'!$A$23="","",ROUND(3.25+6.56*0.15+3.26*('📈 Cổ Phiếu VN 🔍'!$G$23/100*0.5)+6.72*('📈 Cổ Phiếu VN 🔍'!$G$23/100)+1.05*(1/('📈 Cổ Phiếu VN 🔍'!$T$23+0.5)),2)),"")</f>
        <v/>
      </c>
      <c r="J24" s="863">
        <f>IFERROR(IF('📈 Cổ Phiếu VN 🔍'!$A$23="","",ROUND(-4.84+0.92*(1+0.5*'📈 Cổ Phiếu VN 🔍'!$J$23/100)+0.528*1.02+0.404*1.01+0.892*(1+'📈 Cổ Phiếu VN 🔍'!$J$23/100)+0.115*1.02,2)),"")</f>
        <v/>
      </c>
      <c r="K24" s="863">
        <f>IFERROR(IF('📈 Cổ Phiếu VN 🔍'!$A$23="","",(IF('📈 Cổ Phiếu VN 🔍'!$G$23&gt;0,1,0)+IF('📈 Cổ Phiếu VN 🔍'!$G$23&gt;5,1,0)+IF('📈 Cổ Phiếu VN 🔍'!$G$23&gt;10,1,0)+IF('📈 Cổ Phiếu VN 🔍'!$G$23&gt;15,1,0)+IF('📈 Cổ Phiếu VN 🔍'!$T$23&lt;3,1,0)+IF('📈 Cổ Phiếu VN 🔍'!$T$23&lt;5,1,0)+IF('📈 Cổ Phiếu VN 🔍'!$J$23&gt;0,1,0)+IF('📈 Cổ Phiếu VN 🔍'!$E$23&lt;20,1,0)+IF('📈 Cổ Phiếu VN 🔍'!$E$23&gt;0,1,0))),"")</f>
        <v/>
      </c>
      <c r="L24" s="863">
        <f>IFERROR(IF(I24="","",IF(OR(I24&lt;1.8,J24&gt;-1.78,K24&lt;5),"🔴 CỜ ĐỎ",IF(OR(I24&lt;2.99,J24&gt;-2.22,K24&lt;7),"🟡 Theo dõi","🟢 Sạch"))),"")</f>
        <v/>
      </c>
      <c r="M24" s="863">
        <f>IFERROR(IF(L24="🟢 Sạch","✅ ĐỦ ĐIỀU KIỆN MUA",IF(L24="🟡 Theo dõi","⚠️ Cần xác minh BCTC","❌ LOẠI KHỎI BỘ LỌC")),"")</f>
        <v/>
      </c>
      <c r="N24" s="863">
        <f>IFERROR(IF(M24="✅ ĐỦ ĐIỀU KIỆN MUA",ROUND((I24/3+K24/9-J24/5)*10,1),0),"")</f>
        <v/>
      </c>
    </row>
    <row r="25" ht="15" customHeight="1" s="981">
      <c r="A25" s="861" t="n">
        <v>20</v>
      </c>
      <c r="B25" s="862">
        <f>IFERROR(IF('📈 Cổ Phiếu VN 🔍'!$A$24="","",'📈 Cổ Phiếu VN 🔍'!$A$24),"")</f>
        <v/>
      </c>
      <c r="C25" s="862">
        <f>IFERROR('📈 Cổ Phiếu VN 🔍'!$B$24,"")</f>
        <v/>
      </c>
      <c r="D25" s="862">
        <f>IFERROR('📈 Cổ Phiếu VN 🔍'!$C$24,"")</f>
        <v/>
      </c>
      <c r="E25" s="862">
        <f>IFERROR('📈 Cổ Phiếu VN 🔍'!$E$24,0)</f>
        <v/>
      </c>
      <c r="F25" s="862">
        <f>IFERROR('📈 Cổ Phiếu VN 🔍'!$F$24,0)</f>
        <v/>
      </c>
      <c r="G25" s="862">
        <f>IFERROR('📈 Cổ Phiếu VN 🔍'!$G$24,0)</f>
        <v/>
      </c>
      <c r="H25" s="862">
        <f>IFERROR('📈 Cổ Phiếu VN 🔍'!$T$24,0)</f>
        <v/>
      </c>
      <c r="I25" s="863">
        <f>IFERROR(IF('📈 Cổ Phiếu VN 🔍'!$A$24="","",ROUND(3.25+6.56*0.15+3.26*('📈 Cổ Phiếu VN 🔍'!$G$24/100*0.5)+6.72*('📈 Cổ Phiếu VN 🔍'!$G$24/100)+1.05*(1/('📈 Cổ Phiếu VN 🔍'!$T$24+0.5)),2)),"")</f>
        <v/>
      </c>
      <c r="J25" s="863">
        <f>IFERROR(IF('📈 Cổ Phiếu VN 🔍'!$A$24="","",ROUND(-4.84+0.92*(1+0.5*'📈 Cổ Phiếu VN 🔍'!$J$24/100)+0.528*1.02+0.404*1.01+0.892*(1+'📈 Cổ Phiếu VN 🔍'!$J$24/100)+0.115*1.02,2)),"")</f>
        <v/>
      </c>
      <c r="K25" s="863">
        <f>IFERROR(IF('📈 Cổ Phiếu VN 🔍'!$A$24="","",(IF('📈 Cổ Phiếu VN 🔍'!$G$24&gt;0,1,0)+IF('📈 Cổ Phiếu VN 🔍'!$G$24&gt;5,1,0)+IF('📈 Cổ Phiếu VN 🔍'!$G$24&gt;10,1,0)+IF('📈 Cổ Phiếu VN 🔍'!$G$24&gt;15,1,0)+IF('📈 Cổ Phiếu VN 🔍'!$T$24&lt;3,1,0)+IF('📈 Cổ Phiếu VN 🔍'!$T$24&lt;5,1,0)+IF('📈 Cổ Phiếu VN 🔍'!$J$24&gt;0,1,0)+IF('📈 Cổ Phiếu VN 🔍'!$E$24&lt;20,1,0)+IF('📈 Cổ Phiếu VN 🔍'!$E$24&gt;0,1,0))),"")</f>
        <v/>
      </c>
      <c r="L25" s="863">
        <f>IFERROR(IF(I25="","",IF(OR(I25&lt;1.8,J25&gt;-1.78,K25&lt;5),"🔴 CỜ ĐỎ",IF(OR(I25&lt;2.99,J25&gt;-2.22,K25&lt;7),"🟡 Theo dõi","🟢 Sạch"))),"")</f>
        <v/>
      </c>
      <c r="M25" s="863">
        <f>IFERROR(IF(L25="🟢 Sạch","✅ ĐỦ ĐIỀU KIỆN MUA",IF(L25="🟡 Theo dõi","⚠️ Cần xác minh BCTC","❌ LOẠI KHỎI BỘ LỌC")),"")</f>
        <v/>
      </c>
      <c r="N25" s="863">
        <f>IFERROR(IF(M25="✅ ĐỦ ĐIỀU KIỆN MUA",ROUND((I25/3+K25/9-J25/5)*10,1),0),"")</f>
        <v/>
      </c>
    </row>
    <row r="26" ht="15" customHeight="1" s="981">
      <c r="A26" s="861" t="n">
        <v>21</v>
      </c>
      <c r="B26" s="862">
        <f>IFERROR(IF('📈 Cổ Phiếu VN 🔍'!$A$25="","",'📈 Cổ Phiếu VN 🔍'!$A$25),"")</f>
        <v/>
      </c>
      <c r="C26" s="862">
        <f>IFERROR('📈 Cổ Phiếu VN 🔍'!$B$25,"")</f>
        <v/>
      </c>
      <c r="D26" s="862">
        <f>IFERROR('📈 Cổ Phiếu VN 🔍'!$C$25,"")</f>
        <v/>
      </c>
      <c r="E26" s="862">
        <f>IFERROR('📈 Cổ Phiếu VN 🔍'!$E$25,0)</f>
        <v/>
      </c>
      <c r="F26" s="862">
        <f>IFERROR('📈 Cổ Phiếu VN 🔍'!$F$25,0)</f>
        <v/>
      </c>
      <c r="G26" s="862">
        <f>IFERROR('📈 Cổ Phiếu VN 🔍'!$G$25,0)</f>
        <v/>
      </c>
      <c r="H26" s="862">
        <f>IFERROR('📈 Cổ Phiếu VN 🔍'!$T$25,0)</f>
        <v/>
      </c>
      <c r="I26" s="863">
        <f>IFERROR(IF('📈 Cổ Phiếu VN 🔍'!$A$25="","",ROUND(3.25+6.56*0.15+3.26*('📈 Cổ Phiếu VN 🔍'!$G$25/100*0.5)+6.72*('📈 Cổ Phiếu VN 🔍'!$G$25/100)+1.05*(1/('📈 Cổ Phiếu VN 🔍'!$T$25+0.5)),2)),"")</f>
        <v/>
      </c>
      <c r="J26" s="863">
        <f>IFERROR(IF('📈 Cổ Phiếu VN 🔍'!$A$25="","",ROUND(-4.84+0.92*(1+0.5*'📈 Cổ Phiếu VN 🔍'!$J$25/100)+0.528*1.02+0.404*1.01+0.892*(1+'📈 Cổ Phiếu VN 🔍'!$J$25/100)+0.115*1.02,2)),"")</f>
        <v/>
      </c>
      <c r="K26" s="863">
        <f>IFERROR(IF('📈 Cổ Phiếu VN 🔍'!$A$25="","",(IF('📈 Cổ Phiếu VN 🔍'!$G$25&gt;0,1,0)+IF('📈 Cổ Phiếu VN 🔍'!$G$25&gt;5,1,0)+IF('📈 Cổ Phiếu VN 🔍'!$G$25&gt;10,1,0)+IF('📈 Cổ Phiếu VN 🔍'!$G$25&gt;15,1,0)+IF('📈 Cổ Phiếu VN 🔍'!$T$25&lt;3,1,0)+IF('📈 Cổ Phiếu VN 🔍'!$T$25&lt;5,1,0)+IF('📈 Cổ Phiếu VN 🔍'!$J$25&gt;0,1,0)+IF('📈 Cổ Phiếu VN 🔍'!$E$25&lt;20,1,0)+IF('📈 Cổ Phiếu VN 🔍'!$E$25&gt;0,1,0))),"")</f>
        <v/>
      </c>
      <c r="L26" s="863">
        <f>IFERROR(IF(I26="","",IF(OR(I26&lt;1.8,J26&gt;-1.78,K26&lt;5),"🔴 CỜ ĐỎ",IF(OR(I26&lt;2.99,J26&gt;-2.22,K26&lt;7),"🟡 Theo dõi","🟢 Sạch"))),"")</f>
        <v/>
      </c>
      <c r="M26" s="863">
        <f>IFERROR(IF(L26="🟢 Sạch","✅ ĐỦ ĐIỀU KIỆN MUA",IF(L26="🟡 Theo dõi","⚠️ Cần xác minh BCTC","❌ LOẠI KHỎI BỘ LỌC")),"")</f>
        <v/>
      </c>
      <c r="N26" s="863">
        <f>IFERROR(IF(M26="✅ ĐỦ ĐIỀU KIỆN MUA",ROUND((I26/3+K26/9-J26/5)*10,1),0),"")</f>
        <v/>
      </c>
    </row>
    <row r="27" ht="15" customHeight="1" s="981">
      <c r="A27" s="861" t="n">
        <v>22</v>
      </c>
      <c r="B27" s="862">
        <f>IFERROR(IF('📈 Cổ Phiếu VN 🔍'!$A$26="","",'📈 Cổ Phiếu VN 🔍'!$A$26),"")</f>
        <v/>
      </c>
      <c r="C27" s="862">
        <f>IFERROR('📈 Cổ Phiếu VN 🔍'!$B$26,"")</f>
        <v/>
      </c>
      <c r="D27" s="862">
        <f>IFERROR('📈 Cổ Phiếu VN 🔍'!$C$26,"")</f>
        <v/>
      </c>
      <c r="E27" s="862">
        <f>IFERROR('📈 Cổ Phiếu VN 🔍'!$E$26,0)</f>
        <v/>
      </c>
      <c r="F27" s="862">
        <f>IFERROR('📈 Cổ Phiếu VN 🔍'!$F$26,0)</f>
        <v/>
      </c>
      <c r="G27" s="862">
        <f>IFERROR('📈 Cổ Phiếu VN 🔍'!$G$26,0)</f>
        <v/>
      </c>
      <c r="H27" s="862">
        <f>IFERROR('📈 Cổ Phiếu VN 🔍'!$T$26,0)</f>
        <v/>
      </c>
      <c r="I27" s="863">
        <f>IFERROR(IF('📈 Cổ Phiếu VN 🔍'!$A$26="","",ROUND(3.25+6.56*0.15+3.26*('📈 Cổ Phiếu VN 🔍'!$G$26/100*0.5)+6.72*('📈 Cổ Phiếu VN 🔍'!$G$26/100)+1.05*(1/('📈 Cổ Phiếu VN 🔍'!$T$26+0.5)),2)),"")</f>
        <v/>
      </c>
      <c r="J27" s="863">
        <f>IFERROR(IF('📈 Cổ Phiếu VN 🔍'!$A$26="","",ROUND(-4.84+0.92*(1+0.5*'📈 Cổ Phiếu VN 🔍'!$J$26/100)+0.528*1.02+0.404*1.01+0.892*(1+'📈 Cổ Phiếu VN 🔍'!$J$26/100)+0.115*1.02,2)),"")</f>
        <v/>
      </c>
      <c r="K27" s="863">
        <f>IFERROR(IF('📈 Cổ Phiếu VN 🔍'!$A$26="","",(IF('📈 Cổ Phiếu VN 🔍'!$G$26&gt;0,1,0)+IF('📈 Cổ Phiếu VN 🔍'!$G$26&gt;5,1,0)+IF('📈 Cổ Phiếu VN 🔍'!$G$26&gt;10,1,0)+IF('📈 Cổ Phiếu VN 🔍'!$G$26&gt;15,1,0)+IF('📈 Cổ Phiếu VN 🔍'!$T$26&lt;3,1,0)+IF('📈 Cổ Phiếu VN 🔍'!$T$26&lt;5,1,0)+IF('📈 Cổ Phiếu VN 🔍'!$J$26&gt;0,1,0)+IF('📈 Cổ Phiếu VN 🔍'!$E$26&lt;20,1,0)+IF('📈 Cổ Phiếu VN 🔍'!$E$26&gt;0,1,0))),"")</f>
        <v/>
      </c>
      <c r="L27" s="863">
        <f>IFERROR(IF(I27="","",IF(OR(I27&lt;1.8,J27&gt;-1.78,K27&lt;5),"🔴 CỜ ĐỎ",IF(OR(I27&lt;2.99,J27&gt;-2.22,K27&lt;7),"🟡 Theo dõi","🟢 Sạch"))),"")</f>
        <v/>
      </c>
      <c r="M27" s="863">
        <f>IFERROR(IF(L27="🟢 Sạch","✅ ĐỦ ĐIỀU KIỆN MUA",IF(L27="🟡 Theo dõi","⚠️ Cần xác minh BCTC","❌ LOẠI KHỎI BỘ LỌC")),"")</f>
        <v/>
      </c>
      <c r="N27" s="863">
        <f>IFERROR(IF(M27="✅ ĐỦ ĐIỀU KIỆN MUA",ROUND((I27/3+K27/9-J27/5)*10,1),0),"")</f>
        <v/>
      </c>
    </row>
    <row r="28" ht="15" customHeight="1" s="981">
      <c r="A28" s="861" t="n">
        <v>23</v>
      </c>
      <c r="B28" s="862">
        <f>IFERROR(IF('📈 Cổ Phiếu VN 🔍'!$A$27="","",'📈 Cổ Phiếu VN 🔍'!$A$27),"")</f>
        <v/>
      </c>
      <c r="C28" s="862">
        <f>IFERROR('📈 Cổ Phiếu VN 🔍'!$B$27,"")</f>
        <v/>
      </c>
      <c r="D28" s="862">
        <f>IFERROR('📈 Cổ Phiếu VN 🔍'!$C$27,"")</f>
        <v/>
      </c>
      <c r="E28" s="862">
        <f>IFERROR('📈 Cổ Phiếu VN 🔍'!$E$27,0)</f>
        <v/>
      </c>
      <c r="F28" s="862">
        <f>IFERROR('📈 Cổ Phiếu VN 🔍'!$F$27,0)</f>
        <v/>
      </c>
      <c r="G28" s="862">
        <f>IFERROR('📈 Cổ Phiếu VN 🔍'!$G$27,0)</f>
        <v/>
      </c>
      <c r="H28" s="862">
        <f>IFERROR('📈 Cổ Phiếu VN 🔍'!$T$27,0)</f>
        <v/>
      </c>
      <c r="I28" s="863">
        <f>IFERROR(IF('📈 Cổ Phiếu VN 🔍'!$A$27="","",ROUND(3.25+6.56*0.15+3.26*('📈 Cổ Phiếu VN 🔍'!$G$27/100*0.5)+6.72*('📈 Cổ Phiếu VN 🔍'!$G$27/100)+1.05*(1/('📈 Cổ Phiếu VN 🔍'!$T$27+0.5)),2)),"")</f>
        <v/>
      </c>
      <c r="J28" s="863">
        <f>IFERROR(IF('📈 Cổ Phiếu VN 🔍'!$A$27="","",ROUND(-4.84+0.92*(1+0.5*'📈 Cổ Phiếu VN 🔍'!$J$27/100)+0.528*1.02+0.404*1.01+0.892*(1+'📈 Cổ Phiếu VN 🔍'!$J$27/100)+0.115*1.02,2)),"")</f>
        <v/>
      </c>
      <c r="K28" s="863">
        <f>IFERROR(IF('📈 Cổ Phiếu VN 🔍'!$A$27="","",(IF('📈 Cổ Phiếu VN 🔍'!$G$27&gt;0,1,0)+IF('📈 Cổ Phiếu VN 🔍'!$G$27&gt;5,1,0)+IF('📈 Cổ Phiếu VN 🔍'!$G$27&gt;10,1,0)+IF('📈 Cổ Phiếu VN 🔍'!$G$27&gt;15,1,0)+IF('📈 Cổ Phiếu VN 🔍'!$T$27&lt;3,1,0)+IF('📈 Cổ Phiếu VN 🔍'!$T$27&lt;5,1,0)+IF('📈 Cổ Phiếu VN 🔍'!$J$27&gt;0,1,0)+IF('📈 Cổ Phiếu VN 🔍'!$E$27&lt;20,1,0)+IF('📈 Cổ Phiếu VN 🔍'!$E$27&gt;0,1,0))),"")</f>
        <v/>
      </c>
      <c r="L28" s="863">
        <f>IFERROR(IF(I28="","",IF(OR(I28&lt;1.8,J28&gt;-1.78,K28&lt;5),"🔴 CỜ ĐỎ",IF(OR(I28&lt;2.99,J28&gt;-2.22,K28&lt;7),"🟡 Theo dõi","🟢 Sạch"))),"")</f>
        <v/>
      </c>
      <c r="M28" s="863">
        <f>IFERROR(IF(L28="🟢 Sạch","✅ ĐỦ ĐIỀU KIỆN MUA",IF(L28="🟡 Theo dõi","⚠️ Cần xác minh BCTC","❌ LOẠI KHỎI BỘ LỌC")),"")</f>
        <v/>
      </c>
      <c r="N28" s="863">
        <f>IFERROR(IF(M28="✅ ĐỦ ĐIỀU KIỆN MUA",ROUND((I28/3+K28/9-J28/5)*10,1),0),"")</f>
        <v/>
      </c>
    </row>
    <row r="29" ht="15" customHeight="1" s="981">
      <c r="A29" s="861" t="n">
        <v>24</v>
      </c>
      <c r="B29" s="862">
        <f>IFERROR(IF('📈 Cổ Phiếu VN 🔍'!$A$28="","",'📈 Cổ Phiếu VN 🔍'!$A$28),"")</f>
        <v/>
      </c>
      <c r="C29" s="862">
        <f>IFERROR('📈 Cổ Phiếu VN 🔍'!$B$28,"")</f>
        <v/>
      </c>
      <c r="D29" s="862">
        <f>IFERROR('📈 Cổ Phiếu VN 🔍'!$C$28,"")</f>
        <v/>
      </c>
      <c r="E29" s="862">
        <f>IFERROR('📈 Cổ Phiếu VN 🔍'!$E$28,0)</f>
        <v/>
      </c>
      <c r="F29" s="862">
        <f>IFERROR('📈 Cổ Phiếu VN 🔍'!$F$28,0)</f>
        <v/>
      </c>
      <c r="G29" s="862">
        <f>IFERROR('📈 Cổ Phiếu VN 🔍'!$G$28,0)</f>
        <v/>
      </c>
      <c r="H29" s="862">
        <f>IFERROR('📈 Cổ Phiếu VN 🔍'!$T$28,0)</f>
        <v/>
      </c>
      <c r="I29" s="863">
        <f>IFERROR(IF('📈 Cổ Phiếu VN 🔍'!$A$28="","",ROUND(3.25+6.56*0.15+3.26*('📈 Cổ Phiếu VN 🔍'!$G$28/100*0.5)+6.72*('📈 Cổ Phiếu VN 🔍'!$G$28/100)+1.05*(1/('📈 Cổ Phiếu VN 🔍'!$T$28+0.5)),2)),"")</f>
        <v/>
      </c>
      <c r="J29" s="863">
        <f>IFERROR(IF('📈 Cổ Phiếu VN 🔍'!$A$28="","",ROUND(-4.84+0.92*(1+0.5*'📈 Cổ Phiếu VN 🔍'!$J$28/100)+0.528*1.02+0.404*1.01+0.892*(1+'📈 Cổ Phiếu VN 🔍'!$J$28/100)+0.115*1.02,2)),"")</f>
        <v/>
      </c>
      <c r="K29" s="863">
        <f>IFERROR(IF('📈 Cổ Phiếu VN 🔍'!$A$28="","",(IF('📈 Cổ Phiếu VN 🔍'!$G$28&gt;0,1,0)+IF('📈 Cổ Phiếu VN 🔍'!$G$28&gt;5,1,0)+IF('📈 Cổ Phiếu VN 🔍'!$G$28&gt;10,1,0)+IF('📈 Cổ Phiếu VN 🔍'!$G$28&gt;15,1,0)+IF('📈 Cổ Phiếu VN 🔍'!$T$28&lt;3,1,0)+IF('📈 Cổ Phiếu VN 🔍'!$T$28&lt;5,1,0)+IF('📈 Cổ Phiếu VN 🔍'!$J$28&gt;0,1,0)+IF('📈 Cổ Phiếu VN 🔍'!$E$28&lt;20,1,0)+IF('📈 Cổ Phiếu VN 🔍'!$E$28&gt;0,1,0))),"")</f>
        <v/>
      </c>
      <c r="L29" s="863">
        <f>IFERROR(IF(I29="","",IF(OR(I29&lt;1.8,J29&gt;-1.78,K29&lt;5),"🔴 CỜ ĐỎ",IF(OR(I29&lt;2.99,J29&gt;-2.22,K29&lt;7),"🟡 Theo dõi","🟢 Sạch"))),"")</f>
        <v/>
      </c>
      <c r="M29" s="863">
        <f>IFERROR(IF(L29="🟢 Sạch","✅ ĐỦ ĐIỀU KIỆN MUA",IF(L29="🟡 Theo dõi","⚠️ Cần xác minh BCTC","❌ LOẠI KHỎI BỘ LỌC")),"")</f>
        <v/>
      </c>
      <c r="N29" s="863">
        <f>IFERROR(IF(M29="✅ ĐỦ ĐIỀU KIỆN MUA",ROUND((I29/3+K29/9-J29/5)*10,1),0),"")</f>
        <v/>
      </c>
    </row>
    <row r="30" ht="15" customHeight="1" s="981">
      <c r="A30" s="861" t="n">
        <v>25</v>
      </c>
      <c r="B30" s="862">
        <f>IFERROR(IF('📈 Cổ Phiếu VN 🔍'!$A$29="","",'📈 Cổ Phiếu VN 🔍'!$A$29),"")</f>
        <v/>
      </c>
      <c r="C30" s="862">
        <f>IFERROR('📈 Cổ Phiếu VN 🔍'!$B$29,"")</f>
        <v/>
      </c>
      <c r="D30" s="862">
        <f>IFERROR('📈 Cổ Phiếu VN 🔍'!$C$29,"")</f>
        <v/>
      </c>
      <c r="E30" s="862">
        <f>IFERROR('📈 Cổ Phiếu VN 🔍'!$E$29,0)</f>
        <v/>
      </c>
      <c r="F30" s="862">
        <f>IFERROR('📈 Cổ Phiếu VN 🔍'!$F$29,0)</f>
        <v/>
      </c>
      <c r="G30" s="862">
        <f>IFERROR('📈 Cổ Phiếu VN 🔍'!$G$29,0)</f>
        <v/>
      </c>
      <c r="H30" s="862">
        <f>IFERROR('📈 Cổ Phiếu VN 🔍'!$T$29,0)</f>
        <v/>
      </c>
      <c r="I30" s="863">
        <f>IFERROR(IF('📈 Cổ Phiếu VN 🔍'!$A$29="","",ROUND(3.25+6.56*0.15+3.26*('📈 Cổ Phiếu VN 🔍'!$G$29/100*0.5)+6.72*('📈 Cổ Phiếu VN 🔍'!$G$29/100)+1.05*(1/('📈 Cổ Phiếu VN 🔍'!$T$29+0.5)),2)),"")</f>
        <v/>
      </c>
      <c r="J30" s="863">
        <f>IFERROR(IF('📈 Cổ Phiếu VN 🔍'!$A$29="","",ROUND(-4.84+0.92*(1+0.5*'📈 Cổ Phiếu VN 🔍'!$J$29/100)+0.528*1.02+0.404*1.01+0.892*(1+'📈 Cổ Phiếu VN 🔍'!$J$29/100)+0.115*1.02,2)),"")</f>
        <v/>
      </c>
      <c r="K30" s="863">
        <f>IFERROR(IF('📈 Cổ Phiếu VN 🔍'!$A$29="","",(IF('📈 Cổ Phiếu VN 🔍'!$G$29&gt;0,1,0)+IF('📈 Cổ Phiếu VN 🔍'!$G$29&gt;5,1,0)+IF('📈 Cổ Phiếu VN 🔍'!$G$29&gt;10,1,0)+IF('📈 Cổ Phiếu VN 🔍'!$G$29&gt;15,1,0)+IF('📈 Cổ Phiếu VN 🔍'!$T$29&lt;3,1,0)+IF('📈 Cổ Phiếu VN 🔍'!$T$29&lt;5,1,0)+IF('📈 Cổ Phiếu VN 🔍'!$J$29&gt;0,1,0)+IF('📈 Cổ Phiếu VN 🔍'!$E$29&lt;20,1,0)+IF('📈 Cổ Phiếu VN 🔍'!$E$29&gt;0,1,0))),"")</f>
        <v/>
      </c>
      <c r="L30" s="863">
        <f>IFERROR(IF(I30="","",IF(OR(I30&lt;1.8,J30&gt;-1.78,K30&lt;5),"🔴 CỜ ĐỎ",IF(OR(I30&lt;2.99,J30&gt;-2.22,K30&lt;7),"🟡 Theo dõi","🟢 Sạch"))),"")</f>
        <v/>
      </c>
      <c r="M30" s="863">
        <f>IFERROR(IF(L30="🟢 Sạch","✅ ĐỦ ĐIỀU KIỆN MUA",IF(L30="🟡 Theo dõi","⚠️ Cần xác minh BCTC","❌ LOẠI KHỎI BỘ LỌC")),"")</f>
        <v/>
      </c>
      <c r="N30" s="863">
        <f>IFERROR(IF(M30="✅ ĐỦ ĐIỀU KIỆN MUA",ROUND((I30/3+K30/9-J30/5)*10,1),0),"")</f>
        <v/>
      </c>
    </row>
    <row r="31" ht="15" customHeight="1" s="981">
      <c r="A31" s="861" t="n">
        <v>26</v>
      </c>
      <c r="B31" s="862">
        <f>IFERROR(IF('📈 Cổ Phiếu VN 🔍'!$A$30="","",'📈 Cổ Phiếu VN 🔍'!$A$30),"")</f>
        <v/>
      </c>
      <c r="C31" s="862">
        <f>IFERROR('📈 Cổ Phiếu VN 🔍'!$B$30,"")</f>
        <v/>
      </c>
      <c r="D31" s="862">
        <f>IFERROR('📈 Cổ Phiếu VN 🔍'!$C$30,"")</f>
        <v/>
      </c>
      <c r="E31" s="862">
        <f>IFERROR('📈 Cổ Phiếu VN 🔍'!$E$30,0)</f>
        <v/>
      </c>
      <c r="F31" s="862">
        <f>IFERROR('📈 Cổ Phiếu VN 🔍'!$F$30,0)</f>
        <v/>
      </c>
      <c r="G31" s="862">
        <f>IFERROR('📈 Cổ Phiếu VN 🔍'!$G$30,0)</f>
        <v/>
      </c>
      <c r="H31" s="862">
        <f>IFERROR('📈 Cổ Phiếu VN 🔍'!$T$30,0)</f>
        <v/>
      </c>
      <c r="I31" s="863">
        <f>IFERROR(IF('📈 Cổ Phiếu VN 🔍'!$A$30="","",ROUND(3.25+6.56*0.15+3.26*('📈 Cổ Phiếu VN 🔍'!$G$30/100*0.5)+6.72*('📈 Cổ Phiếu VN 🔍'!$G$30/100)+1.05*(1/('📈 Cổ Phiếu VN 🔍'!$T$30+0.5)),2)),"")</f>
        <v/>
      </c>
      <c r="J31" s="863">
        <f>IFERROR(IF('📈 Cổ Phiếu VN 🔍'!$A$30="","",ROUND(-4.84+0.92*(1+0.5*'📈 Cổ Phiếu VN 🔍'!$J$30/100)+0.528*1.02+0.404*1.01+0.892*(1+'📈 Cổ Phiếu VN 🔍'!$J$30/100)+0.115*1.02,2)),"")</f>
        <v/>
      </c>
      <c r="K31" s="863">
        <f>IFERROR(IF('📈 Cổ Phiếu VN 🔍'!$A$30="","",(IF('📈 Cổ Phiếu VN 🔍'!$G$30&gt;0,1,0)+IF('📈 Cổ Phiếu VN 🔍'!$G$30&gt;5,1,0)+IF('📈 Cổ Phiếu VN 🔍'!$G$30&gt;10,1,0)+IF('📈 Cổ Phiếu VN 🔍'!$G$30&gt;15,1,0)+IF('📈 Cổ Phiếu VN 🔍'!$T$30&lt;3,1,0)+IF('📈 Cổ Phiếu VN 🔍'!$T$30&lt;5,1,0)+IF('📈 Cổ Phiếu VN 🔍'!$J$30&gt;0,1,0)+IF('📈 Cổ Phiếu VN 🔍'!$E$30&lt;20,1,0)+IF('📈 Cổ Phiếu VN 🔍'!$E$30&gt;0,1,0))),"")</f>
        <v/>
      </c>
      <c r="L31" s="863">
        <f>IFERROR(IF(I31="","",IF(OR(I31&lt;1.8,J31&gt;-1.78,K31&lt;5),"🔴 CỜ ĐỎ",IF(OR(I31&lt;2.99,J31&gt;-2.22,K31&lt;7),"🟡 Theo dõi","🟢 Sạch"))),"")</f>
        <v/>
      </c>
      <c r="M31" s="863">
        <f>IFERROR(IF(L31="🟢 Sạch","✅ ĐỦ ĐIỀU KIỆN MUA",IF(L31="🟡 Theo dõi","⚠️ Cần xác minh BCTC","❌ LOẠI KHỎI BỘ LỌC")),"")</f>
        <v/>
      </c>
      <c r="N31" s="863">
        <f>IFERROR(IF(M31="✅ ĐỦ ĐIỀU KIỆN MUA",ROUND((I31/3+K31/9-J31/5)*10,1),0),"")</f>
        <v/>
      </c>
    </row>
    <row r="32" ht="15" customHeight="1" s="981">
      <c r="A32" s="861" t="n">
        <v>27</v>
      </c>
      <c r="B32" s="862">
        <f>IFERROR(IF('📈 Cổ Phiếu VN 🔍'!$A$31="","",'📈 Cổ Phiếu VN 🔍'!$A$31),"")</f>
        <v/>
      </c>
      <c r="C32" s="862">
        <f>IFERROR('📈 Cổ Phiếu VN 🔍'!$B$31,"")</f>
        <v/>
      </c>
      <c r="D32" s="862">
        <f>IFERROR('📈 Cổ Phiếu VN 🔍'!$C$31,"")</f>
        <v/>
      </c>
      <c r="E32" s="862">
        <f>IFERROR('📈 Cổ Phiếu VN 🔍'!$E$31,0)</f>
        <v/>
      </c>
      <c r="F32" s="862">
        <f>IFERROR('📈 Cổ Phiếu VN 🔍'!$F$31,0)</f>
        <v/>
      </c>
      <c r="G32" s="862">
        <f>IFERROR('📈 Cổ Phiếu VN 🔍'!$G$31,0)</f>
        <v/>
      </c>
      <c r="H32" s="862">
        <f>IFERROR('📈 Cổ Phiếu VN 🔍'!$T$31,0)</f>
        <v/>
      </c>
      <c r="I32" s="863">
        <f>IFERROR(IF('📈 Cổ Phiếu VN 🔍'!$A$31="","",ROUND(3.25+6.56*0.15+3.26*('📈 Cổ Phiếu VN 🔍'!$G$31/100*0.5)+6.72*('📈 Cổ Phiếu VN 🔍'!$G$31/100)+1.05*(1/('📈 Cổ Phiếu VN 🔍'!$T$31+0.5)),2)),"")</f>
        <v/>
      </c>
      <c r="J32" s="863">
        <f>IFERROR(IF('📈 Cổ Phiếu VN 🔍'!$A$31="","",ROUND(-4.84+0.92*(1+0.5*'📈 Cổ Phiếu VN 🔍'!$J$31/100)+0.528*1.02+0.404*1.01+0.892*(1+'📈 Cổ Phiếu VN 🔍'!$J$31/100)+0.115*1.02,2)),"")</f>
        <v/>
      </c>
      <c r="K32" s="863">
        <f>IFERROR(IF('📈 Cổ Phiếu VN 🔍'!$A$31="","",(IF('📈 Cổ Phiếu VN 🔍'!$G$31&gt;0,1,0)+IF('📈 Cổ Phiếu VN 🔍'!$G$31&gt;5,1,0)+IF('📈 Cổ Phiếu VN 🔍'!$G$31&gt;10,1,0)+IF('📈 Cổ Phiếu VN 🔍'!$G$31&gt;15,1,0)+IF('📈 Cổ Phiếu VN 🔍'!$T$31&lt;3,1,0)+IF('📈 Cổ Phiếu VN 🔍'!$T$31&lt;5,1,0)+IF('📈 Cổ Phiếu VN 🔍'!$J$31&gt;0,1,0)+IF('📈 Cổ Phiếu VN 🔍'!$E$31&lt;20,1,0)+IF('📈 Cổ Phiếu VN 🔍'!$E$31&gt;0,1,0))),"")</f>
        <v/>
      </c>
      <c r="L32" s="863">
        <f>IFERROR(IF(I32="","",IF(OR(I32&lt;1.8,J32&gt;-1.78,K32&lt;5),"🔴 CỜ ĐỎ",IF(OR(I32&lt;2.99,J32&gt;-2.22,K32&lt;7),"🟡 Theo dõi","🟢 Sạch"))),"")</f>
        <v/>
      </c>
      <c r="M32" s="863">
        <f>IFERROR(IF(L32="🟢 Sạch","✅ ĐỦ ĐIỀU KIỆN MUA",IF(L32="🟡 Theo dõi","⚠️ Cần xác minh BCTC","❌ LOẠI KHỎI BỘ LỌC")),"")</f>
        <v/>
      </c>
      <c r="N32" s="863">
        <f>IFERROR(IF(M32="✅ ĐỦ ĐIỀU KIỆN MUA",ROUND((I32/3+K32/9-J32/5)*10,1),0),"")</f>
        <v/>
      </c>
    </row>
    <row r="33" ht="15" customHeight="1" s="981">
      <c r="A33" s="861" t="n">
        <v>28</v>
      </c>
      <c r="B33" s="862">
        <f>IFERROR(IF('📈 Cổ Phiếu VN 🔍'!$A$32="","",'📈 Cổ Phiếu VN 🔍'!$A$32),"")</f>
        <v/>
      </c>
      <c r="C33" s="862">
        <f>IFERROR('📈 Cổ Phiếu VN 🔍'!$B$32,"")</f>
        <v/>
      </c>
      <c r="D33" s="862">
        <f>IFERROR('📈 Cổ Phiếu VN 🔍'!$C$32,"")</f>
        <v/>
      </c>
      <c r="E33" s="862">
        <f>IFERROR('📈 Cổ Phiếu VN 🔍'!$E$32,0)</f>
        <v/>
      </c>
      <c r="F33" s="862">
        <f>IFERROR('📈 Cổ Phiếu VN 🔍'!$F$32,0)</f>
        <v/>
      </c>
      <c r="G33" s="862">
        <f>IFERROR('📈 Cổ Phiếu VN 🔍'!$G$32,0)</f>
        <v/>
      </c>
      <c r="H33" s="862">
        <f>IFERROR('📈 Cổ Phiếu VN 🔍'!$T$32,0)</f>
        <v/>
      </c>
      <c r="I33" s="863">
        <f>IFERROR(IF('📈 Cổ Phiếu VN 🔍'!$A$32="","",ROUND(3.25+6.56*0.15+3.26*('📈 Cổ Phiếu VN 🔍'!$G$32/100*0.5)+6.72*('📈 Cổ Phiếu VN 🔍'!$G$32/100)+1.05*(1/('📈 Cổ Phiếu VN 🔍'!$T$32+0.5)),2)),"")</f>
        <v/>
      </c>
      <c r="J33" s="863">
        <f>IFERROR(IF('📈 Cổ Phiếu VN 🔍'!$A$32="","",ROUND(-4.84+0.92*(1+0.5*'📈 Cổ Phiếu VN 🔍'!$J$32/100)+0.528*1.02+0.404*1.01+0.892*(1+'📈 Cổ Phiếu VN 🔍'!$J$32/100)+0.115*1.02,2)),"")</f>
        <v/>
      </c>
      <c r="K33" s="863">
        <f>IFERROR(IF('📈 Cổ Phiếu VN 🔍'!$A$32="","",(IF('📈 Cổ Phiếu VN 🔍'!$G$32&gt;0,1,0)+IF('📈 Cổ Phiếu VN 🔍'!$G$32&gt;5,1,0)+IF('📈 Cổ Phiếu VN 🔍'!$G$32&gt;10,1,0)+IF('📈 Cổ Phiếu VN 🔍'!$G$32&gt;15,1,0)+IF('📈 Cổ Phiếu VN 🔍'!$T$32&lt;3,1,0)+IF('📈 Cổ Phiếu VN 🔍'!$T$32&lt;5,1,0)+IF('📈 Cổ Phiếu VN 🔍'!$J$32&gt;0,1,0)+IF('📈 Cổ Phiếu VN 🔍'!$E$32&lt;20,1,0)+IF('📈 Cổ Phiếu VN 🔍'!$E$32&gt;0,1,0))),"")</f>
        <v/>
      </c>
      <c r="L33" s="863">
        <f>IFERROR(IF(I33="","",IF(OR(I33&lt;1.8,J33&gt;-1.78,K33&lt;5),"🔴 CỜ ĐỎ",IF(OR(I33&lt;2.99,J33&gt;-2.22,K33&lt;7),"🟡 Theo dõi","🟢 Sạch"))),"")</f>
        <v/>
      </c>
      <c r="M33" s="863">
        <f>IFERROR(IF(L33="🟢 Sạch","✅ ĐỦ ĐIỀU KIỆN MUA",IF(L33="🟡 Theo dõi","⚠️ Cần xác minh BCTC","❌ LOẠI KHỎI BỘ LỌC")),"")</f>
        <v/>
      </c>
      <c r="N33" s="863">
        <f>IFERROR(IF(M33="✅ ĐỦ ĐIỀU KIỆN MUA",ROUND((I33/3+K33/9-J33/5)*10,1),0),"")</f>
        <v/>
      </c>
    </row>
    <row r="34" ht="15" customHeight="1" s="981">
      <c r="A34" s="861" t="n">
        <v>29</v>
      </c>
      <c r="B34" s="862">
        <f>IFERROR(IF('📈 Cổ Phiếu VN 🔍'!$A$33="","",'📈 Cổ Phiếu VN 🔍'!$A$33),"")</f>
        <v/>
      </c>
      <c r="C34" s="862">
        <f>IFERROR('📈 Cổ Phiếu VN 🔍'!$B$33,"")</f>
        <v/>
      </c>
      <c r="D34" s="862">
        <f>IFERROR('📈 Cổ Phiếu VN 🔍'!$C$33,"")</f>
        <v/>
      </c>
      <c r="E34" s="862">
        <f>IFERROR('📈 Cổ Phiếu VN 🔍'!$E$33,0)</f>
        <v/>
      </c>
      <c r="F34" s="862">
        <f>IFERROR('📈 Cổ Phiếu VN 🔍'!$F$33,0)</f>
        <v/>
      </c>
      <c r="G34" s="862">
        <f>IFERROR('📈 Cổ Phiếu VN 🔍'!$G$33,0)</f>
        <v/>
      </c>
      <c r="H34" s="862">
        <f>IFERROR('📈 Cổ Phiếu VN 🔍'!$T$33,0)</f>
        <v/>
      </c>
      <c r="I34" s="863">
        <f>IFERROR(IF('📈 Cổ Phiếu VN 🔍'!$A$33="","",ROUND(3.25+6.56*0.15+3.26*('📈 Cổ Phiếu VN 🔍'!$G$33/100*0.5)+6.72*('📈 Cổ Phiếu VN 🔍'!$G$33/100)+1.05*(1/('📈 Cổ Phiếu VN 🔍'!$T$33+0.5)),2)),"")</f>
        <v/>
      </c>
      <c r="J34" s="863">
        <f>IFERROR(IF('📈 Cổ Phiếu VN 🔍'!$A$33="","",ROUND(-4.84+0.92*(1+0.5*'📈 Cổ Phiếu VN 🔍'!$J$33/100)+0.528*1.02+0.404*1.01+0.892*(1+'📈 Cổ Phiếu VN 🔍'!$J$33/100)+0.115*1.02,2)),"")</f>
        <v/>
      </c>
      <c r="K34" s="863">
        <f>IFERROR(IF('📈 Cổ Phiếu VN 🔍'!$A$33="","",(IF('📈 Cổ Phiếu VN 🔍'!$G$33&gt;0,1,0)+IF('📈 Cổ Phiếu VN 🔍'!$G$33&gt;5,1,0)+IF('📈 Cổ Phiếu VN 🔍'!$G$33&gt;10,1,0)+IF('📈 Cổ Phiếu VN 🔍'!$G$33&gt;15,1,0)+IF('📈 Cổ Phiếu VN 🔍'!$T$33&lt;3,1,0)+IF('📈 Cổ Phiếu VN 🔍'!$T$33&lt;5,1,0)+IF('📈 Cổ Phiếu VN 🔍'!$J$33&gt;0,1,0)+IF('📈 Cổ Phiếu VN 🔍'!$E$33&lt;20,1,0)+IF('📈 Cổ Phiếu VN 🔍'!$E$33&gt;0,1,0))),"")</f>
        <v/>
      </c>
      <c r="L34" s="863">
        <f>IFERROR(IF(I34="","",IF(OR(I34&lt;1.8,J34&gt;-1.78,K34&lt;5),"🔴 CỜ ĐỎ",IF(OR(I34&lt;2.99,J34&gt;-2.22,K34&lt;7),"🟡 Theo dõi","🟢 Sạch"))),"")</f>
        <v/>
      </c>
      <c r="M34" s="863">
        <f>IFERROR(IF(L34="🟢 Sạch","✅ ĐỦ ĐIỀU KIỆN MUA",IF(L34="🟡 Theo dõi","⚠️ Cần xác minh BCTC","❌ LOẠI KHỎI BỘ LỌC")),"")</f>
        <v/>
      </c>
      <c r="N34" s="863">
        <f>IFERROR(IF(M34="✅ ĐỦ ĐIỀU KIỆN MUA",ROUND((I34/3+K34/9-J34/5)*10,1),0),"")</f>
        <v/>
      </c>
    </row>
    <row r="35" ht="15" customHeight="1" s="981">
      <c r="A35" s="861" t="n">
        <v>30</v>
      </c>
      <c r="B35" s="862">
        <f>IFERROR(IF('📈 Cổ Phiếu VN 🔍'!$A$34="","",'📈 Cổ Phiếu VN 🔍'!$A$34),"")</f>
        <v/>
      </c>
      <c r="C35" s="862">
        <f>IFERROR('📈 Cổ Phiếu VN 🔍'!$B$34,"")</f>
        <v/>
      </c>
      <c r="D35" s="862">
        <f>IFERROR('📈 Cổ Phiếu VN 🔍'!$C$34,"")</f>
        <v/>
      </c>
      <c r="E35" s="862">
        <f>IFERROR('📈 Cổ Phiếu VN 🔍'!$E$34,0)</f>
        <v/>
      </c>
      <c r="F35" s="862">
        <f>IFERROR('📈 Cổ Phiếu VN 🔍'!$F$34,0)</f>
        <v/>
      </c>
      <c r="G35" s="862">
        <f>IFERROR('📈 Cổ Phiếu VN 🔍'!$G$34,0)</f>
        <v/>
      </c>
      <c r="H35" s="862">
        <f>IFERROR('📈 Cổ Phiếu VN 🔍'!$T$34,0)</f>
        <v/>
      </c>
      <c r="I35" s="863">
        <f>IFERROR(IF('📈 Cổ Phiếu VN 🔍'!$A$34="","",ROUND(3.25+6.56*0.15+3.26*('📈 Cổ Phiếu VN 🔍'!$G$34/100*0.5)+6.72*('📈 Cổ Phiếu VN 🔍'!$G$34/100)+1.05*(1/('📈 Cổ Phiếu VN 🔍'!$T$34+0.5)),2)),"")</f>
        <v/>
      </c>
      <c r="J35" s="863">
        <f>IFERROR(IF('📈 Cổ Phiếu VN 🔍'!$A$34="","",ROUND(-4.84+0.92*(1+0.5*'📈 Cổ Phiếu VN 🔍'!$J$34/100)+0.528*1.02+0.404*1.01+0.892*(1+'📈 Cổ Phiếu VN 🔍'!$J$34/100)+0.115*1.02,2)),"")</f>
        <v/>
      </c>
      <c r="K35" s="863">
        <f>IFERROR(IF('📈 Cổ Phiếu VN 🔍'!$A$34="","",(IF('📈 Cổ Phiếu VN 🔍'!$G$34&gt;0,1,0)+IF('📈 Cổ Phiếu VN 🔍'!$G$34&gt;5,1,0)+IF('📈 Cổ Phiếu VN 🔍'!$G$34&gt;10,1,0)+IF('📈 Cổ Phiếu VN 🔍'!$G$34&gt;15,1,0)+IF('📈 Cổ Phiếu VN 🔍'!$T$34&lt;3,1,0)+IF('📈 Cổ Phiếu VN 🔍'!$T$34&lt;5,1,0)+IF('📈 Cổ Phiếu VN 🔍'!$J$34&gt;0,1,0)+IF('📈 Cổ Phiếu VN 🔍'!$E$34&lt;20,1,0)+IF('📈 Cổ Phiếu VN 🔍'!$E$34&gt;0,1,0))),"")</f>
        <v/>
      </c>
      <c r="L35" s="863">
        <f>IFERROR(IF(I35="","",IF(OR(I35&lt;1.8,J35&gt;-1.78,K35&lt;5),"🔴 CỜ ĐỎ",IF(OR(I35&lt;2.99,J35&gt;-2.22,K35&lt;7),"🟡 Theo dõi","🟢 Sạch"))),"")</f>
        <v/>
      </c>
      <c r="M35" s="863">
        <f>IFERROR(IF(L35="🟢 Sạch","✅ ĐỦ ĐIỀU KIỆN MUA",IF(L35="🟡 Theo dõi","⚠️ Cần xác minh BCTC","❌ LOẠI KHỎI BỘ LỌC")),"")</f>
        <v/>
      </c>
      <c r="N35" s="863">
        <f>IFERROR(IF(M35="✅ ĐỦ ĐIỀU KIỆN MUA",ROUND((I35/3+K35/9-J35/5)*10,1),0),"")</f>
        <v/>
      </c>
    </row>
    <row r="36" ht="15" customHeight="1" s="981">
      <c r="A36" s="861" t="n">
        <v>31</v>
      </c>
      <c r="B36" s="862">
        <f>IFERROR(IF('📈 Cổ Phiếu VN 🔍'!$A$35="","",'📈 Cổ Phiếu VN 🔍'!$A$35),"")</f>
        <v/>
      </c>
      <c r="C36" s="862">
        <f>IFERROR('📈 Cổ Phiếu VN 🔍'!$B$35,"")</f>
        <v/>
      </c>
      <c r="D36" s="862">
        <f>IFERROR('📈 Cổ Phiếu VN 🔍'!$C$35,"")</f>
        <v/>
      </c>
      <c r="E36" s="862">
        <f>IFERROR('📈 Cổ Phiếu VN 🔍'!$E$35,0)</f>
        <v/>
      </c>
      <c r="F36" s="862">
        <f>IFERROR('📈 Cổ Phiếu VN 🔍'!$F$35,0)</f>
        <v/>
      </c>
      <c r="G36" s="862">
        <f>IFERROR('📈 Cổ Phiếu VN 🔍'!$G$35,0)</f>
        <v/>
      </c>
      <c r="H36" s="862">
        <f>IFERROR('📈 Cổ Phiếu VN 🔍'!$T$35,0)</f>
        <v/>
      </c>
      <c r="I36" s="863">
        <f>IFERROR(IF('📈 Cổ Phiếu VN 🔍'!$A$35="","",ROUND(3.25+6.56*0.15+3.26*('📈 Cổ Phiếu VN 🔍'!$G$35/100*0.5)+6.72*('📈 Cổ Phiếu VN 🔍'!$G$35/100)+1.05*(1/('📈 Cổ Phiếu VN 🔍'!$T$35+0.5)),2)),"")</f>
        <v/>
      </c>
      <c r="J36" s="863">
        <f>IFERROR(IF('📈 Cổ Phiếu VN 🔍'!$A$35="","",ROUND(-4.84+0.92*(1+0.5*'📈 Cổ Phiếu VN 🔍'!$J$35/100)+0.528*1.02+0.404*1.01+0.892*(1+'📈 Cổ Phiếu VN 🔍'!$J$35/100)+0.115*1.02,2)),"")</f>
        <v/>
      </c>
      <c r="K36" s="863">
        <f>IFERROR(IF('📈 Cổ Phiếu VN 🔍'!$A$35="","",(IF('📈 Cổ Phiếu VN 🔍'!$G$35&gt;0,1,0)+IF('📈 Cổ Phiếu VN 🔍'!$G$35&gt;5,1,0)+IF('📈 Cổ Phiếu VN 🔍'!$G$35&gt;10,1,0)+IF('📈 Cổ Phiếu VN 🔍'!$G$35&gt;15,1,0)+IF('📈 Cổ Phiếu VN 🔍'!$T$35&lt;3,1,0)+IF('📈 Cổ Phiếu VN 🔍'!$T$35&lt;5,1,0)+IF('📈 Cổ Phiếu VN 🔍'!$J$35&gt;0,1,0)+IF('📈 Cổ Phiếu VN 🔍'!$E$35&lt;20,1,0)+IF('📈 Cổ Phiếu VN 🔍'!$E$35&gt;0,1,0))),"")</f>
        <v/>
      </c>
      <c r="L36" s="863">
        <f>IFERROR(IF(I36="","",IF(OR(I36&lt;1.8,J36&gt;-1.78,K36&lt;5),"🔴 CỜ ĐỎ",IF(OR(I36&lt;2.99,J36&gt;-2.22,K36&lt;7),"🟡 Theo dõi","🟢 Sạch"))),"")</f>
        <v/>
      </c>
      <c r="M36" s="863">
        <f>IFERROR(IF(L36="🟢 Sạch","✅ ĐỦ ĐIỀU KIỆN MUA",IF(L36="🟡 Theo dõi","⚠️ Cần xác minh BCTC","❌ LOẠI KHỎI BỘ LỌC")),"")</f>
        <v/>
      </c>
      <c r="N36" s="863">
        <f>IFERROR(IF(M36="✅ ĐỦ ĐIỀU KIỆN MUA",ROUND((I36/3+K36/9-J36/5)*10,1),0),"")</f>
        <v/>
      </c>
    </row>
    <row r="37" ht="15" customHeight="1" s="981">
      <c r="A37" s="861" t="n">
        <v>32</v>
      </c>
      <c r="B37" s="862">
        <f>IFERROR(IF('📈 Cổ Phiếu VN 🔍'!$A$36="","",'📈 Cổ Phiếu VN 🔍'!$A$36),"")</f>
        <v/>
      </c>
      <c r="C37" s="862">
        <f>IFERROR('📈 Cổ Phiếu VN 🔍'!$B$36,"")</f>
        <v/>
      </c>
      <c r="D37" s="862">
        <f>IFERROR('📈 Cổ Phiếu VN 🔍'!$C$36,"")</f>
        <v/>
      </c>
      <c r="E37" s="862">
        <f>IFERROR('📈 Cổ Phiếu VN 🔍'!$E$36,0)</f>
        <v/>
      </c>
      <c r="F37" s="862">
        <f>IFERROR('📈 Cổ Phiếu VN 🔍'!$F$36,0)</f>
        <v/>
      </c>
      <c r="G37" s="862">
        <f>IFERROR('📈 Cổ Phiếu VN 🔍'!$G$36,0)</f>
        <v/>
      </c>
      <c r="H37" s="862">
        <f>IFERROR('📈 Cổ Phiếu VN 🔍'!$T$36,0)</f>
        <v/>
      </c>
      <c r="I37" s="863">
        <f>IFERROR(IF('📈 Cổ Phiếu VN 🔍'!$A$36="","",ROUND(3.25+6.56*0.15+3.26*('📈 Cổ Phiếu VN 🔍'!$G$36/100*0.5)+6.72*('📈 Cổ Phiếu VN 🔍'!$G$36/100)+1.05*(1/('📈 Cổ Phiếu VN 🔍'!$T$36+0.5)),2)),"")</f>
        <v/>
      </c>
      <c r="J37" s="863">
        <f>IFERROR(IF('📈 Cổ Phiếu VN 🔍'!$A$36="","",ROUND(-4.84+0.92*(1+0.5*'📈 Cổ Phiếu VN 🔍'!$J$36/100)+0.528*1.02+0.404*1.01+0.892*(1+'📈 Cổ Phiếu VN 🔍'!$J$36/100)+0.115*1.02,2)),"")</f>
        <v/>
      </c>
      <c r="K37" s="863">
        <f>IFERROR(IF('📈 Cổ Phiếu VN 🔍'!$A$36="","",(IF('📈 Cổ Phiếu VN 🔍'!$G$36&gt;0,1,0)+IF('📈 Cổ Phiếu VN 🔍'!$G$36&gt;5,1,0)+IF('📈 Cổ Phiếu VN 🔍'!$G$36&gt;10,1,0)+IF('📈 Cổ Phiếu VN 🔍'!$G$36&gt;15,1,0)+IF('📈 Cổ Phiếu VN 🔍'!$T$36&lt;3,1,0)+IF('📈 Cổ Phiếu VN 🔍'!$T$36&lt;5,1,0)+IF('📈 Cổ Phiếu VN 🔍'!$J$36&gt;0,1,0)+IF('📈 Cổ Phiếu VN 🔍'!$E$36&lt;20,1,0)+IF('📈 Cổ Phiếu VN 🔍'!$E$36&gt;0,1,0))),"")</f>
        <v/>
      </c>
      <c r="L37" s="863">
        <f>IFERROR(IF(I37="","",IF(OR(I37&lt;1.8,J37&gt;-1.78,K37&lt;5),"🔴 CỜ ĐỎ",IF(OR(I37&lt;2.99,J37&gt;-2.22,K37&lt;7),"🟡 Theo dõi","🟢 Sạch"))),"")</f>
        <v/>
      </c>
      <c r="M37" s="863">
        <f>IFERROR(IF(L37="🟢 Sạch","✅ ĐỦ ĐIỀU KIỆN MUA",IF(L37="🟡 Theo dõi","⚠️ Cần xác minh BCTC","❌ LOẠI KHỎI BỘ LỌC")),"")</f>
        <v/>
      </c>
      <c r="N37" s="863">
        <f>IFERROR(IF(M37="✅ ĐỦ ĐIỀU KIỆN MUA",ROUND((I37/3+K37/9-J37/5)*10,1),0),"")</f>
        <v/>
      </c>
    </row>
    <row r="38" ht="15" customHeight="1" s="981">
      <c r="A38" s="861" t="n">
        <v>33</v>
      </c>
      <c r="B38" s="862">
        <f>IFERROR(IF('📈 Cổ Phiếu VN 🔍'!$A$37="","",'📈 Cổ Phiếu VN 🔍'!$A$37),"")</f>
        <v/>
      </c>
      <c r="C38" s="862">
        <f>IFERROR('📈 Cổ Phiếu VN 🔍'!$B$37,"")</f>
        <v/>
      </c>
      <c r="D38" s="862">
        <f>IFERROR('📈 Cổ Phiếu VN 🔍'!$C$37,"")</f>
        <v/>
      </c>
      <c r="E38" s="862">
        <f>IFERROR('📈 Cổ Phiếu VN 🔍'!$E$37,0)</f>
        <v/>
      </c>
      <c r="F38" s="862">
        <f>IFERROR('📈 Cổ Phiếu VN 🔍'!$F$37,0)</f>
        <v/>
      </c>
      <c r="G38" s="862">
        <f>IFERROR('📈 Cổ Phiếu VN 🔍'!$G$37,0)</f>
        <v/>
      </c>
      <c r="H38" s="862">
        <f>IFERROR('📈 Cổ Phiếu VN 🔍'!$T$37,0)</f>
        <v/>
      </c>
      <c r="I38" s="863">
        <f>IFERROR(IF('📈 Cổ Phiếu VN 🔍'!$A$37="","",ROUND(3.25+6.56*0.15+3.26*('📈 Cổ Phiếu VN 🔍'!$G$37/100*0.5)+6.72*('📈 Cổ Phiếu VN 🔍'!$G$37/100)+1.05*(1/('📈 Cổ Phiếu VN 🔍'!$T$37+0.5)),2)),"")</f>
        <v/>
      </c>
      <c r="J38" s="863">
        <f>IFERROR(IF('📈 Cổ Phiếu VN 🔍'!$A$37="","",ROUND(-4.84+0.92*(1+0.5*'📈 Cổ Phiếu VN 🔍'!$J$37/100)+0.528*1.02+0.404*1.01+0.892*(1+'📈 Cổ Phiếu VN 🔍'!$J$37/100)+0.115*1.02,2)),"")</f>
        <v/>
      </c>
      <c r="K38" s="863">
        <f>IFERROR(IF('📈 Cổ Phiếu VN 🔍'!$A$37="","",(IF('📈 Cổ Phiếu VN 🔍'!$G$37&gt;0,1,0)+IF('📈 Cổ Phiếu VN 🔍'!$G$37&gt;5,1,0)+IF('📈 Cổ Phiếu VN 🔍'!$G$37&gt;10,1,0)+IF('📈 Cổ Phiếu VN 🔍'!$G$37&gt;15,1,0)+IF('📈 Cổ Phiếu VN 🔍'!$T$37&lt;3,1,0)+IF('📈 Cổ Phiếu VN 🔍'!$T$37&lt;5,1,0)+IF('📈 Cổ Phiếu VN 🔍'!$J$37&gt;0,1,0)+IF('📈 Cổ Phiếu VN 🔍'!$E$37&lt;20,1,0)+IF('📈 Cổ Phiếu VN 🔍'!$E$37&gt;0,1,0))),"")</f>
        <v/>
      </c>
      <c r="L38" s="863">
        <f>IFERROR(IF(I38="","",IF(OR(I38&lt;1.8,J38&gt;-1.78,K38&lt;5),"🔴 CỜ ĐỎ",IF(OR(I38&lt;2.99,J38&gt;-2.22,K38&lt;7),"🟡 Theo dõi","🟢 Sạch"))),"")</f>
        <v/>
      </c>
      <c r="M38" s="863">
        <f>IFERROR(IF(L38="🟢 Sạch","✅ ĐỦ ĐIỀU KIỆN MUA",IF(L38="🟡 Theo dõi","⚠️ Cần xác minh BCTC","❌ LOẠI KHỎI BỘ LỌC")),"")</f>
        <v/>
      </c>
      <c r="N38" s="863">
        <f>IFERROR(IF(M38="✅ ĐỦ ĐIỀU KIỆN MUA",ROUND((I38/3+K38/9-J38/5)*10,1),0),"")</f>
        <v/>
      </c>
    </row>
    <row r="39" ht="15" customHeight="1" s="981">
      <c r="A39" s="861" t="n">
        <v>34</v>
      </c>
      <c r="B39" s="862">
        <f>IFERROR(IF('📈 Cổ Phiếu VN 🔍'!$A$38="","",'📈 Cổ Phiếu VN 🔍'!$A$38),"")</f>
        <v/>
      </c>
      <c r="C39" s="862">
        <f>IFERROR('📈 Cổ Phiếu VN 🔍'!$B$38,"")</f>
        <v/>
      </c>
      <c r="D39" s="862">
        <f>IFERROR('📈 Cổ Phiếu VN 🔍'!$C$38,"")</f>
        <v/>
      </c>
      <c r="E39" s="862">
        <f>IFERROR('📈 Cổ Phiếu VN 🔍'!$E$38,0)</f>
        <v/>
      </c>
      <c r="F39" s="862">
        <f>IFERROR('📈 Cổ Phiếu VN 🔍'!$F$38,0)</f>
        <v/>
      </c>
      <c r="G39" s="862">
        <f>IFERROR('📈 Cổ Phiếu VN 🔍'!$G$38,0)</f>
        <v/>
      </c>
      <c r="H39" s="862">
        <f>IFERROR('📈 Cổ Phiếu VN 🔍'!$T$38,0)</f>
        <v/>
      </c>
      <c r="I39" s="863">
        <f>IFERROR(IF('📈 Cổ Phiếu VN 🔍'!$A$38="","",ROUND(3.25+6.56*0.15+3.26*('📈 Cổ Phiếu VN 🔍'!$G$38/100*0.5)+6.72*('📈 Cổ Phiếu VN 🔍'!$G$38/100)+1.05*(1/('📈 Cổ Phiếu VN 🔍'!$T$38+0.5)),2)),"")</f>
        <v/>
      </c>
      <c r="J39" s="863">
        <f>IFERROR(IF('📈 Cổ Phiếu VN 🔍'!$A$38="","",ROUND(-4.84+0.92*(1+0.5*'📈 Cổ Phiếu VN 🔍'!$J$38/100)+0.528*1.02+0.404*1.01+0.892*(1+'📈 Cổ Phiếu VN 🔍'!$J$38/100)+0.115*1.02,2)),"")</f>
        <v/>
      </c>
      <c r="K39" s="863">
        <f>IFERROR(IF('📈 Cổ Phiếu VN 🔍'!$A$38="","",(IF('📈 Cổ Phiếu VN 🔍'!$G$38&gt;0,1,0)+IF('📈 Cổ Phiếu VN 🔍'!$G$38&gt;5,1,0)+IF('📈 Cổ Phiếu VN 🔍'!$G$38&gt;10,1,0)+IF('📈 Cổ Phiếu VN 🔍'!$G$38&gt;15,1,0)+IF('📈 Cổ Phiếu VN 🔍'!$T$38&lt;3,1,0)+IF('📈 Cổ Phiếu VN 🔍'!$T$38&lt;5,1,0)+IF('📈 Cổ Phiếu VN 🔍'!$J$38&gt;0,1,0)+IF('📈 Cổ Phiếu VN 🔍'!$E$38&lt;20,1,0)+IF('📈 Cổ Phiếu VN 🔍'!$E$38&gt;0,1,0))),"")</f>
        <v/>
      </c>
      <c r="L39" s="863">
        <f>IFERROR(IF(I39="","",IF(OR(I39&lt;1.8,J39&gt;-1.78,K39&lt;5),"🔴 CỜ ĐỎ",IF(OR(I39&lt;2.99,J39&gt;-2.22,K39&lt;7),"🟡 Theo dõi","🟢 Sạch"))),"")</f>
        <v/>
      </c>
      <c r="M39" s="863">
        <f>IFERROR(IF(L39="🟢 Sạch","✅ ĐỦ ĐIỀU KIỆN MUA",IF(L39="🟡 Theo dõi","⚠️ Cần xác minh BCTC","❌ LOẠI KHỎI BỘ LỌC")),"")</f>
        <v/>
      </c>
      <c r="N39" s="863">
        <f>IFERROR(IF(M39="✅ ĐỦ ĐIỀU KIỆN MUA",ROUND((I39/3+K39/9-J39/5)*10,1),0),"")</f>
        <v/>
      </c>
    </row>
    <row r="40" ht="15" customHeight="1" s="981">
      <c r="A40" s="861" t="n">
        <v>35</v>
      </c>
      <c r="B40" s="862">
        <f>IFERROR(IF('📈 Cổ Phiếu VN 🔍'!$A$39="","",'📈 Cổ Phiếu VN 🔍'!$A$39),"")</f>
        <v/>
      </c>
      <c r="C40" s="862">
        <f>IFERROR('📈 Cổ Phiếu VN 🔍'!$B$39,"")</f>
        <v/>
      </c>
      <c r="D40" s="862">
        <f>IFERROR('📈 Cổ Phiếu VN 🔍'!$C$39,"")</f>
        <v/>
      </c>
      <c r="E40" s="862">
        <f>IFERROR('📈 Cổ Phiếu VN 🔍'!$E$39,0)</f>
        <v/>
      </c>
      <c r="F40" s="862">
        <f>IFERROR('📈 Cổ Phiếu VN 🔍'!$F$39,0)</f>
        <v/>
      </c>
      <c r="G40" s="862">
        <f>IFERROR('📈 Cổ Phiếu VN 🔍'!$G$39,0)</f>
        <v/>
      </c>
      <c r="H40" s="862">
        <f>IFERROR('📈 Cổ Phiếu VN 🔍'!$T$39,0)</f>
        <v/>
      </c>
      <c r="I40" s="863">
        <f>IFERROR(IF('📈 Cổ Phiếu VN 🔍'!$A$39="","",ROUND(3.25+6.56*0.15+3.26*('📈 Cổ Phiếu VN 🔍'!$G$39/100*0.5)+6.72*('📈 Cổ Phiếu VN 🔍'!$G$39/100)+1.05*(1/('📈 Cổ Phiếu VN 🔍'!$T$39+0.5)),2)),"")</f>
        <v/>
      </c>
      <c r="J40" s="863">
        <f>IFERROR(IF('📈 Cổ Phiếu VN 🔍'!$A$39="","",ROUND(-4.84+0.92*(1+0.5*'📈 Cổ Phiếu VN 🔍'!$J$39/100)+0.528*1.02+0.404*1.01+0.892*(1+'📈 Cổ Phiếu VN 🔍'!$J$39/100)+0.115*1.02,2)),"")</f>
        <v/>
      </c>
      <c r="K40" s="863">
        <f>IFERROR(IF('📈 Cổ Phiếu VN 🔍'!$A$39="","",(IF('📈 Cổ Phiếu VN 🔍'!$G$39&gt;0,1,0)+IF('📈 Cổ Phiếu VN 🔍'!$G$39&gt;5,1,0)+IF('📈 Cổ Phiếu VN 🔍'!$G$39&gt;10,1,0)+IF('📈 Cổ Phiếu VN 🔍'!$G$39&gt;15,1,0)+IF('📈 Cổ Phiếu VN 🔍'!$T$39&lt;3,1,0)+IF('📈 Cổ Phiếu VN 🔍'!$T$39&lt;5,1,0)+IF('📈 Cổ Phiếu VN 🔍'!$J$39&gt;0,1,0)+IF('📈 Cổ Phiếu VN 🔍'!$E$39&lt;20,1,0)+IF('📈 Cổ Phiếu VN 🔍'!$E$39&gt;0,1,0))),"")</f>
        <v/>
      </c>
      <c r="L40" s="863">
        <f>IFERROR(IF(I40="","",IF(OR(I40&lt;1.8,J40&gt;-1.78,K40&lt;5),"🔴 CỜ ĐỎ",IF(OR(I40&lt;2.99,J40&gt;-2.22,K40&lt;7),"🟡 Theo dõi","🟢 Sạch"))),"")</f>
        <v/>
      </c>
      <c r="M40" s="863">
        <f>IFERROR(IF(L40="🟢 Sạch","✅ ĐỦ ĐIỀU KIỆN MUA",IF(L40="🟡 Theo dõi","⚠️ Cần xác minh BCTC","❌ LOẠI KHỎI BỘ LỌC")),"")</f>
        <v/>
      </c>
      <c r="N40" s="863">
        <f>IFERROR(IF(M40="✅ ĐỦ ĐIỀU KIỆN MUA",ROUND((I40/3+K40/9-J40/5)*10,1),0),"")</f>
        <v/>
      </c>
    </row>
    <row r="41" ht="15" customHeight="1" s="981">
      <c r="A41" s="861" t="n">
        <v>36</v>
      </c>
      <c r="B41" s="862">
        <f>IFERROR(IF('📈 Cổ Phiếu VN 🔍'!$A$40="","",'📈 Cổ Phiếu VN 🔍'!$A$40),"")</f>
        <v/>
      </c>
      <c r="C41" s="862">
        <f>IFERROR('📈 Cổ Phiếu VN 🔍'!$B$40,"")</f>
        <v/>
      </c>
      <c r="D41" s="862">
        <f>IFERROR('📈 Cổ Phiếu VN 🔍'!$C$40,"")</f>
        <v/>
      </c>
      <c r="E41" s="862">
        <f>IFERROR('📈 Cổ Phiếu VN 🔍'!$E$40,0)</f>
        <v/>
      </c>
      <c r="F41" s="862">
        <f>IFERROR('📈 Cổ Phiếu VN 🔍'!$F$40,0)</f>
        <v/>
      </c>
      <c r="G41" s="862">
        <f>IFERROR('📈 Cổ Phiếu VN 🔍'!$G$40,0)</f>
        <v/>
      </c>
      <c r="H41" s="862">
        <f>IFERROR('📈 Cổ Phiếu VN 🔍'!$T$40,0)</f>
        <v/>
      </c>
      <c r="I41" s="863">
        <f>IFERROR(IF('📈 Cổ Phiếu VN 🔍'!$A$40="","",ROUND(3.25+6.56*0.15+3.26*('📈 Cổ Phiếu VN 🔍'!$G$40/100*0.5)+6.72*('📈 Cổ Phiếu VN 🔍'!$G$40/100)+1.05*(1/('📈 Cổ Phiếu VN 🔍'!$T$40+0.5)),2)),"")</f>
        <v/>
      </c>
      <c r="J41" s="863">
        <f>IFERROR(IF('📈 Cổ Phiếu VN 🔍'!$A$40="","",ROUND(-4.84+0.92*(1+0.5*'📈 Cổ Phiếu VN 🔍'!$J$40/100)+0.528*1.02+0.404*1.01+0.892*(1+'📈 Cổ Phiếu VN 🔍'!$J$40/100)+0.115*1.02,2)),"")</f>
        <v/>
      </c>
      <c r="K41" s="863">
        <f>IFERROR(IF('📈 Cổ Phiếu VN 🔍'!$A$40="","",(IF('📈 Cổ Phiếu VN 🔍'!$G$40&gt;0,1,0)+IF('📈 Cổ Phiếu VN 🔍'!$G$40&gt;5,1,0)+IF('📈 Cổ Phiếu VN 🔍'!$G$40&gt;10,1,0)+IF('📈 Cổ Phiếu VN 🔍'!$G$40&gt;15,1,0)+IF('📈 Cổ Phiếu VN 🔍'!$T$40&lt;3,1,0)+IF('📈 Cổ Phiếu VN 🔍'!$T$40&lt;5,1,0)+IF('📈 Cổ Phiếu VN 🔍'!$J$40&gt;0,1,0)+IF('📈 Cổ Phiếu VN 🔍'!$E$40&lt;20,1,0)+IF('📈 Cổ Phiếu VN 🔍'!$E$40&gt;0,1,0))),"")</f>
        <v/>
      </c>
      <c r="L41" s="863">
        <f>IFERROR(IF(I41="","",IF(OR(I41&lt;1.8,J41&gt;-1.78,K41&lt;5),"🔴 CỜ ĐỎ",IF(OR(I41&lt;2.99,J41&gt;-2.22,K41&lt;7),"🟡 Theo dõi","🟢 Sạch"))),"")</f>
        <v/>
      </c>
      <c r="M41" s="863">
        <f>IFERROR(IF(L41="🟢 Sạch","✅ ĐỦ ĐIỀU KIỆN MUA",IF(L41="🟡 Theo dõi","⚠️ Cần xác minh BCTC","❌ LOẠI KHỎI BỘ LỌC")),"")</f>
        <v/>
      </c>
      <c r="N41" s="863">
        <f>IFERROR(IF(M41="✅ ĐỦ ĐIỀU KIỆN MUA",ROUND((I41/3+K41/9-J41/5)*10,1),0),"")</f>
        <v/>
      </c>
    </row>
    <row r="42" ht="15" customHeight="1" s="981">
      <c r="A42" s="861" t="n">
        <v>37</v>
      </c>
      <c r="B42" s="862">
        <f>IFERROR(IF('📈 Cổ Phiếu VN 🔍'!$A$41="","",'📈 Cổ Phiếu VN 🔍'!$A$41),"")</f>
        <v/>
      </c>
      <c r="C42" s="862">
        <f>IFERROR('📈 Cổ Phiếu VN 🔍'!$B$41,"")</f>
        <v/>
      </c>
      <c r="D42" s="862">
        <f>IFERROR('📈 Cổ Phiếu VN 🔍'!$C$41,"")</f>
        <v/>
      </c>
      <c r="E42" s="862">
        <f>IFERROR('📈 Cổ Phiếu VN 🔍'!$E$41,0)</f>
        <v/>
      </c>
      <c r="F42" s="862">
        <f>IFERROR('📈 Cổ Phiếu VN 🔍'!$F$41,0)</f>
        <v/>
      </c>
      <c r="G42" s="862">
        <f>IFERROR('📈 Cổ Phiếu VN 🔍'!$G$41,0)</f>
        <v/>
      </c>
      <c r="H42" s="862">
        <f>IFERROR('📈 Cổ Phiếu VN 🔍'!$T$41,0)</f>
        <v/>
      </c>
      <c r="I42" s="863">
        <f>IFERROR(IF('📈 Cổ Phiếu VN 🔍'!$A$41="","",ROUND(3.25+6.56*0.15+3.26*('📈 Cổ Phiếu VN 🔍'!$G$41/100*0.5)+6.72*('📈 Cổ Phiếu VN 🔍'!$G$41/100)+1.05*(1/('📈 Cổ Phiếu VN 🔍'!$T$41+0.5)),2)),"")</f>
        <v/>
      </c>
      <c r="J42" s="863">
        <f>IFERROR(IF('📈 Cổ Phiếu VN 🔍'!$A$41="","",ROUND(-4.84+0.92*(1+0.5*'📈 Cổ Phiếu VN 🔍'!$J$41/100)+0.528*1.02+0.404*1.01+0.892*(1+'📈 Cổ Phiếu VN 🔍'!$J$41/100)+0.115*1.02,2)),"")</f>
        <v/>
      </c>
      <c r="K42" s="863">
        <f>IFERROR(IF('📈 Cổ Phiếu VN 🔍'!$A$41="","",(IF('📈 Cổ Phiếu VN 🔍'!$G$41&gt;0,1,0)+IF('📈 Cổ Phiếu VN 🔍'!$G$41&gt;5,1,0)+IF('📈 Cổ Phiếu VN 🔍'!$G$41&gt;10,1,0)+IF('📈 Cổ Phiếu VN 🔍'!$G$41&gt;15,1,0)+IF('📈 Cổ Phiếu VN 🔍'!$T$41&lt;3,1,0)+IF('📈 Cổ Phiếu VN 🔍'!$T$41&lt;5,1,0)+IF('📈 Cổ Phiếu VN 🔍'!$J$41&gt;0,1,0)+IF('📈 Cổ Phiếu VN 🔍'!$E$41&lt;20,1,0)+IF('📈 Cổ Phiếu VN 🔍'!$E$41&gt;0,1,0))),"")</f>
        <v/>
      </c>
      <c r="L42" s="863">
        <f>IFERROR(IF(I42="","",IF(OR(I42&lt;1.8,J42&gt;-1.78,K42&lt;5),"🔴 CỜ ĐỎ",IF(OR(I42&lt;2.99,J42&gt;-2.22,K42&lt;7),"🟡 Theo dõi","🟢 Sạch"))),"")</f>
        <v/>
      </c>
      <c r="M42" s="863">
        <f>IFERROR(IF(L42="🟢 Sạch","✅ ĐỦ ĐIỀU KIỆN MUA",IF(L42="🟡 Theo dõi","⚠️ Cần xác minh BCTC","❌ LOẠI KHỎI BỘ LỌC")),"")</f>
        <v/>
      </c>
      <c r="N42" s="863">
        <f>IFERROR(IF(M42="✅ ĐỦ ĐIỀU KIỆN MUA",ROUND((I42/3+K42/9-J42/5)*10,1),0),"")</f>
        <v/>
      </c>
    </row>
    <row r="43" ht="15" customHeight="1" s="981">
      <c r="A43" s="861" t="n">
        <v>38</v>
      </c>
      <c r="B43" s="862">
        <f>IFERROR(IF('📈 Cổ Phiếu VN 🔍'!$A$42="","",'📈 Cổ Phiếu VN 🔍'!$A$42),"")</f>
        <v/>
      </c>
      <c r="C43" s="862">
        <f>IFERROR('📈 Cổ Phiếu VN 🔍'!$B$42,"")</f>
        <v/>
      </c>
      <c r="D43" s="862">
        <f>IFERROR('📈 Cổ Phiếu VN 🔍'!$C$42,"")</f>
        <v/>
      </c>
      <c r="E43" s="862">
        <f>IFERROR('📈 Cổ Phiếu VN 🔍'!$E$42,0)</f>
        <v/>
      </c>
      <c r="F43" s="862">
        <f>IFERROR('📈 Cổ Phiếu VN 🔍'!$F$42,0)</f>
        <v/>
      </c>
      <c r="G43" s="862">
        <f>IFERROR('📈 Cổ Phiếu VN 🔍'!$G$42,0)</f>
        <v/>
      </c>
      <c r="H43" s="862">
        <f>IFERROR('📈 Cổ Phiếu VN 🔍'!$T$42,0)</f>
        <v/>
      </c>
      <c r="I43" s="863">
        <f>IFERROR(IF('📈 Cổ Phiếu VN 🔍'!$A$42="","",ROUND(3.25+6.56*0.15+3.26*('📈 Cổ Phiếu VN 🔍'!$G$42/100*0.5)+6.72*('📈 Cổ Phiếu VN 🔍'!$G$42/100)+1.05*(1/('📈 Cổ Phiếu VN 🔍'!$T$42+0.5)),2)),"")</f>
        <v/>
      </c>
      <c r="J43" s="863">
        <f>IFERROR(IF('📈 Cổ Phiếu VN 🔍'!$A$42="","",ROUND(-4.84+0.92*(1+0.5*'📈 Cổ Phiếu VN 🔍'!$J$42/100)+0.528*1.02+0.404*1.01+0.892*(1+'📈 Cổ Phiếu VN 🔍'!$J$42/100)+0.115*1.02,2)),"")</f>
        <v/>
      </c>
      <c r="K43" s="863">
        <f>IFERROR(IF('📈 Cổ Phiếu VN 🔍'!$A$42="","",(IF('📈 Cổ Phiếu VN 🔍'!$G$42&gt;0,1,0)+IF('📈 Cổ Phiếu VN 🔍'!$G$42&gt;5,1,0)+IF('📈 Cổ Phiếu VN 🔍'!$G$42&gt;10,1,0)+IF('📈 Cổ Phiếu VN 🔍'!$G$42&gt;15,1,0)+IF('📈 Cổ Phiếu VN 🔍'!$T$42&lt;3,1,0)+IF('📈 Cổ Phiếu VN 🔍'!$T$42&lt;5,1,0)+IF('📈 Cổ Phiếu VN 🔍'!$J$42&gt;0,1,0)+IF('📈 Cổ Phiếu VN 🔍'!$E$42&lt;20,1,0)+IF('📈 Cổ Phiếu VN 🔍'!$E$42&gt;0,1,0))),"")</f>
        <v/>
      </c>
      <c r="L43" s="863">
        <f>IFERROR(IF(I43="","",IF(OR(I43&lt;1.8,J43&gt;-1.78,K43&lt;5),"🔴 CỜ ĐỎ",IF(OR(I43&lt;2.99,J43&gt;-2.22,K43&lt;7),"🟡 Theo dõi","🟢 Sạch"))),"")</f>
        <v/>
      </c>
      <c r="M43" s="863">
        <f>IFERROR(IF(L43="🟢 Sạch","✅ ĐỦ ĐIỀU KIỆN MUA",IF(L43="🟡 Theo dõi","⚠️ Cần xác minh BCTC","❌ LOẠI KHỎI BỘ LỌC")),"")</f>
        <v/>
      </c>
      <c r="N43" s="863">
        <f>IFERROR(IF(M43="✅ ĐỦ ĐIỀU KIỆN MUA",ROUND((I43/3+K43/9-J43/5)*10,1),0),"")</f>
        <v/>
      </c>
    </row>
    <row r="44" ht="15" customHeight="1" s="981">
      <c r="A44" s="861" t="n">
        <v>39</v>
      </c>
      <c r="B44" s="862">
        <f>IFERROR(IF('📈 Cổ Phiếu VN 🔍'!$A$43="","",'📈 Cổ Phiếu VN 🔍'!$A$43),"")</f>
        <v/>
      </c>
      <c r="C44" s="862">
        <f>IFERROR('📈 Cổ Phiếu VN 🔍'!$B$43,"")</f>
        <v/>
      </c>
      <c r="D44" s="862">
        <f>IFERROR('📈 Cổ Phiếu VN 🔍'!$C$43,"")</f>
        <v/>
      </c>
      <c r="E44" s="862">
        <f>IFERROR('📈 Cổ Phiếu VN 🔍'!$E$43,0)</f>
        <v/>
      </c>
      <c r="F44" s="862">
        <f>IFERROR('📈 Cổ Phiếu VN 🔍'!$F$43,0)</f>
        <v/>
      </c>
      <c r="G44" s="862">
        <f>IFERROR('📈 Cổ Phiếu VN 🔍'!$G$43,0)</f>
        <v/>
      </c>
      <c r="H44" s="862">
        <f>IFERROR('📈 Cổ Phiếu VN 🔍'!$T$43,0)</f>
        <v/>
      </c>
      <c r="I44" s="863">
        <f>IFERROR(IF('📈 Cổ Phiếu VN 🔍'!$A$43="","",ROUND(3.25+6.56*0.15+3.26*('📈 Cổ Phiếu VN 🔍'!$G$43/100*0.5)+6.72*('📈 Cổ Phiếu VN 🔍'!$G$43/100)+1.05*(1/('📈 Cổ Phiếu VN 🔍'!$T$43+0.5)),2)),"")</f>
        <v/>
      </c>
      <c r="J44" s="863">
        <f>IFERROR(IF('📈 Cổ Phiếu VN 🔍'!$A$43="","",ROUND(-4.84+0.92*(1+0.5*'📈 Cổ Phiếu VN 🔍'!$J$43/100)+0.528*1.02+0.404*1.01+0.892*(1+'📈 Cổ Phiếu VN 🔍'!$J$43/100)+0.115*1.02,2)),"")</f>
        <v/>
      </c>
      <c r="K44" s="863">
        <f>IFERROR(IF('📈 Cổ Phiếu VN 🔍'!$A$43="","",(IF('📈 Cổ Phiếu VN 🔍'!$G$43&gt;0,1,0)+IF('📈 Cổ Phiếu VN 🔍'!$G$43&gt;5,1,0)+IF('📈 Cổ Phiếu VN 🔍'!$G$43&gt;10,1,0)+IF('📈 Cổ Phiếu VN 🔍'!$G$43&gt;15,1,0)+IF('📈 Cổ Phiếu VN 🔍'!$T$43&lt;3,1,0)+IF('📈 Cổ Phiếu VN 🔍'!$T$43&lt;5,1,0)+IF('📈 Cổ Phiếu VN 🔍'!$J$43&gt;0,1,0)+IF('📈 Cổ Phiếu VN 🔍'!$E$43&lt;20,1,0)+IF('📈 Cổ Phiếu VN 🔍'!$E$43&gt;0,1,0))),"")</f>
        <v/>
      </c>
      <c r="L44" s="863">
        <f>IFERROR(IF(I44="","",IF(OR(I44&lt;1.8,J44&gt;-1.78,K44&lt;5),"🔴 CỜ ĐỎ",IF(OR(I44&lt;2.99,J44&gt;-2.22,K44&lt;7),"🟡 Theo dõi","🟢 Sạch"))),"")</f>
        <v/>
      </c>
      <c r="M44" s="863">
        <f>IFERROR(IF(L44="🟢 Sạch","✅ ĐỦ ĐIỀU KIỆN MUA",IF(L44="🟡 Theo dõi","⚠️ Cần xác minh BCTC","❌ LOẠI KHỎI BỘ LỌC")),"")</f>
        <v/>
      </c>
      <c r="N44" s="863">
        <f>IFERROR(IF(M44="✅ ĐỦ ĐIỀU KIỆN MUA",ROUND((I44/3+K44/9-J44/5)*10,1),0),"")</f>
        <v/>
      </c>
    </row>
    <row r="45" ht="15" customHeight="1" s="981">
      <c r="A45" s="861" t="n">
        <v>40</v>
      </c>
      <c r="B45" s="862">
        <f>IFERROR(IF('📈 Cổ Phiếu VN 🔍'!$A$44="","",'📈 Cổ Phiếu VN 🔍'!$A$44),"")</f>
        <v/>
      </c>
      <c r="C45" s="862">
        <f>IFERROR('📈 Cổ Phiếu VN 🔍'!$B$44,"")</f>
        <v/>
      </c>
      <c r="D45" s="862">
        <f>IFERROR('📈 Cổ Phiếu VN 🔍'!$C$44,"")</f>
        <v/>
      </c>
      <c r="E45" s="862">
        <f>IFERROR('📈 Cổ Phiếu VN 🔍'!$E$44,0)</f>
        <v/>
      </c>
      <c r="F45" s="862">
        <f>IFERROR('📈 Cổ Phiếu VN 🔍'!$F$44,0)</f>
        <v/>
      </c>
      <c r="G45" s="862">
        <f>IFERROR('📈 Cổ Phiếu VN 🔍'!$G$44,0)</f>
        <v/>
      </c>
      <c r="H45" s="862">
        <f>IFERROR('📈 Cổ Phiếu VN 🔍'!$T$44,0)</f>
        <v/>
      </c>
      <c r="I45" s="863">
        <f>IFERROR(IF('📈 Cổ Phiếu VN 🔍'!$A$44="","",ROUND(3.25+6.56*0.15+3.26*('📈 Cổ Phiếu VN 🔍'!$G$44/100*0.5)+6.72*('📈 Cổ Phiếu VN 🔍'!$G$44/100)+1.05*(1/('📈 Cổ Phiếu VN 🔍'!$T$44+0.5)),2)),"")</f>
        <v/>
      </c>
      <c r="J45" s="863">
        <f>IFERROR(IF('📈 Cổ Phiếu VN 🔍'!$A$44="","",ROUND(-4.84+0.92*(1+0.5*'📈 Cổ Phiếu VN 🔍'!$J$44/100)+0.528*1.02+0.404*1.01+0.892*(1+'📈 Cổ Phiếu VN 🔍'!$J$44/100)+0.115*1.02,2)),"")</f>
        <v/>
      </c>
      <c r="K45" s="863">
        <f>IFERROR(IF('📈 Cổ Phiếu VN 🔍'!$A$44="","",(IF('📈 Cổ Phiếu VN 🔍'!$G$44&gt;0,1,0)+IF('📈 Cổ Phiếu VN 🔍'!$G$44&gt;5,1,0)+IF('📈 Cổ Phiếu VN 🔍'!$G$44&gt;10,1,0)+IF('📈 Cổ Phiếu VN 🔍'!$G$44&gt;15,1,0)+IF('📈 Cổ Phiếu VN 🔍'!$T$44&lt;3,1,0)+IF('📈 Cổ Phiếu VN 🔍'!$T$44&lt;5,1,0)+IF('📈 Cổ Phiếu VN 🔍'!$J$44&gt;0,1,0)+IF('📈 Cổ Phiếu VN 🔍'!$E$44&lt;20,1,0)+IF('📈 Cổ Phiếu VN 🔍'!$E$44&gt;0,1,0))),"")</f>
        <v/>
      </c>
      <c r="L45" s="863">
        <f>IFERROR(IF(I45="","",IF(OR(I45&lt;1.8,J45&gt;-1.78,K45&lt;5),"🔴 CỜ ĐỎ",IF(OR(I45&lt;2.99,J45&gt;-2.22,K45&lt;7),"🟡 Theo dõi","🟢 Sạch"))),"")</f>
        <v/>
      </c>
      <c r="M45" s="863">
        <f>IFERROR(IF(L45="🟢 Sạch","✅ ĐỦ ĐIỀU KIỆN MUA",IF(L45="🟡 Theo dõi","⚠️ Cần xác minh BCTC","❌ LOẠI KHỎI BỘ LỌC")),"")</f>
        <v/>
      </c>
      <c r="N45" s="863">
        <f>IFERROR(IF(M45="✅ ĐỦ ĐIỀU KIỆN MUA",ROUND((I45/3+K45/9-J45/5)*10,1),0),"")</f>
        <v/>
      </c>
    </row>
    <row r="46" ht="15" customHeight="1" s="981">
      <c r="A46" s="861" t="n">
        <v>41</v>
      </c>
      <c r="B46" s="862">
        <f>IFERROR(IF('📈 Cổ Phiếu VN 🔍'!$A$45="","",'📈 Cổ Phiếu VN 🔍'!$A$45),"")</f>
        <v/>
      </c>
      <c r="C46" s="862">
        <f>IFERROR('📈 Cổ Phiếu VN 🔍'!$B$45,"")</f>
        <v/>
      </c>
      <c r="D46" s="862">
        <f>IFERROR('📈 Cổ Phiếu VN 🔍'!$C$45,"")</f>
        <v/>
      </c>
      <c r="E46" s="862">
        <f>IFERROR('📈 Cổ Phiếu VN 🔍'!$E$45,0)</f>
        <v/>
      </c>
      <c r="F46" s="862">
        <f>IFERROR('📈 Cổ Phiếu VN 🔍'!$F$45,0)</f>
        <v/>
      </c>
      <c r="G46" s="862">
        <f>IFERROR('📈 Cổ Phiếu VN 🔍'!$G$45,0)</f>
        <v/>
      </c>
      <c r="H46" s="862">
        <f>IFERROR('📈 Cổ Phiếu VN 🔍'!$T$45,0)</f>
        <v/>
      </c>
      <c r="I46" s="863">
        <f>IFERROR(IF('📈 Cổ Phiếu VN 🔍'!$A$45="","",ROUND(3.25+6.56*0.15+3.26*('📈 Cổ Phiếu VN 🔍'!$G$45/100*0.5)+6.72*('📈 Cổ Phiếu VN 🔍'!$G$45/100)+1.05*(1/('📈 Cổ Phiếu VN 🔍'!$T$45+0.5)),2)),"")</f>
        <v/>
      </c>
      <c r="J46" s="863">
        <f>IFERROR(IF('📈 Cổ Phiếu VN 🔍'!$A$45="","",ROUND(-4.84+0.92*(1+0.5*'📈 Cổ Phiếu VN 🔍'!$J$45/100)+0.528*1.02+0.404*1.01+0.892*(1+'📈 Cổ Phiếu VN 🔍'!$J$45/100)+0.115*1.02,2)),"")</f>
        <v/>
      </c>
      <c r="K46" s="863">
        <f>IFERROR(IF('📈 Cổ Phiếu VN 🔍'!$A$45="","",(IF('📈 Cổ Phiếu VN 🔍'!$G$45&gt;0,1,0)+IF('📈 Cổ Phiếu VN 🔍'!$G$45&gt;5,1,0)+IF('📈 Cổ Phiếu VN 🔍'!$G$45&gt;10,1,0)+IF('📈 Cổ Phiếu VN 🔍'!$G$45&gt;15,1,0)+IF('📈 Cổ Phiếu VN 🔍'!$T$45&lt;3,1,0)+IF('📈 Cổ Phiếu VN 🔍'!$T$45&lt;5,1,0)+IF('📈 Cổ Phiếu VN 🔍'!$J$45&gt;0,1,0)+IF('📈 Cổ Phiếu VN 🔍'!$E$45&lt;20,1,0)+IF('📈 Cổ Phiếu VN 🔍'!$E$45&gt;0,1,0))),"")</f>
        <v/>
      </c>
      <c r="L46" s="863">
        <f>IFERROR(IF(I46="","",IF(OR(I46&lt;1.8,J46&gt;-1.78,K46&lt;5),"🔴 CỜ ĐỎ",IF(OR(I46&lt;2.99,J46&gt;-2.22,K46&lt;7),"🟡 Theo dõi","🟢 Sạch"))),"")</f>
        <v/>
      </c>
      <c r="M46" s="863">
        <f>IFERROR(IF(L46="🟢 Sạch","✅ ĐỦ ĐIỀU KIỆN MUA",IF(L46="🟡 Theo dõi","⚠️ Cần xác minh BCTC","❌ LOẠI KHỎI BỘ LỌC")),"")</f>
        <v/>
      </c>
      <c r="N46" s="863">
        <f>IFERROR(IF(M46="✅ ĐỦ ĐIỀU KIỆN MUA",ROUND((I46/3+K46/9-J46/5)*10,1),0),"")</f>
        <v/>
      </c>
    </row>
    <row r="47" ht="15" customHeight="1" s="981">
      <c r="A47" s="861" t="n">
        <v>42</v>
      </c>
      <c r="B47" s="862">
        <f>IFERROR(IF('📈 Cổ Phiếu VN 🔍'!$A$46="","",'📈 Cổ Phiếu VN 🔍'!$A$46),"")</f>
        <v/>
      </c>
      <c r="C47" s="862">
        <f>IFERROR('📈 Cổ Phiếu VN 🔍'!$B$46,"")</f>
        <v/>
      </c>
      <c r="D47" s="862">
        <f>IFERROR('📈 Cổ Phiếu VN 🔍'!$C$46,"")</f>
        <v/>
      </c>
      <c r="E47" s="862">
        <f>IFERROR('📈 Cổ Phiếu VN 🔍'!$E$46,0)</f>
        <v/>
      </c>
      <c r="F47" s="862">
        <f>IFERROR('📈 Cổ Phiếu VN 🔍'!$F$46,0)</f>
        <v/>
      </c>
      <c r="G47" s="862">
        <f>IFERROR('📈 Cổ Phiếu VN 🔍'!$G$46,0)</f>
        <v/>
      </c>
      <c r="H47" s="862">
        <f>IFERROR('📈 Cổ Phiếu VN 🔍'!$T$46,0)</f>
        <v/>
      </c>
      <c r="I47" s="863">
        <f>IFERROR(IF('📈 Cổ Phiếu VN 🔍'!$A$46="","",ROUND(3.25+6.56*0.15+3.26*('📈 Cổ Phiếu VN 🔍'!$G$46/100*0.5)+6.72*('📈 Cổ Phiếu VN 🔍'!$G$46/100)+1.05*(1/('📈 Cổ Phiếu VN 🔍'!$T$46+0.5)),2)),"")</f>
        <v/>
      </c>
      <c r="J47" s="863">
        <f>IFERROR(IF('📈 Cổ Phiếu VN 🔍'!$A$46="","",ROUND(-4.84+0.92*(1+0.5*'📈 Cổ Phiếu VN 🔍'!$J$46/100)+0.528*1.02+0.404*1.01+0.892*(1+'📈 Cổ Phiếu VN 🔍'!$J$46/100)+0.115*1.02,2)),"")</f>
        <v/>
      </c>
      <c r="K47" s="863">
        <f>IFERROR(IF('📈 Cổ Phiếu VN 🔍'!$A$46="","",(IF('📈 Cổ Phiếu VN 🔍'!$G$46&gt;0,1,0)+IF('📈 Cổ Phiếu VN 🔍'!$G$46&gt;5,1,0)+IF('📈 Cổ Phiếu VN 🔍'!$G$46&gt;10,1,0)+IF('📈 Cổ Phiếu VN 🔍'!$G$46&gt;15,1,0)+IF('📈 Cổ Phiếu VN 🔍'!$T$46&lt;3,1,0)+IF('📈 Cổ Phiếu VN 🔍'!$T$46&lt;5,1,0)+IF('📈 Cổ Phiếu VN 🔍'!$J$46&gt;0,1,0)+IF('📈 Cổ Phiếu VN 🔍'!$E$46&lt;20,1,0)+IF('📈 Cổ Phiếu VN 🔍'!$E$46&gt;0,1,0))),"")</f>
        <v/>
      </c>
      <c r="L47" s="863">
        <f>IFERROR(IF(I47="","",IF(OR(I47&lt;1.8,J47&gt;-1.78,K47&lt;5),"🔴 CỜ ĐỎ",IF(OR(I47&lt;2.99,J47&gt;-2.22,K47&lt;7),"🟡 Theo dõi","🟢 Sạch"))),"")</f>
        <v/>
      </c>
      <c r="M47" s="863">
        <f>IFERROR(IF(L47="🟢 Sạch","✅ ĐỦ ĐIỀU KIỆN MUA",IF(L47="🟡 Theo dõi","⚠️ Cần xác minh BCTC","❌ LOẠI KHỎI BỘ LỌC")),"")</f>
        <v/>
      </c>
      <c r="N47" s="863">
        <f>IFERROR(IF(M47="✅ ĐỦ ĐIỀU KIỆN MUA",ROUND((I47/3+K47/9-J47/5)*10,1),0),"")</f>
        <v/>
      </c>
    </row>
    <row r="48" ht="15" customHeight="1" s="981">
      <c r="A48" s="861" t="n">
        <v>43</v>
      </c>
      <c r="B48" s="862">
        <f>IFERROR(IF('📈 Cổ Phiếu VN 🔍'!$A$47="","",'📈 Cổ Phiếu VN 🔍'!$A$47),"")</f>
        <v/>
      </c>
      <c r="C48" s="862">
        <f>IFERROR('📈 Cổ Phiếu VN 🔍'!$B$47,"")</f>
        <v/>
      </c>
      <c r="D48" s="862">
        <f>IFERROR('📈 Cổ Phiếu VN 🔍'!$C$47,"")</f>
        <v/>
      </c>
      <c r="E48" s="862">
        <f>IFERROR('📈 Cổ Phiếu VN 🔍'!$E$47,0)</f>
        <v/>
      </c>
      <c r="F48" s="862">
        <f>IFERROR('📈 Cổ Phiếu VN 🔍'!$F$47,0)</f>
        <v/>
      </c>
      <c r="G48" s="862">
        <f>IFERROR('📈 Cổ Phiếu VN 🔍'!$G$47,0)</f>
        <v/>
      </c>
      <c r="H48" s="862">
        <f>IFERROR('📈 Cổ Phiếu VN 🔍'!$T$47,0)</f>
        <v/>
      </c>
      <c r="I48" s="863">
        <f>IFERROR(IF('📈 Cổ Phiếu VN 🔍'!$A$47="","",ROUND(3.25+6.56*0.15+3.26*('📈 Cổ Phiếu VN 🔍'!$G$47/100*0.5)+6.72*('📈 Cổ Phiếu VN 🔍'!$G$47/100)+1.05*(1/('📈 Cổ Phiếu VN 🔍'!$T$47+0.5)),2)),"")</f>
        <v/>
      </c>
      <c r="J48" s="863">
        <f>IFERROR(IF('📈 Cổ Phiếu VN 🔍'!$A$47="","",ROUND(-4.84+0.92*(1+0.5*'📈 Cổ Phiếu VN 🔍'!$J$47/100)+0.528*1.02+0.404*1.01+0.892*(1+'📈 Cổ Phiếu VN 🔍'!$J$47/100)+0.115*1.02,2)),"")</f>
        <v/>
      </c>
      <c r="K48" s="863">
        <f>IFERROR(IF('📈 Cổ Phiếu VN 🔍'!$A$47="","",(IF('📈 Cổ Phiếu VN 🔍'!$G$47&gt;0,1,0)+IF('📈 Cổ Phiếu VN 🔍'!$G$47&gt;5,1,0)+IF('📈 Cổ Phiếu VN 🔍'!$G$47&gt;10,1,0)+IF('📈 Cổ Phiếu VN 🔍'!$G$47&gt;15,1,0)+IF('📈 Cổ Phiếu VN 🔍'!$T$47&lt;3,1,0)+IF('📈 Cổ Phiếu VN 🔍'!$T$47&lt;5,1,0)+IF('📈 Cổ Phiếu VN 🔍'!$J$47&gt;0,1,0)+IF('📈 Cổ Phiếu VN 🔍'!$E$47&lt;20,1,0)+IF('📈 Cổ Phiếu VN 🔍'!$E$47&gt;0,1,0))),"")</f>
        <v/>
      </c>
      <c r="L48" s="863">
        <f>IFERROR(IF(I48="","",IF(OR(I48&lt;1.8,J48&gt;-1.78,K48&lt;5),"🔴 CỜ ĐỎ",IF(OR(I48&lt;2.99,J48&gt;-2.22,K48&lt;7),"🟡 Theo dõi","🟢 Sạch"))),"")</f>
        <v/>
      </c>
      <c r="M48" s="863">
        <f>IFERROR(IF(L48="🟢 Sạch","✅ ĐỦ ĐIỀU KIỆN MUA",IF(L48="🟡 Theo dõi","⚠️ Cần xác minh BCTC","❌ LOẠI KHỎI BỘ LỌC")),"")</f>
        <v/>
      </c>
      <c r="N48" s="863">
        <f>IFERROR(IF(M48="✅ ĐỦ ĐIỀU KIỆN MUA",ROUND((I48/3+K48/9-J48/5)*10,1),0),"")</f>
        <v/>
      </c>
    </row>
    <row r="49" ht="15" customHeight="1" s="981">
      <c r="A49" s="861" t="n">
        <v>44</v>
      </c>
      <c r="B49" s="862">
        <f>IFERROR(IF('📈 Cổ Phiếu VN 🔍'!$A$48="","",'📈 Cổ Phiếu VN 🔍'!$A$48),"")</f>
        <v/>
      </c>
      <c r="C49" s="862">
        <f>IFERROR('📈 Cổ Phiếu VN 🔍'!$B$48,"")</f>
        <v/>
      </c>
      <c r="D49" s="862">
        <f>IFERROR('📈 Cổ Phiếu VN 🔍'!$C$48,"")</f>
        <v/>
      </c>
      <c r="E49" s="862">
        <f>IFERROR('📈 Cổ Phiếu VN 🔍'!$E$48,0)</f>
        <v/>
      </c>
      <c r="F49" s="862">
        <f>IFERROR('📈 Cổ Phiếu VN 🔍'!$F$48,0)</f>
        <v/>
      </c>
      <c r="G49" s="862">
        <f>IFERROR('📈 Cổ Phiếu VN 🔍'!$G$48,0)</f>
        <v/>
      </c>
      <c r="H49" s="862">
        <f>IFERROR('📈 Cổ Phiếu VN 🔍'!$T$48,0)</f>
        <v/>
      </c>
      <c r="I49" s="863">
        <f>IFERROR(IF('📈 Cổ Phiếu VN 🔍'!$A$48="","",ROUND(3.25+6.56*0.15+3.26*('📈 Cổ Phiếu VN 🔍'!$G$48/100*0.5)+6.72*('📈 Cổ Phiếu VN 🔍'!$G$48/100)+1.05*(1/('📈 Cổ Phiếu VN 🔍'!$T$48+0.5)),2)),"")</f>
        <v/>
      </c>
      <c r="J49" s="863">
        <f>IFERROR(IF('📈 Cổ Phiếu VN 🔍'!$A$48="","",ROUND(-4.84+0.92*(1+0.5*'📈 Cổ Phiếu VN 🔍'!$J$48/100)+0.528*1.02+0.404*1.01+0.892*(1+'📈 Cổ Phiếu VN 🔍'!$J$48/100)+0.115*1.02,2)),"")</f>
        <v/>
      </c>
      <c r="K49" s="863">
        <f>IFERROR(IF('📈 Cổ Phiếu VN 🔍'!$A$48="","",(IF('📈 Cổ Phiếu VN 🔍'!$G$48&gt;0,1,0)+IF('📈 Cổ Phiếu VN 🔍'!$G$48&gt;5,1,0)+IF('📈 Cổ Phiếu VN 🔍'!$G$48&gt;10,1,0)+IF('📈 Cổ Phiếu VN 🔍'!$G$48&gt;15,1,0)+IF('📈 Cổ Phiếu VN 🔍'!$T$48&lt;3,1,0)+IF('📈 Cổ Phiếu VN 🔍'!$T$48&lt;5,1,0)+IF('📈 Cổ Phiếu VN 🔍'!$J$48&gt;0,1,0)+IF('📈 Cổ Phiếu VN 🔍'!$E$48&lt;20,1,0)+IF('📈 Cổ Phiếu VN 🔍'!$E$48&gt;0,1,0))),"")</f>
        <v/>
      </c>
      <c r="L49" s="863">
        <f>IFERROR(IF(I49="","",IF(OR(I49&lt;1.8,J49&gt;-1.78,K49&lt;5),"🔴 CỜ ĐỎ",IF(OR(I49&lt;2.99,J49&gt;-2.22,K49&lt;7),"🟡 Theo dõi","🟢 Sạch"))),"")</f>
        <v/>
      </c>
      <c r="M49" s="863">
        <f>IFERROR(IF(L49="🟢 Sạch","✅ ĐỦ ĐIỀU KIỆN MUA",IF(L49="🟡 Theo dõi","⚠️ Cần xác minh BCTC","❌ LOẠI KHỎI BỘ LỌC")),"")</f>
        <v/>
      </c>
      <c r="N49" s="863">
        <f>IFERROR(IF(M49="✅ ĐỦ ĐIỀU KIỆN MUA",ROUND((I49/3+K49/9-J49/5)*10,1),0),"")</f>
        <v/>
      </c>
    </row>
    <row r="50" ht="15" customHeight="1" s="981">
      <c r="A50" s="861" t="n">
        <v>45</v>
      </c>
      <c r="B50" s="862">
        <f>IFERROR(IF('📈 Cổ Phiếu VN 🔍'!$A$49="","",'📈 Cổ Phiếu VN 🔍'!$A$49),"")</f>
        <v/>
      </c>
      <c r="C50" s="862">
        <f>IFERROR('📈 Cổ Phiếu VN 🔍'!$B$49,"")</f>
        <v/>
      </c>
      <c r="D50" s="862">
        <f>IFERROR('📈 Cổ Phiếu VN 🔍'!$C$49,"")</f>
        <v/>
      </c>
      <c r="E50" s="862">
        <f>IFERROR('📈 Cổ Phiếu VN 🔍'!$E$49,0)</f>
        <v/>
      </c>
      <c r="F50" s="862">
        <f>IFERROR('📈 Cổ Phiếu VN 🔍'!$F$49,0)</f>
        <v/>
      </c>
      <c r="G50" s="862">
        <f>IFERROR('📈 Cổ Phiếu VN 🔍'!$G$49,0)</f>
        <v/>
      </c>
      <c r="H50" s="862">
        <f>IFERROR('📈 Cổ Phiếu VN 🔍'!$T$49,0)</f>
        <v/>
      </c>
      <c r="I50" s="863">
        <f>IFERROR(IF('📈 Cổ Phiếu VN 🔍'!$A$49="","",ROUND(3.25+6.56*0.15+3.26*('📈 Cổ Phiếu VN 🔍'!$G$49/100*0.5)+6.72*('📈 Cổ Phiếu VN 🔍'!$G$49/100)+1.05*(1/('📈 Cổ Phiếu VN 🔍'!$T$49+0.5)),2)),"")</f>
        <v/>
      </c>
      <c r="J50" s="863">
        <f>IFERROR(IF('📈 Cổ Phiếu VN 🔍'!$A$49="","",ROUND(-4.84+0.92*(1+0.5*'📈 Cổ Phiếu VN 🔍'!$J$49/100)+0.528*1.02+0.404*1.01+0.892*(1+'📈 Cổ Phiếu VN 🔍'!$J$49/100)+0.115*1.02,2)),"")</f>
        <v/>
      </c>
      <c r="K50" s="863">
        <f>IFERROR(IF('📈 Cổ Phiếu VN 🔍'!$A$49="","",(IF('📈 Cổ Phiếu VN 🔍'!$G$49&gt;0,1,0)+IF('📈 Cổ Phiếu VN 🔍'!$G$49&gt;5,1,0)+IF('📈 Cổ Phiếu VN 🔍'!$G$49&gt;10,1,0)+IF('📈 Cổ Phiếu VN 🔍'!$G$49&gt;15,1,0)+IF('📈 Cổ Phiếu VN 🔍'!$T$49&lt;3,1,0)+IF('📈 Cổ Phiếu VN 🔍'!$T$49&lt;5,1,0)+IF('📈 Cổ Phiếu VN 🔍'!$J$49&gt;0,1,0)+IF('📈 Cổ Phiếu VN 🔍'!$E$49&lt;20,1,0)+IF('📈 Cổ Phiếu VN 🔍'!$E$49&gt;0,1,0))),"")</f>
        <v/>
      </c>
      <c r="L50" s="863">
        <f>IFERROR(IF(I50="","",IF(OR(I50&lt;1.8,J50&gt;-1.78,K50&lt;5),"🔴 CỜ ĐỎ",IF(OR(I50&lt;2.99,J50&gt;-2.22,K50&lt;7),"🟡 Theo dõi","🟢 Sạch"))),"")</f>
        <v/>
      </c>
      <c r="M50" s="863">
        <f>IFERROR(IF(L50="🟢 Sạch","✅ ĐỦ ĐIỀU KIỆN MUA",IF(L50="🟡 Theo dõi","⚠️ Cần xác minh BCTC","❌ LOẠI KHỎI BỘ LỌC")),"")</f>
        <v/>
      </c>
      <c r="N50" s="863">
        <f>IFERROR(IF(M50="✅ ĐỦ ĐIỀU KIỆN MUA",ROUND((I50/3+K50/9-J50/5)*10,1),0),"")</f>
        <v/>
      </c>
    </row>
    <row r="51" ht="15" customHeight="1" s="981">
      <c r="A51" s="861" t="n">
        <v>46</v>
      </c>
      <c r="B51" s="862">
        <f>IFERROR(IF('📈 Cổ Phiếu VN 🔍'!$A$50="","",'📈 Cổ Phiếu VN 🔍'!$A$50),"")</f>
        <v/>
      </c>
      <c r="C51" s="862">
        <f>IFERROR('📈 Cổ Phiếu VN 🔍'!$B$50,"")</f>
        <v/>
      </c>
      <c r="D51" s="862">
        <f>IFERROR('📈 Cổ Phiếu VN 🔍'!$C$50,"")</f>
        <v/>
      </c>
      <c r="E51" s="862">
        <f>IFERROR('📈 Cổ Phiếu VN 🔍'!$E$50,0)</f>
        <v/>
      </c>
      <c r="F51" s="862">
        <f>IFERROR('📈 Cổ Phiếu VN 🔍'!$F$50,0)</f>
        <v/>
      </c>
      <c r="G51" s="862">
        <f>IFERROR('📈 Cổ Phiếu VN 🔍'!$G$50,0)</f>
        <v/>
      </c>
      <c r="H51" s="862">
        <f>IFERROR('📈 Cổ Phiếu VN 🔍'!$T$50,0)</f>
        <v/>
      </c>
      <c r="I51" s="863">
        <f>IFERROR(IF('📈 Cổ Phiếu VN 🔍'!$A$50="","",ROUND(3.25+6.56*0.15+3.26*('📈 Cổ Phiếu VN 🔍'!$G$50/100*0.5)+6.72*('📈 Cổ Phiếu VN 🔍'!$G$50/100)+1.05*(1/('📈 Cổ Phiếu VN 🔍'!$T$50+0.5)),2)),"")</f>
        <v/>
      </c>
      <c r="J51" s="863">
        <f>IFERROR(IF('📈 Cổ Phiếu VN 🔍'!$A$50="","",ROUND(-4.84+0.92*(1+0.5*'📈 Cổ Phiếu VN 🔍'!$J$50/100)+0.528*1.02+0.404*1.01+0.892*(1+'📈 Cổ Phiếu VN 🔍'!$J$50/100)+0.115*1.02,2)),"")</f>
        <v/>
      </c>
      <c r="K51" s="863">
        <f>IFERROR(IF('📈 Cổ Phiếu VN 🔍'!$A$50="","",(IF('📈 Cổ Phiếu VN 🔍'!$G$50&gt;0,1,0)+IF('📈 Cổ Phiếu VN 🔍'!$G$50&gt;5,1,0)+IF('📈 Cổ Phiếu VN 🔍'!$G$50&gt;10,1,0)+IF('📈 Cổ Phiếu VN 🔍'!$G$50&gt;15,1,0)+IF('📈 Cổ Phiếu VN 🔍'!$T$50&lt;3,1,0)+IF('📈 Cổ Phiếu VN 🔍'!$T$50&lt;5,1,0)+IF('📈 Cổ Phiếu VN 🔍'!$J$50&gt;0,1,0)+IF('📈 Cổ Phiếu VN 🔍'!$E$50&lt;20,1,0)+IF('📈 Cổ Phiếu VN 🔍'!$E$50&gt;0,1,0))),"")</f>
        <v/>
      </c>
      <c r="L51" s="863">
        <f>IFERROR(IF(I51="","",IF(OR(I51&lt;1.8,J51&gt;-1.78,K51&lt;5),"🔴 CỜ ĐỎ",IF(OR(I51&lt;2.99,J51&gt;-2.22,K51&lt;7),"🟡 Theo dõi","🟢 Sạch"))),"")</f>
        <v/>
      </c>
      <c r="M51" s="863">
        <f>IFERROR(IF(L51="🟢 Sạch","✅ ĐỦ ĐIỀU KIỆN MUA",IF(L51="🟡 Theo dõi","⚠️ Cần xác minh BCTC","❌ LOẠI KHỎI BỘ LỌC")),"")</f>
        <v/>
      </c>
      <c r="N51" s="863">
        <f>IFERROR(IF(M51="✅ ĐỦ ĐIỀU KIỆN MUA",ROUND((I51/3+K51/9-J51/5)*10,1),0),"")</f>
        <v/>
      </c>
    </row>
    <row r="52" ht="15" customHeight="1" s="981">
      <c r="A52" s="861" t="n">
        <v>47</v>
      </c>
      <c r="B52" s="862">
        <f>IFERROR(IF('📈 Cổ Phiếu VN 🔍'!$A$51="","",'📈 Cổ Phiếu VN 🔍'!$A$51),"")</f>
        <v/>
      </c>
      <c r="C52" s="862">
        <f>IFERROR('📈 Cổ Phiếu VN 🔍'!$B$51,"")</f>
        <v/>
      </c>
      <c r="D52" s="862">
        <f>IFERROR('📈 Cổ Phiếu VN 🔍'!$C$51,"")</f>
        <v/>
      </c>
      <c r="E52" s="862">
        <f>IFERROR('📈 Cổ Phiếu VN 🔍'!$E$51,0)</f>
        <v/>
      </c>
      <c r="F52" s="862">
        <f>IFERROR('📈 Cổ Phiếu VN 🔍'!$F$51,0)</f>
        <v/>
      </c>
      <c r="G52" s="862">
        <f>IFERROR('📈 Cổ Phiếu VN 🔍'!$G$51,0)</f>
        <v/>
      </c>
      <c r="H52" s="862">
        <f>IFERROR('📈 Cổ Phiếu VN 🔍'!$T$51,0)</f>
        <v/>
      </c>
      <c r="I52" s="863">
        <f>IFERROR(IF('📈 Cổ Phiếu VN 🔍'!$A$51="","",ROUND(3.25+6.56*0.15+3.26*('📈 Cổ Phiếu VN 🔍'!$G$51/100*0.5)+6.72*('📈 Cổ Phiếu VN 🔍'!$G$51/100)+1.05*(1/('📈 Cổ Phiếu VN 🔍'!$T$51+0.5)),2)),"")</f>
        <v/>
      </c>
      <c r="J52" s="863">
        <f>IFERROR(IF('📈 Cổ Phiếu VN 🔍'!$A$51="","",ROUND(-4.84+0.92*(1+0.5*'📈 Cổ Phiếu VN 🔍'!$J$51/100)+0.528*1.02+0.404*1.01+0.892*(1+'📈 Cổ Phiếu VN 🔍'!$J$51/100)+0.115*1.02,2)),"")</f>
        <v/>
      </c>
      <c r="K52" s="863">
        <f>IFERROR(IF('📈 Cổ Phiếu VN 🔍'!$A$51="","",(IF('📈 Cổ Phiếu VN 🔍'!$G$51&gt;0,1,0)+IF('📈 Cổ Phiếu VN 🔍'!$G$51&gt;5,1,0)+IF('📈 Cổ Phiếu VN 🔍'!$G$51&gt;10,1,0)+IF('📈 Cổ Phiếu VN 🔍'!$G$51&gt;15,1,0)+IF('📈 Cổ Phiếu VN 🔍'!$T$51&lt;3,1,0)+IF('📈 Cổ Phiếu VN 🔍'!$T$51&lt;5,1,0)+IF('📈 Cổ Phiếu VN 🔍'!$J$51&gt;0,1,0)+IF('📈 Cổ Phiếu VN 🔍'!$E$51&lt;20,1,0)+IF('📈 Cổ Phiếu VN 🔍'!$E$51&gt;0,1,0))),"")</f>
        <v/>
      </c>
      <c r="L52" s="863">
        <f>IFERROR(IF(I52="","",IF(OR(I52&lt;1.8,J52&gt;-1.78,K52&lt;5),"🔴 CỜ ĐỎ",IF(OR(I52&lt;2.99,J52&gt;-2.22,K52&lt;7),"🟡 Theo dõi","🟢 Sạch"))),"")</f>
        <v/>
      </c>
      <c r="M52" s="863">
        <f>IFERROR(IF(L52="🟢 Sạch","✅ ĐỦ ĐIỀU KIỆN MUA",IF(L52="🟡 Theo dõi","⚠️ Cần xác minh BCTC","❌ LOẠI KHỎI BỘ LỌC")),"")</f>
        <v/>
      </c>
      <c r="N52" s="863">
        <f>IFERROR(IF(M52="✅ ĐỦ ĐIỀU KIỆN MUA",ROUND((I52/3+K52/9-J52/5)*10,1),0),"")</f>
        <v/>
      </c>
    </row>
    <row r="53" ht="15" customHeight="1" s="981">
      <c r="A53" s="861" t="n">
        <v>48</v>
      </c>
      <c r="B53" s="862">
        <f>IFERROR(IF('📈 Cổ Phiếu VN 🔍'!$A$52="","",'📈 Cổ Phiếu VN 🔍'!$A$52),"")</f>
        <v/>
      </c>
      <c r="C53" s="862">
        <f>IFERROR('📈 Cổ Phiếu VN 🔍'!$B$52,"")</f>
        <v/>
      </c>
      <c r="D53" s="862">
        <f>IFERROR('📈 Cổ Phiếu VN 🔍'!$C$52,"")</f>
        <v/>
      </c>
      <c r="E53" s="862">
        <f>IFERROR('📈 Cổ Phiếu VN 🔍'!$E$52,0)</f>
        <v/>
      </c>
      <c r="F53" s="862">
        <f>IFERROR('📈 Cổ Phiếu VN 🔍'!$F$52,0)</f>
        <v/>
      </c>
      <c r="G53" s="862">
        <f>IFERROR('📈 Cổ Phiếu VN 🔍'!$G$52,0)</f>
        <v/>
      </c>
      <c r="H53" s="862">
        <f>IFERROR('📈 Cổ Phiếu VN 🔍'!$T$52,0)</f>
        <v/>
      </c>
      <c r="I53" s="863">
        <f>IFERROR(IF('📈 Cổ Phiếu VN 🔍'!$A$52="","",ROUND(3.25+6.56*0.15+3.26*('📈 Cổ Phiếu VN 🔍'!$G$52/100*0.5)+6.72*('📈 Cổ Phiếu VN 🔍'!$G$52/100)+1.05*(1/('📈 Cổ Phiếu VN 🔍'!$T$52+0.5)),2)),"")</f>
        <v/>
      </c>
      <c r="J53" s="863">
        <f>IFERROR(IF('📈 Cổ Phiếu VN 🔍'!$A$52="","",ROUND(-4.84+0.92*(1+0.5*'📈 Cổ Phiếu VN 🔍'!$J$52/100)+0.528*1.02+0.404*1.01+0.892*(1+'📈 Cổ Phiếu VN 🔍'!$J$52/100)+0.115*1.02,2)),"")</f>
        <v/>
      </c>
      <c r="K53" s="863">
        <f>IFERROR(IF('📈 Cổ Phiếu VN 🔍'!$A$52="","",(IF('📈 Cổ Phiếu VN 🔍'!$G$52&gt;0,1,0)+IF('📈 Cổ Phiếu VN 🔍'!$G$52&gt;5,1,0)+IF('📈 Cổ Phiếu VN 🔍'!$G$52&gt;10,1,0)+IF('📈 Cổ Phiếu VN 🔍'!$G$52&gt;15,1,0)+IF('📈 Cổ Phiếu VN 🔍'!$T$52&lt;3,1,0)+IF('📈 Cổ Phiếu VN 🔍'!$T$52&lt;5,1,0)+IF('📈 Cổ Phiếu VN 🔍'!$J$52&gt;0,1,0)+IF('📈 Cổ Phiếu VN 🔍'!$E$52&lt;20,1,0)+IF('📈 Cổ Phiếu VN 🔍'!$E$52&gt;0,1,0))),"")</f>
        <v/>
      </c>
      <c r="L53" s="863">
        <f>IFERROR(IF(I53="","",IF(OR(I53&lt;1.8,J53&gt;-1.78,K53&lt;5),"🔴 CỜ ĐỎ",IF(OR(I53&lt;2.99,J53&gt;-2.22,K53&lt;7),"🟡 Theo dõi","🟢 Sạch"))),"")</f>
        <v/>
      </c>
      <c r="M53" s="863">
        <f>IFERROR(IF(L53="🟢 Sạch","✅ ĐỦ ĐIỀU KIỆN MUA",IF(L53="🟡 Theo dõi","⚠️ Cần xác minh BCTC","❌ LOẠI KHỎI BỘ LỌC")),"")</f>
        <v/>
      </c>
      <c r="N53" s="863">
        <f>IFERROR(IF(M53="✅ ĐỦ ĐIỀU KIỆN MUA",ROUND((I53/3+K53/9-J53/5)*10,1),0),"")</f>
        <v/>
      </c>
    </row>
    <row r="54" ht="15" customHeight="1" s="981">
      <c r="A54" s="861" t="n">
        <v>49</v>
      </c>
      <c r="B54" s="862">
        <f>IFERROR(IF('📈 Cổ Phiếu VN 🔍'!$A$53="","",'📈 Cổ Phiếu VN 🔍'!$A$53),"")</f>
        <v/>
      </c>
      <c r="C54" s="862">
        <f>IFERROR('📈 Cổ Phiếu VN 🔍'!$B$53,"")</f>
        <v/>
      </c>
      <c r="D54" s="862">
        <f>IFERROR('📈 Cổ Phiếu VN 🔍'!$C$53,"")</f>
        <v/>
      </c>
      <c r="E54" s="862">
        <f>IFERROR('📈 Cổ Phiếu VN 🔍'!$E$53,0)</f>
        <v/>
      </c>
      <c r="F54" s="862">
        <f>IFERROR('📈 Cổ Phiếu VN 🔍'!$F$53,0)</f>
        <v/>
      </c>
      <c r="G54" s="862">
        <f>IFERROR('📈 Cổ Phiếu VN 🔍'!$G$53,0)</f>
        <v/>
      </c>
      <c r="H54" s="862">
        <f>IFERROR('📈 Cổ Phiếu VN 🔍'!$T$53,0)</f>
        <v/>
      </c>
      <c r="I54" s="863">
        <f>IFERROR(IF('📈 Cổ Phiếu VN 🔍'!$A$53="","",ROUND(3.25+6.56*0.15+3.26*('📈 Cổ Phiếu VN 🔍'!$G$53/100*0.5)+6.72*('📈 Cổ Phiếu VN 🔍'!$G$53/100)+1.05*(1/('📈 Cổ Phiếu VN 🔍'!$T$53+0.5)),2)),"")</f>
        <v/>
      </c>
      <c r="J54" s="863">
        <f>IFERROR(IF('📈 Cổ Phiếu VN 🔍'!$A$53="","",ROUND(-4.84+0.92*(1+0.5*'📈 Cổ Phiếu VN 🔍'!$J$53/100)+0.528*1.02+0.404*1.01+0.892*(1+'📈 Cổ Phiếu VN 🔍'!$J$53/100)+0.115*1.02,2)),"")</f>
        <v/>
      </c>
      <c r="K54" s="863">
        <f>IFERROR(IF('📈 Cổ Phiếu VN 🔍'!$A$53="","",(IF('📈 Cổ Phiếu VN 🔍'!$G$53&gt;0,1,0)+IF('📈 Cổ Phiếu VN 🔍'!$G$53&gt;5,1,0)+IF('📈 Cổ Phiếu VN 🔍'!$G$53&gt;10,1,0)+IF('📈 Cổ Phiếu VN 🔍'!$G$53&gt;15,1,0)+IF('📈 Cổ Phiếu VN 🔍'!$T$53&lt;3,1,0)+IF('📈 Cổ Phiếu VN 🔍'!$T$53&lt;5,1,0)+IF('📈 Cổ Phiếu VN 🔍'!$J$53&gt;0,1,0)+IF('📈 Cổ Phiếu VN 🔍'!$E$53&lt;20,1,0)+IF('📈 Cổ Phiếu VN 🔍'!$E$53&gt;0,1,0))),"")</f>
        <v/>
      </c>
      <c r="L54" s="863">
        <f>IFERROR(IF(I54="","",IF(OR(I54&lt;1.8,J54&gt;-1.78,K54&lt;5),"🔴 CỜ ĐỎ",IF(OR(I54&lt;2.99,J54&gt;-2.22,K54&lt;7),"🟡 Theo dõi","🟢 Sạch"))),"")</f>
        <v/>
      </c>
      <c r="M54" s="863">
        <f>IFERROR(IF(L54="🟢 Sạch","✅ ĐỦ ĐIỀU KIỆN MUA",IF(L54="🟡 Theo dõi","⚠️ Cần xác minh BCTC","❌ LOẠI KHỎI BỘ LỌC")),"")</f>
        <v/>
      </c>
      <c r="N54" s="863">
        <f>IFERROR(IF(M54="✅ ĐỦ ĐIỀU KIỆN MUA",ROUND((I54/3+K54/9-J54/5)*10,1),0),"")</f>
        <v/>
      </c>
    </row>
    <row r="55" ht="15" customHeight="1" s="981">
      <c r="A55" s="861" t="n">
        <v>50</v>
      </c>
      <c r="B55" s="862">
        <f>IFERROR(IF('📈 Cổ Phiếu VN 🔍'!$A$54="","",'📈 Cổ Phiếu VN 🔍'!$A$54),"")</f>
        <v/>
      </c>
      <c r="C55" s="862">
        <f>IFERROR('📈 Cổ Phiếu VN 🔍'!$B$54,"")</f>
        <v/>
      </c>
      <c r="D55" s="862">
        <f>IFERROR('📈 Cổ Phiếu VN 🔍'!$C$54,"")</f>
        <v/>
      </c>
      <c r="E55" s="862">
        <f>IFERROR('📈 Cổ Phiếu VN 🔍'!$E$54,0)</f>
        <v/>
      </c>
      <c r="F55" s="862">
        <f>IFERROR('📈 Cổ Phiếu VN 🔍'!$F$54,0)</f>
        <v/>
      </c>
      <c r="G55" s="862">
        <f>IFERROR('📈 Cổ Phiếu VN 🔍'!$G$54,0)</f>
        <v/>
      </c>
      <c r="H55" s="862">
        <f>IFERROR('📈 Cổ Phiếu VN 🔍'!$T$54,0)</f>
        <v/>
      </c>
      <c r="I55" s="863">
        <f>IFERROR(IF('📈 Cổ Phiếu VN 🔍'!$A$54="","",ROUND(3.25+6.56*0.15+3.26*('📈 Cổ Phiếu VN 🔍'!$G$54/100*0.5)+6.72*('📈 Cổ Phiếu VN 🔍'!$G$54/100)+1.05*(1/('📈 Cổ Phiếu VN 🔍'!$T$54+0.5)),2)),"")</f>
        <v/>
      </c>
      <c r="J55" s="863">
        <f>IFERROR(IF('📈 Cổ Phiếu VN 🔍'!$A$54="","",ROUND(-4.84+0.92*(1+0.5*'📈 Cổ Phiếu VN 🔍'!$J$54/100)+0.528*1.02+0.404*1.01+0.892*(1+'📈 Cổ Phiếu VN 🔍'!$J$54/100)+0.115*1.02,2)),"")</f>
        <v/>
      </c>
      <c r="K55" s="863">
        <f>IFERROR(IF('📈 Cổ Phiếu VN 🔍'!$A$54="","",(IF('📈 Cổ Phiếu VN 🔍'!$G$54&gt;0,1,0)+IF('📈 Cổ Phiếu VN 🔍'!$G$54&gt;5,1,0)+IF('📈 Cổ Phiếu VN 🔍'!$G$54&gt;10,1,0)+IF('📈 Cổ Phiếu VN 🔍'!$G$54&gt;15,1,0)+IF('📈 Cổ Phiếu VN 🔍'!$T$54&lt;3,1,0)+IF('📈 Cổ Phiếu VN 🔍'!$T$54&lt;5,1,0)+IF('📈 Cổ Phiếu VN 🔍'!$J$54&gt;0,1,0)+IF('📈 Cổ Phiếu VN 🔍'!$E$54&lt;20,1,0)+IF('📈 Cổ Phiếu VN 🔍'!$E$54&gt;0,1,0))),"")</f>
        <v/>
      </c>
      <c r="L55" s="863">
        <f>IFERROR(IF(I55="","",IF(OR(I55&lt;1.8,J55&gt;-1.78,K55&lt;5),"🔴 CỜ ĐỎ",IF(OR(I55&lt;2.99,J55&gt;-2.22,K55&lt;7),"🟡 Theo dõi","🟢 Sạch"))),"")</f>
        <v/>
      </c>
      <c r="M55" s="863">
        <f>IFERROR(IF(L55="🟢 Sạch","✅ ĐỦ ĐIỀU KIỆN MUA",IF(L55="🟡 Theo dõi","⚠️ Cần xác minh BCTC","❌ LOẠI KHỎI BỘ LỌC")),"")</f>
        <v/>
      </c>
      <c r="N55" s="863">
        <f>IFERROR(IF(M55="✅ ĐỦ ĐIỀU KIỆN MUA",ROUND((I55/3+K55/9-J55/5)*10,1),0),"")</f>
        <v/>
      </c>
    </row>
    <row r="56" ht="15" customHeight="1" s="981">
      <c r="A56" s="861" t="n">
        <v>51</v>
      </c>
      <c r="B56" s="862">
        <f>IFERROR(IF('📈 Cổ Phiếu VN 🔍'!$A$55="","",'📈 Cổ Phiếu VN 🔍'!$A$55),"")</f>
        <v/>
      </c>
      <c r="C56" s="862">
        <f>IFERROR('📈 Cổ Phiếu VN 🔍'!$B$55,"")</f>
        <v/>
      </c>
      <c r="D56" s="862">
        <f>IFERROR('📈 Cổ Phiếu VN 🔍'!$C$55,"")</f>
        <v/>
      </c>
      <c r="E56" s="862">
        <f>IFERROR('📈 Cổ Phiếu VN 🔍'!$E$55,0)</f>
        <v/>
      </c>
      <c r="F56" s="862">
        <f>IFERROR('📈 Cổ Phiếu VN 🔍'!$F$55,0)</f>
        <v/>
      </c>
      <c r="G56" s="862">
        <f>IFERROR('📈 Cổ Phiếu VN 🔍'!$G$55,0)</f>
        <v/>
      </c>
      <c r="H56" s="862">
        <f>IFERROR('📈 Cổ Phiếu VN 🔍'!$T$55,0)</f>
        <v/>
      </c>
      <c r="I56" s="863">
        <f>IFERROR(IF('📈 Cổ Phiếu VN 🔍'!$A$55="","",ROUND(3.25+6.56*0.15+3.26*('📈 Cổ Phiếu VN 🔍'!$G$55/100*0.5)+6.72*('📈 Cổ Phiếu VN 🔍'!$G$55/100)+1.05*(1/('📈 Cổ Phiếu VN 🔍'!$T$55+0.5)),2)),"")</f>
        <v/>
      </c>
      <c r="J56" s="863">
        <f>IFERROR(IF('📈 Cổ Phiếu VN 🔍'!$A$55="","",ROUND(-4.84+0.92*(1+0.5*'📈 Cổ Phiếu VN 🔍'!$J$55/100)+0.528*1.02+0.404*1.01+0.892*(1+'📈 Cổ Phiếu VN 🔍'!$J$55/100)+0.115*1.02,2)),"")</f>
        <v/>
      </c>
      <c r="K56" s="863">
        <f>IFERROR(IF('📈 Cổ Phiếu VN 🔍'!$A$55="","",(IF('📈 Cổ Phiếu VN 🔍'!$G$55&gt;0,1,0)+IF('📈 Cổ Phiếu VN 🔍'!$G$55&gt;5,1,0)+IF('📈 Cổ Phiếu VN 🔍'!$G$55&gt;10,1,0)+IF('📈 Cổ Phiếu VN 🔍'!$G$55&gt;15,1,0)+IF('📈 Cổ Phiếu VN 🔍'!$T$55&lt;3,1,0)+IF('📈 Cổ Phiếu VN 🔍'!$T$55&lt;5,1,0)+IF('📈 Cổ Phiếu VN 🔍'!$J$55&gt;0,1,0)+IF('📈 Cổ Phiếu VN 🔍'!$E$55&lt;20,1,0)+IF('📈 Cổ Phiếu VN 🔍'!$E$55&gt;0,1,0))),"")</f>
        <v/>
      </c>
      <c r="L56" s="863">
        <f>IFERROR(IF(I56="","",IF(OR(I56&lt;1.8,J56&gt;-1.78,K56&lt;5),"🔴 CỜ ĐỎ",IF(OR(I56&lt;2.99,J56&gt;-2.22,K56&lt;7),"🟡 Theo dõi","🟢 Sạch"))),"")</f>
        <v/>
      </c>
      <c r="M56" s="863">
        <f>IFERROR(IF(L56="🟢 Sạch","✅ ĐỦ ĐIỀU KIỆN MUA",IF(L56="🟡 Theo dõi","⚠️ Cần xác minh BCTC","❌ LOẠI KHỎI BỘ LỌC")),"")</f>
        <v/>
      </c>
      <c r="N56" s="863">
        <f>IFERROR(IF(M56="✅ ĐỦ ĐIỀU KIỆN MUA",ROUND((I56/3+K56/9-J56/5)*10,1),0),"")</f>
        <v/>
      </c>
    </row>
    <row r="57" ht="15" customHeight="1" s="981">
      <c r="A57" s="861" t="n">
        <v>52</v>
      </c>
      <c r="B57" s="862">
        <f>IFERROR(IF('📈 Cổ Phiếu VN 🔍'!$A$56="","",'📈 Cổ Phiếu VN 🔍'!$A$56),"")</f>
        <v/>
      </c>
      <c r="C57" s="862">
        <f>IFERROR('📈 Cổ Phiếu VN 🔍'!$B$56,"")</f>
        <v/>
      </c>
      <c r="D57" s="862">
        <f>IFERROR('📈 Cổ Phiếu VN 🔍'!$C$56,"")</f>
        <v/>
      </c>
      <c r="E57" s="862">
        <f>IFERROR('📈 Cổ Phiếu VN 🔍'!$E$56,0)</f>
        <v/>
      </c>
      <c r="F57" s="862">
        <f>IFERROR('📈 Cổ Phiếu VN 🔍'!$F$56,0)</f>
        <v/>
      </c>
      <c r="G57" s="862">
        <f>IFERROR('📈 Cổ Phiếu VN 🔍'!$G$56,0)</f>
        <v/>
      </c>
      <c r="H57" s="862">
        <f>IFERROR('📈 Cổ Phiếu VN 🔍'!$T$56,0)</f>
        <v/>
      </c>
      <c r="I57" s="863">
        <f>IFERROR(IF('📈 Cổ Phiếu VN 🔍'!$A$56="","",ROUND(3.25+6.56*0.15+3.26*('📈 Cổ Phiếu VN 🔍'!$G$56/100*0.5)+6.72*('📈 Cổ Phiếu VN 🔍'!$G$56/100)+1.05*(1/('📈 Cổ Phiếu VN 🔍'!$T$56+0.5)),2)),"")</f>
        <v/>
      </c>
      <c r="J57" s="863">
        <f>IFERROR(IF('📈 Cổ Phiếu VN 🔍'!$A$56="","",ROUND(-4.84+0.92*(1+0.5*'📈 Cổ Phiếu VN 🔍'!$J$56/100)+0.528*1.02+0.404*1.01+0.892*(1+'📈 Cổ Phiếu VN 🔍'!$J$56/100)+0.115*1.02,2)),"")</f>
        <v/>
      </c>
      <c r="K57" s="863">
        <f>IFERROR(IF('📈 Cổ Phiếu VN 🔍'!$A$56="","",(IF('📈 Cổ Phiếu VN 🔍'!$G$56&gt;0,1,0)+IF('📈 Cổ Phiếu VN 🔍'!$G$56&gt;5,1,0)+IF('📈 Cổ Phiếu VN 🔍'!$G$56&gt;10,1,0)+IF('📈 Cổ Phiếu VN 🔍'!$G$56&gt;15,1,0)+IF('📈 Cổ Phiếu VN 🔍'!$T$56&lt;3,1,0)+IF('📈 Cổ Phiếu VN 🔍'!$T$56&lt;5,1,0)+IF('📈 Cổ Phiếu VN 🔍'!$J$56&gt;0,1,0)+IF('📈 Cổ Phiếu VN 🔍'!$E$56&lt;20,1,0)+IF('📈 Cổ Phiếu VN 🔍'!$E$56&gt;0,1,0))),"")</f>
        <v/>
      </c>
      <c r="L57" s="863">
        <f>IFERROR(IF(I57="","",IF(OR(I57&lt;1.8,J57&gt;-1.78,K57&lt;5),"🔴 CỜ ĐỎ",IF(OR(I57&lt;2.99,J57&gt;-2.22,K57&lt;7),"🟡 Theo dõi","🟢 Sạch"))),"")</f>
        <v/>
      </c>
      <c r="M57" s="863">
        <f>IFERROR(IF(L57="🟢 Sạch","✅ ĐỦ ĐIỀU KIỆN MUA",IF(L57="🟡 Theo dõi","⚠️ Cần xác minh BCTC","❌ LOẠI KHỎI BỘ LỌC")),"")</f>
        <v/>
      </c>
      <c r="N57" s="863">
        <f>IFERROR(IF(M57="✅ ĐỦ ĐIỀU KIỆN MUA",ROUND((I57/3+K57/9-J57/5)*10,1),0),"")</f>
        <v/>
      </c>
    </row>
    <row r="58" ht="15" customHeight="1" s="981">
      <c r="A58" s="861" t="n">
        <v>53</v>
      </c>
      <c r="B58" s="862">
        <f>IFERROR(IF('📈 Cổ Phiếu VN 🔍'!$A$57="","",'📈 Cổ Phiếu VN 🔍'!$A$57),"")</f>
        <v/>
      </c>
      <c r="C58" s="862">
        <f>IFERROR('📈 Cổ Phiếu VN 🔍'!$B$57,"")</f>
        <v/>
      </c>
      <c r="D58" s="862">
        <f>IFERROR('📈 Cổ Phiếu VN 🔍'!$C$57,"")</f>
        <v/>
      </c>
      <c r="E58" s="862">
        <f>IFERROR('📈 Cổ Phiếu VN 🔍'!$E$57,0)</f>
        <v/>
      </c>
      <c r="F58" s="862">
        <f>IFERROR('📈 Cổ Phiếu VN 🔍'!$F$57,0)</f>
        <v/>
      </c>
      <c r="G58" s="862">
        <f>IFERROR('📈 Cổ Phiếu VN 🔍'!$G$57,0)</f>
        <v/>
      </c>
      <c r="H58" s="862">
        <f>IFERROR('📈 Cổ Phiếu VN 🔍'!$T$57,0)</f>
        <v/>
      </c>
      <c r="I58" s="863">
        <f>IFERROR(IF('📈 Cổ Phiếu VN 🔍'!$A$57="","",ROUND(3.25+6.56*0.15+3.26*('📈 Cổ Phiếu VN 🔍'!$G$57/100*0.5)+6.72*('📈 Cổ Phiếu VN 🔍'!$G$57/100)+1.05*(1/('📈 Cổ Phiếu VN 🔍'!$T$57+0.5)),2)),"")</f>
        <v/>
      </c>
      <c r="J58" s="863">
        <f>IFERROR(IF('📈 Cổ Phiếu VN 🔍'!$A$57="","",ROUND(-4.84+0.92*(1+0.5*'📈 Cổ Phiếu VN 🔍'!$J$57/100)+0.528*1.02+0.404*1.01+0.892*(1+'📈 Cổ Phiếu VN 🔍'!$J$57/100)+0.115*1.02,2)),"")</f>
        <v/>
      </c>
      <c r="K58" s="863">
        <f>IFERROR(IF('📈 Cổ Phiếu VN 🔍'!$A$57="","",(IF('📈 Cổ Phiếu VN 🔍'!$G$57&gt;0,1,0)+IF('📈 Cổ Phiếu VN 🔍'!$G$57&gt;5,1,0)+IF('📈 Cổ Phiếu VN 🔍'!$G$57&gt;10,1,0)+IF('📈 Cổ Phiếu VN 🔍'!$G$57&gt;15,1,0)+IF('📈 Cổ Phiếu VN 🔍'!$T$57&lt;3,1,0)+IF('📈 Cổ Phiếu VN 🔍'!$T$57&lt;5,1,0)+IF('📈 Cổ Phiếu VN 🔍'!$J$57&gt;0,1,0)+IF('📈 Cổ Phiếu VN 🔍'!$E$57&lt;20,1,0)+IF('📈 Cổ Phiếu VN 🔍'!$E$57&gt;0,1,0))),"")</f>
        <v/>
      </c>
      <c r="L58" s="863">
        <f>IFERROR(IF(I58="","",IF(OR(I58&lt;1.8,J58&gt;-1.78,K58&lt;5),"🔴 CỜ ĐỎ",IF(OR(I58&lt;2.99,J58&gt;-2.22,K58&lt;7),"🟡 Theo dõi","🟢 Sạch"))),"")</f>
        <v/>
      </c>
      <c r="M58" s="863">
        <f>IFERROR(IF(L58="🟢 Sạch","✅ ĐỦ ĐIỀU KIỆN MUA",IF(L58="🟡 Theo dõi","⚠️ Cần xác minh BCTC","❌ LOẠI KHỎI BỘ LỌC")),"")</f>
        <v/>
      </c>
      <c r="N58" s="863">
        <f>IFERROR(IF(M58="✅ ĐỦ ĐIỀU KIỆN MUA",ROUND((I58/3+K58/9-J58/5)*10,1),0),"")</f>
        <v/>
      </c>
    </row>
    <row r="59" ht="15" customHeight="1" s="981">
      <c r="A59" s="861" t="n">
        <v>54</v>
      </c>
      <c r="B59" s="862">
        <f>IFERROR(IF('📈 Cổ Phiếu VN 🔍'!$A$58="","",'📈 Cổ Phiếu VN 🔍'!$A$58),"")</f>
        <v/>
      </c>
      <c r="C59" s="862">
        <f>IFERROR('📈 Cổ Phiếu VN 🔍'!$B$58,"")</f>
        <v/>
      </c>
      <c r="D59" s="862">
        <f>IFERROR('📈 Cổ Phiếu VN 🔍'!$C$58,"")</f>
        <v/>
      </c>
      <c r="E59" s="862">
        <f>IFERROR('📈 Cổ Phiếu VN 🔍'!$E$58,0)</f>
        <v/>
      </c>
      <c r="F59" s="862">
        <f>IFERROR('📈 Cổ Phiếu VN 🔍'!$F$58,0)</f>
        <v/>
      </c>
      <c r="G59" s="862">
        <f>IFERROR('📈 Cổ Phiếu VN 🔍'!$G$58,0)</f>
        <v/>
      </c>
      <c r="H59" s="862">
        <f>IFERROR('📈 Cổ Phiếu VN 🔍'!$T$58,0)</f>
        <v/>
      </c>
      <c r="I59" s="863">
        <f>IFERROR(IF('📈 Cổ Phiếu VN 🔍'!$A$58="","",ROUND(3.25+6.56*0.15+3.26*('📈 Cổ Phiếu VN 🔍'!$G$58/100*0.5)+6.72*('📈 Cổ Phiếu VN 🔍'!$G$58/100)+1.05*(1/('📈 Cổ Phiếu VN 🔍'!$T$58+0.5)),2)),"")</f>
        <v/>
      </c>
      <c r="J59" s="863">
        <f>IFERROR(IF('📈 Cổ Phiếu VN 🔍'!$A$58="","",ROUND(-4.84+0.92*(1+0.5*'📈 Cổ Phiếu VN 🔍'!$J$58/100)+0.528*1.02+0.404*1.01+0.892*(1+'📈 Cổ Phiếu VN 🔍'!$J$58/100)+0.115*1.02,2)),"")</f>
        <v/>
      </c>
      <c r="K59" s="863">
        <f>IFERROR(IF('📈 Cổ Phiếu VN 🔍'!$A$58="","",(IF('📈 Cổ Phiếu VN 🔍'!$G$58&gt;0,1,0)+IF('📈 Cổ Phiếu VN 🔍'!$G$58&gt;5,1,0)+IF('📈 Cổ Phiếu VN 🔍'!$G$58&gt;10,1,0)+IF('📈 Cổ Phiếu VN 🔍'!$G$58&gt;15,1,0)+IF('📈 Cổ Phiếu VN 🔍'!$T$58&lt;3,1,0)+IF('📈 Cổ Phiếu VN 🔍'!$T$58&lt;5,1,0)+IF('📈 Cổ Phiếu VN 🔍'!$J$58&gt;0,1,0)+IF('📈 Cổ Phiếu VN 🔍'!$E$58&lt;20,1,0)+IF('📈 Cổ Phiếu VN 🔍'!$E$58&gt;0,1,0))),"")</f>
        <v/>
      </c>
      <c r="L59" s="863">
        <f>IFERROR(IF(I59="","",IF(OR(I59&lt;1.8,J59&gt;-1.78,K59&lt;5),"🔴 CỜ ĐỎ",IF(OR(I59&lt;2.99,J59&gt;-2.22,K59&lt;7),"🟡 Theo dõi","🟢 Sạch"))),"")</f>
        <v/>
      </c>
      <c r="M59" s="863">
        <f>IFERROR(IF(L59="🟢 Sạch","✅ ĐỦ ĐIỀU KIỆN MUA",IF(L59="🟡 Theo dõi","⚠️ Cần xác minh BCTC","❌ LOẠI KHỎI BỘ LỌC")),"")</f>
        <v/>
      </c>
      <c r="N59" s="863">
        <f>IFERROR(IF(M59="✅ ĐỦ ĐIỀU KIỆN MUA",ROUND((I59/3+K59/9-J59/5)*10,1),0),"")</f>
        <v/>
      </c>
    </row>
    <row r="60" ht="15" customHeight="1" s="981">
      <c r="A60" s="861" t="n">
        <v>55</v>
      </c>
      <c r="B60" s="862">
        <f>IFERROR(IF('📈 Cổ Phiếu VN 🔍'!$A$59="","",'📈 Cổ Phiếu VN 🔍'!$A$59),"")</f>
        <v/>
      </c>
      <c r="C60" s="862">
        <f>IFERROR('📈 Cổ Phiếu VN 🔍'!$B$59,"")</f>
        <v/>
      </c>
      <c r="D60" s="862">
        <f>IFERROR('📈 Cổ Phiếu VN 🔍'!$C$59,"")</f>
        <v/>
      </c>
      <c r="E60" s="862">
        <f>IFERROR('📈 Cổ Phiếu VN 🔍'!$E$59,0)</f>
        <v/>
      </c>
      <c r="F60" s="862">
        <f>IFERROR('📈 Cổ Phiếu VN 🔍'!$F$59,0)</f>
        <v/>
      </c>
      <c r="G60" s="862">
        <f>IFERROR('📈 Cổ Phiếu VN 🔍'!$G$59,0)</f>
        <v/>
      </c>
      <c r="H60" s="862">
        <f>IFERROR('📈 Cổ Phiếu VN 🔍'!$T$59,0)</f>
        <v/>
      </c>
      <c r="I60" s="863">
        <f>IFERROR(IF('📈 Cổ Phiếu VN 🔍'!$A$59="","",ROUND(3.25+6.56*0.15+3.26*('📈 Cổ Phiếu VN 🔍'!$G$59/100*0.5)+6.72*('📈 Cổ Phiếu VN 🔍'!$G$59/100)+1.05*(1/('📈 Cổ Phiếu VN 🔍'!$T$59+0.5)),2)),"")</f>
        <v/>
      </c>
      <c r="J60" s="863">
        <f>IFERROR(IF('📈 Cổ Phiếu VN 🔍'!$A$59="","",ROUND(-4.84+0.92*(1+0.5*'📈 Cổ Phiếu VN 🔍'!$J$59/100)+0.528*1.02+0.404*1.01+0.892*(1+'📈 Cổ Phiếu VN 🔍'!$J$59/100)+0.115*1.02,2)),"")</f>
        <v/>
      </c>
      <c r="K60" s="863">
        <f>IFERROR(IF('📈 Cổ Phiếu VN 🔍'!$A$59="","",(IF('📈 Cổ Phiếu VN 🔍'!$G$59&gt;0,1,0)+IF('📈 Cổ Phiếu VN 🔍'!$G$59&gt;5,1,0)+IF('📈 Cổ Phiếu VN 🔍'!$G$59&gt;10,1,0)+IF('📈 Cổ Phiếu VN 🔍'!$G$59&gt;15,1,0)+IF('📈 Cổ Phiếu VN 🔍'!$T$59&lt;3,1,0)+IF('📈 Cổ Phiếu VN 🔍'!$T$59&lt;5,1,0)+IF('📈 Cổ Phiếu VN 🔍'!$J$59&gt;0,1,0)+IF('📈 Cổ Phiếu VN 🔍'!$E$59&lt;20,1,0)+IF('📈 Cổ Phiếu VN 🔍'!$E$59&gt;0,1,0))),"")</f>
        <v/>
      </c>
      <c r="L60" s="863">
        <f>IFERROR(IF(I60="","",IF(OR(I60&lt;1.8,J60&gt;-1.78,K60&lt;5),"🔴 CỜ ĐỎ",IF(OR(I60&lt;2.99,J60&gt;-2.22,K60&lt;7),"🟡 Theo dõi","🟢 Sạch"))),"")</f>
        <v/>
      </c>
      <c r="M60" s="863">
        <f>IFERROR(IF(L60="🟢 Sạch","✅ ĐỦ ĐIỀU KIỆN MUA",IF(L60="🟡 Theo dõi","⚠️ Cần xác minh BCTC","❌ LOẠI KHỎI BỘ LỌC")),"")</f>
        <v/>
      </c>
      <c r="N60" s="863">
        <f>IFERROR(IF(M60="✅ ĐỦ ĐIỀU KIỆN MUA",ROUND((I60/3+K60/9-J60/5)*10,1),0),"")</f>
        <v/>
      </c>
    </row>
    <row r="61" ht="15" customHeight="1" s="981">
      <c r="A61" s="861" t="n">
        <v>56</v>
      </c>
      <c r="B61" s="862">
        <f>IFERROR(IF('📈 Cổ Phiếu VN 🔍'!$A$60="","",'📈 Cổ Phiếu VN 🔍'!$A$60),"")</f>
        <v/>
      </c>
      <c r="C61" s="862">
        <f>IFERROR('📈 Cổ Phiếu VN 🔍'!$B$60,"")</f>
        <v/>
      </c>
      <c r="D61" s="862">
        <f>IFERROR('📈 Cổ Phiếu VN 🔍'!$C$60,"")</f>
        <v/>
      </c>
      <c r="E61" s="862">
        <f>IFERROR('📈 Cổ Phiếu VN 🔍'!$E$60,0)</f>
        <v/>
      </c>
      <c r="F61" s="862">
        <f>IFERROR('📈 Cổ Phiếu VN 🔍'!$F$60,0)</f>
        <v/>
      </c>
      <c r="G61" s="862">
        <f>IFERROR('📈 Cổ Phiếu VN 🔍'!$G$60,0)</f>
        <v/>
      </c>
      <c r="H61" s="862">
        <f>IFERROR('📈 Cổ Phiếu VN 🔍'!$T$60,0)</f>
        <v/>
      </c>
      <c r="I61" s="863">
        <f>IFERROR(IF('📈 Cổ Phiếu VN 🔍'!$A$60="","",ROUND(3.25+6.56*0.15+3.26*('📈 Cổ Phiếu VN 🔍'!$G$60/100*0.5)+6.72*('📈 Cổ Phiếu VN 🔍'!$G$60/100)+1.05*(1/('📈 Cổ Phiếu VN 🔍'!$T$60+0.5)),2)),"")</f>
        <v/>
      </c>
      <c r="J61" s="863">
        <f>IFERROR(IF('📈 Cổ Phiếu VN 🔍'!$A$60="","",ROUND(-4.84+0.92*(1+0.5*'📈 Cổ Phiếu VN 🔍'!$J$60/100)+0.528*1.02+0.404*1.01+0.892*(1+'📈 Cổ Phiếu VN 🔍'!$J$60/100)+0.115*1.02,2)),"")</f>
        <v/>
      </c>
      <c r="K61" s="863">
        <f>IFERROR(IF('📈 Cổ Phiếu VN 🔍'!$A$60="","",(IF('📈 Cổ Phiếu VN 🔍'!$G$60&gt;0,1,0)+IF('📈 Cổ Phiếu VN 🔍'!$G$60&gt;5,1,0)+IF('📈 Cổ Phiếu VN 🔍'!$G$60&gt;10,1,0)+IF('📈 Cổ Phiếu VN 🔍'!$G$60&gt;15,1,0)+IF('📈 Cổ Phiếu VN 🔍'!$T$60&lt;3,1,0)+IF('📈 Cổ Phiếu VN 🔍'!$T$60&lt;5,1,0)+IF('📈 Cổ Phiếu VN 🔍'!$J$60&gt;0,1,0)+IF('📈 Cổ Phiếu VN 🔍'!$E$60&lt;20,1,0)+IF('📈 Cổ Phiếu VN 🔍'!$E$60&gt;0,1,0))),"")</f>
        <v/>
      </c>
      <c r="L61" s="863">
        <f>IFERROR(IF(I61="","",IF(OR(I61&lt;1.8,J61&gt;-1.78,K61&lt;5),"🔴 CỜ ĐỎ",IF(OR(I61&lt;2.99,J61&gt;-2.22,K61&lt;7),"🟡 Theo dõi","🟢 Sạch"))),"")</f>
        <v/>
      </c>
      <c r="M61" s="863">
        <f>IFERROR(IF(L61="🟢 Sạch","✅ ĐỦ ĐIỀU KIỆN MUA",IF(L61="🟡 Theo dõi","⚠️ Cần xác minh BCTC","❌ LOẠI KHỎI BỘ LỌC")),"")</f>
        <v/>
      </c>
      <c r="N61" s="863">
        <f>IFERROR(IF(M61="✅ ĐỦ ĐIỀU KIỆN MUA",ROUND((I61/3+K61/9-J61/5)*10,1),0),"")</f>
        <v/>
      </c>
    </row>
    <row r="62" ht="15" customHeight="1" s="981">
      <c r="A62" s="861" t="n">
        <v>57</v>
      </c>
      <c r="B62" s="862">
        <f>IFERROR(IF('📈 Cổ Phiếu VN 🔍'!$A$61="","",'📈 Cổ Phiếu VN 🔍'!$A$61),"")</f>
        <v/>
      </c>
      <c r="C62" s="862">
        <f>IFERROR('📈 Cổ Phiếu VN 🔍'!$B$61,"")</f>
        <v/>
      </c>
      <c r="D62" s="862">
        <f>IFERROR('📈 Cổ Phiếu VN 🔍'!$C$61,"")</f>
        <v/>
      </c>
      <c r="E62" s="862">
        <f>IFERROR('📈 Cổ Phiếu VN 🔍'!$E$61,0)</f>
        <v/>
      </c>
      <c r="F62" s="862">
        <f>IFERROR('📈 Cổ Phiếu VN 🔍'!$F$61,0)</f>
        <v/>
      </c>
      <c r="G62" s="862">
        <f>IFERROR('📈 Cổ Phiếu VN 🔍'!$G$61,0)</f>
        <v/>
      </c>
      <c r="H62" s="862">
        <f>IFERROR('📈 Cổ Phiếu VN 🔍'!$T$61,0)</f>
        <v/>
      </c>
      <c r="I62" s="863">
        <f>IFERROR(IF('📈 Cổ Phiếu VN 🔍'!$A$61="","",ROUND(3.25+6.56*0.15+3.26*('📈 Cổ Phiếu VN 🔍'!$G$61/100*0.5)+6.72*('📈 Cổ Phiếu VN 🔍'!$G$61/100)+1.05*(1/('📈 Cổ Phiếu VN 🔍'!$T$61+0.5)),2)),"")</f>
        <v/>
      </c>
      <c r="J62" s="863">
        <f>IFERROR(IF('📈 Cổ Phiếu VN 🔍'!$A$61="","",ROUND(-4.84+0.92*(1+0.5*'📈 Cổ Phiếu VN 🔍'!$J$61/100)+0.528*1.02+0.404*1.01+0.892*(1+'📈 Cổ Phiếu VN 🔍'!$J$61/100)+0.115*1.02,2)),"")</f>
        <v/>
      </c>
      <c r="K62" s="863">
        <f>IFERROR(IF('📈 Cổ Phiếu VN 🔍'!$A$61="","",(IF('📈 Cổ Phiếu VN 🔍'!$G$61&gt;0,1,0)+IF('📈 Cổ Phiếu VN 🔍'!$G$61&gt;5,1,0)+IF('📈 Cổ Phiếu VN 🔍'!$G$61&gt;10,1,0)+IF('📈 Cổ Phiếu VN 🔍'!$G$61&gt;15,1,0)+IF('📈 Cổ Phiếu VN 🔍'!$T$61&lt;3,1,0)+IF('📈 Cổ Phiếu VN 🔍'!$T$61&lt;5,1,0)+IF('📈 Cổ Phiếu VN 🔍'!$J$61&gt;0,1,0)+IF('📈 Cổ Phiếu VN 🔍'!$E$61&lt;20,1,0)+IF('📈 Cổ Phiếu VN 🔍'!$E$61&gt;0,1,0))),"")</f>
        <v/>
      </c>
      <c r="L62" s="863">
        <f>IFERROR(IF(I62="","",IF(OR(I62&lt;1.8,J62&gt;-1.78,K62&lt;5),"🔴 CỜ ĐỎ",IF(OR(I62&lt;2.99,J62&gt;-2.22,K62&lt;7),"🟡 Theo dõi","🟢 Sạch"))),"")</f>
        <v/>
      </c>
      <c r="M62" s="863">
        <f>IFERROR(IF(L62="🟢 Sạch","✅ ĐỦ ĐIỀU KIỆN MUA",IF(L62="🟡 Theo dõi","⚠️ Cần xác minh BCTC","❌ LOẠI KHỎI BỘ LỌC")),"")</f>
        <v/>
      </c>
      <c r="N62" s="863">
        <f>IFERROR(IF(M62="✅ ĐỦ ĐIỀU KIỆN MUA",ROUND((I62/3+K62/9-J62/5)*10,1),0),"")</f>
        <v/>
      </c>
    </row>
    <row r="63" ht="15" customHeight="1" s="981">
      <c r="A63" s="861" t="n">
        <v>58</v>
      </c>
      <c r="B63" s="862">
        <f>IFERROR(IF('📈 Cổ Phiếu VN 🔍'!$A$62="","",'📈 Cổ Phiếu VN 🔍'!$A$62),"")</f>
        <v/>
      </c>
      <c r="C63" s="862">
        <f>IFERROR('📈 Cổ Phiếu VN 🔍'!$B$62,"")</f>
        <v/>
      </c>
      <c r="D63" s="862">
        <f>IFERROR('📈 Cổ Phiếu VN 🔍'!$C$62,"")</f>
        <v/>
      </c>
      <c r="E63" s="862">
        <f>IFERROR('📈 Cổ Phiếu VN 🔍'!$E$62,0)</f>
        <v/>
      </c>
      <c r="F63" s="862">
        <f>IFERROR('📈 Cổ Phiếu VN 🔍'!$F$62,0)</f>
        <v/>
      </c>
      <c r="G63" s="862">
        <f>IFERROR('📈 Cổ Phiếu VN 🔍'!$G$62,0)</f>
        <v/>
      </c>
      <c r="H63" s="862">
        <f>IFERROR('📈 Cổ Phiếu VN 🔍'!$T$62,0)</f>
        <v/>
      </c>
      <c r="I63" s="863">
        <f>IFERROR(IF('📈 Cổ Phiếu VN 🔍'!$A$62="","",ROUND(3.25+6.56*0.15+3.26*('📈 Cổ Phiếu VN 🔍'!$G$62/100*0.5)+6.72*('📈 Cổ Phiếu VN 🔍'!$G$62/100)+1.05*(1/('📈 Cổ Phiếu VN 🔍'!$T$62+0.5)),2)),"")</f>
        <v/>
      </c>
      <c r="J63" s="863">
        <f>IFERROR(IF('📈 Cổ Phiếu VN 🔍'!$A$62="","",ROUND(-4.84+0.92*(1+0.5*'📈 Cổ Phiếu VN 🔍'!$J$62/100)+0.528*1.02+0.404*1.01+0.892*(1+'📈 Cổ Phiếu VN 🔍'!$J$62/100)+0.115*1.02,2)),"")</f>
        <v/>
      </c>
      <c r="K63" s="863">
        <f>IFERROR(IF('📈 Cổ Phiếu VN 🔍'!$A$62="","",(IF('📈 Cổ Phiếu VN 🔍'!$G$62&gt;0,1,0)+IF('📈 Cổ Phiếu VN 🔍'!$G$62&gt;5,1,0)+IF('📈 Cổ Phiếu VN 🔍'!$G$62&gt;10,1,0)+IF('📈 Cổ Phiếu VN 🔍'!$G$62&gt;15,1,0)+IF('📈 Cổ Phiếu VN 🔍'!$T$62&lt;3,1,0)+IF('📈 Cổ Phiếu VN 🔍'!$T$62&lt;5,1,0)+IF('📈 Cổ Phiếu VN 🔍'!$J$62&gt;0,1,0)+IF('📈 Cổ Phiếu VN 🔍'!$E$62&lt;20,1,0)+IF('📈 Cổ Phiếu VN 🔍'!$E$62&gt;0,1,0))),"")</f>
        <v/>
      </c>
      <c r="L63" s="863">
        <f>IFERROR(IF(I63="","",IF(OR(I63&lt;1.8,J63&gt;-1.78,K63&lt;5),"🔴 CỜ ĐỎ",IF(OR(I63&lt;2.99,J63&gt;-2.22,K63&lt;7),"🟡 Theo dõi","🟢 Sạch"))),"")</f>
        <v/>
      </c>
      <c r="M63" s="863">
        <f>IFERROR(IF(L63="🟢 Sạch","✅ ĐỦ ĐIỀU KIỆN MUA",IF(L63="🟡 Theo dõi","⚠️ Cần xác minh BCTC","❌ LOẠI KHỎI BỘ LỌC")),"")</f>
        <v/>
      </c>
      <c r="N63" s="863">
        <f>IFERROR(IF(M63="✅ ĐỦ ĐIỀU KIỆN MUA",ROUND((I63/3+K63/9-J63/5)*10,1),0),"")</f>
        <v/>
      </c>
    </row>
    <row r="64" ht="15" customHeight="1" s="981">
      <c r="A64" s="861" t="n">
        <v>59</v>
      </c>
      <c r="B64" s="862">
        <f>IFERROR(IF('📈 Cổ Phiếu VN 🔍'!$A$63="","",'📈 Cổ Phiếu VN 🔍'!$A$63),"")</f>
        <v/>
      </c>
      <c r="C64" s="862">
        <f>IFERROR('📈 Cổ Phiếu VN 🔍'!$B$63,"")</f>
        <v/>
      </c>
      <c r="D64" s="862">
        <f>IFERROR('📈 Cổ Phiếu VN 🔍'!$C$63,"")</f>
        <v/>
      </c>
      <c r="E64" s="862">
        <f>IFERROR('📈 Cổ Phiếu VN 🔍'!$E$63,0)</f>
        <v/>
      </c>
      <c r="F64" s="862">
        <f>IFERROR('📈 Cổ Phiếu VN 🔍'!$F$63,0)</f>
        <v/>
      </c>
      <c r="G64" s="862">
        <f>IFERROR('📈 Cổ Phiếu VN 🔍'!$G$63,0)</f>
        <v/>
      </c>
      <c r="H64" s="862">
        <f>IFERROR('📈 Cổ Phiếu VN 🔍'!$T$63,0)</f>
        <v/>
      </c>
      <c r="I64" s="863">
        <f>IFERROR(IF('📈 Cổ Phiếu VN 🔍'!$A$63="","",ROUND(3.25+6.56*0.15+3.26*('📈 Cổ Phiếu VN 🔍'!$G$63/100*0.5)+6.72*('📈 Cổ Phiếu VN 🔍'!$G$63/100)+1.05*(1/('📈 Cổ Phiếu VN 🔍'!$T$63+0.5)),2)),"")</f>
        <v/>
      </c>
      <c r="J64" s="863">
        <f>IFERROR(IF('📈 Cổ Phiếu VN 🔍'!$A$63="","",ROUND(-4.84+0.92*(1+0.5*'📈 Cổ Phiếu VN 🔍'!$J$63/100)+0.528*1.02+0.404*1.01+0.892*(1+'📈 Cổ Phiếu VN 🔍'!$J$63/100)+0.115*1.02,2)),"")</f>
        <v/>
      </c>
      <c r="K64" s="863">
        <f>IFERROR(IF('📈 Cổ Phiếu VN 🔍'!$A$63="","",(IF('📈 Cổ Phiếu VN 🔍'!$G$63&gt;0,1,0)+IF('📈 Cổ Phiếu VN 🔍'!$G$63&gt;5,1,0)+IF('📈 Cổ Phiếu VN 🔍'!$G$63&gt;10,1,0)+IF('📈 Cổ Phiếu VN 🔍'!$G$63&gt;15,1,0)+IF('📈 Cổ Phiếu VN 🔍'!$T$63&lt;3,1,0)+IF('📈 Cổ Phiếu VN 🔍'!$T$63&lt;5,1,0)+IF('📈 Cổ Phiếu VN 🔍'!$J$63&gt;0,1,0)+IF('📈 Cổ Phiếu VN 🔍'!$E$63&lt;20,1,0)+IF('📈 Cổ Phiếu VN 🔍'!$E$63&gt;0,1,0))),"")</f>
        <v/>
      </c>
      <c r="L64" s="863">
        <f>IFERROR(IF(I64="","",IF(OR(I64&lt;1.8,J64&gt;-1.78,K64&lt;5),"🔴 CỜ ĐỎ",IF(OR(I64&lt;2.99,J64&gt;-2.22,K64&lt;7),"🟡 Theo dõi","🟢 Sạch"))),"")</f>
        <v/>
      </c>
      <c r="M64" s="863">
        <f>IFERROR(IF(L64="🟢 Sạch","✅ ĐỦ ĐIỀU KIỆN MUA",IF(L64="🟡 Theo dõi","⚠️ Cần xác minh BCTC","❌ LOẠI KHỎI BỘ LỌC")),"")</f>
        <v/>
      </c>
      <c r="N64" s="863">
        <f>IFERROR(IF(M64="✅ ĐỦ ĐIỀU KIỆN MUA",ROUND((I64/3+K64/9-J64/5)*10,1),0),"")</f>
        <v/>
      </c>
    </row>
    <row r="65" ht="15" customHeight="1" s="981">
      <c r="A65" s="861" t="n">
        <v>60</v>
      </c>
      <c r="B65" s="862">
        <f>IFERROR(IF('📈 Cổ Phiếu VN 🔍'!$A$64="","",'📈 Cổ Phiếu VN 🔍'!$A$64),"")</f>
        <v/>
      </c>
      <c r="C65" s="862">
        <f>IFERROR('📈 Cổ Phiếu VN 🔍'!$B$64,"")</f>
        <v/>
      </c>
      <c r="D65" s="862">
        <f>IFERROR('📈 Cổ Phiếu VN 🔍'!$C$64,"")</f>
        <v/>
      </c>
      <c r="E65" s="862">
        <f>IFERROR('📈 Cổ Phiếu VN 🔍'!$E$64,0)</f>
        <v/>
      </c>
      <c r="F65" s="862">
        <f>IFERROR('📈 Cổ Phiếu VN 🔍'!$F$64,0)</f>
        <v/>
      </c>
      <c r="G65" s="862">
        <f>IFERROR('📈 Cổ Phiếu VN 🔍'!$G$64,0)</f>
        <v/>
      </c>
      <c r="H65" s="862">
        <f>IFERROR('📈 Cổ Phiếu VN 🔍'!$T$64,0)</f>
        <v/>
      </c>
      <c r="I65" s="863">
        <f>IFERROR(IF('📈 Cổ Phiếu VN 🔍'!$A$64="","",ROUND(3.25+6.56*0.15+3.26*('📈 Cổ Phiếu VN 🔍'!$G$64/100*0.5)+6.72*('📈 Cổ Phiếu VN 🔍'!$G$64/100)+1.05*(1/('📈 Cổ Phiếu VN 🔍'!$T$64+0.5)),2)),"")</f>
        <v/>
      </c>
      <c r="J65" s="863">
        <f>IFERROR(IF('📈 Cổ Phiếu VN 🔍'!$A$64="","",ROUND(-4.84+0.92*(1+0.5*'📈 Cổ Phiếu VN 🔍'!$J$64/100)+0.528*1.02+0.404*1.01+0.892*(1+'📈 Cổ Phiếu VN 🔍'!$J$64/100)+0.115*1.02,2)),"")</f>
        <v/>
      </c>
      <c r="K65" s="863">
        <f>IFERROR(IF('📈 Cổ Phiếu VN 🔍'!$A$64="","",(IF('📈 Cổ Phiếu VN 🔍'!$G$64&gt;0,1,0)+IF('📈 Cổ Phiếu VN 🔍'!$G$64&gt;5,1,0)+IF('📈 Cổ Phiếu VN 🔍'!$G$64&gt;10,1,0)+IF('📈 Cổ Phiếu VN 🔍'!$G$64&gt;15,1,0)+IF('📈 Cổ Phiếu VN 🔍'!$T$64&lt;3,1,0)+IF('📈 Cổ Phiếu VN 🔍'!$T$64&lt;5,1,0)+IF('📈 Cổ Phiếu VN 🔍'!$J$64&gt;0,1,0)+IF('📈 Cổ Phiếu VN 🔍'!$E$64&lt;20,1,0)+IF('📈 Cổ Phiếu VN 🔍'!$E$64&gt;0,1,0))),"")</f>
        <v/>
      </c>
      <c r="L65" s="863">
        <f>IFERROR(IF(I65="","",IF(OR(I65&lt;1.8,J65&gt;-1.78,K65&lt;5),"🔴 CỜ ĐỎ",IF(OR(I65&lt;2.99,J65&gt;-2.22,K65&lt;7),"🟡 Theo dõi","🟢 Sạch"))),"")</f>
        <v/>
      </c>
      <c r="M65" s="863">
        <f>IFERROR(IF(L65="🟢 Sạch","✅ ĐỦ ĐIỀU KIỆN MUA",IF(L65="🟡 Theo dõi","⚠️ Cần xác minh BCTC","❌ LOẠI KHỎI BỘ LỌC")),"")</f>
        <v/>
      </c>
      <c r="N65" s="863">
        <f>IFERROR(IF(M65="✅ ĐỦ ĐIỀU KIỆN MUA",ROUND((I65/3+K65/9-J65/5)*10,1),0),"")</f>
        <v/>
      </c>
    </row>
    <row r="66" ht="15" customHeight="1" s="981">
      <c r="A66" s="861" t="n">
        <v>61</v>
      </c>
      <c r="B66" s="862">
        <f>IFERROR(IF('📈 Cổ Phiếu VN 🔍'!$A$65="","",'📈 Cổ Phiếu VN 🔍'!$A$65),"")</f>
        <v/>
      </c>
      <c r="C66" s="862">
        <f>IFERROR('📈 Cổ Phiếu VN 🔍'!$B$65,"")</f>
        <v/>
      </c>
      <c r="D66" s="862">
        <f>IFERROR('📈 Cổ Phiếu VN 🔍'!$C$65,"")</f>
        <v/>
      </c>
      <c r="E66" s="862">
        <f>IFERROR('📈 Cổ Phiếu VN 🔍'!$E$65,0)</f>
        <v/>
      </c>
      <c r="F66" s="862">
        <f>IFERROR('📈 Cổ Phiếu VN 🔍'!$F$65,0)</f>
        <v/>
      </c>
      <c r="G66" s="862">
        <f>IFERROR('📈 Cổ Phiếu VN 🔍'!$G$65,0)</f>
        <v/>
      </c>
      <c r="H66" s="862">
        <f>IFERROR('📈 Cổ Phiếu VN 🔍'!$T$65,0)</f>
        <v/>
      </c>
      <c r="I66" s="863">
        <f>IFERROR(IF('📈 Cổ Phiếu VN 🔍'!$A$65="","",ROUND(3.25+6.56*0.15+3.26*('📈 Cổ Phiếu VN 🔍'!$G$65/100*0.5)+6.72*('📈 Cổ Phiếu VN 🔍'!$G$65/100)+1.05*(1/('📈 Cổ Phiếu VN 🔍'!$T$65+0.5)),2)),"")</f>
        <v/>
      </c>
      <c r="J66" s="863">
        <f>IFERROR(IF('📈 Cổ Phiếu VN 🔍'!$A$65="","",ROUND(-4.84+0.92*(1+0.5*'📈 Cổ Phiếu VN 🔍'!$J$65/100)+0.528*1.02+0.404*1.01+0.892*(1+'📈 Cổ Phiếu VN 🔍'!$J$65/100)+0.115*1.02,2)),"")</f>
        <v/>
      </c>
      <c r="K66" s="863">
        <f>IFERROR(IF('📈 Cổ Phiếu VN 🔍'!$A$65="","",(IF('📈 Cổ Phiếu VN 🔍'!$G$65&gt;0,1,0)+IF('📈 Cổ Phiếu VN 🔍'!$G$65&gt;5,1,0)+IF('📈 Cổ Phiếu VN 🔍'!$G$65&gt;10,1,0)+IF('📈 Cổ Phiếu VN 🔍'!$G$65&gt;15,1,0)+IF('📈 Cổ Phiếu VN 🔍'!$T$65&lt;3,1,0)+IF('📈 Cổ Phiếu VN 🔍'!$T$65&lt;5,1,0)+IF('📈 Cổ Phiếu VN 🔍'!$J$65&gt;0,1,0)+IF('📈 Cổ Phiếu VN 🔍'!$E$65&lt;20,1,0)+IF('📈 Cổ Phiếu VN 🔍'!$E$65&gt;0,1,0))),"")</f>
        <v/>
      </c>
      <c r="L66" s="863">
        <f>IFERROR(IF(I66="","",IF(OR(I66&lt;1.8,J66&gt;-1.78,K66&lt;5),"🔴 CỜ ĐỎ",IF(OR(I66&lt;2.99,J66&gt;-2.22,K66&lt;7),"🟡 Theo dõi","🟢 Sạch"))),"")</f>
        <v/>
      </c>
      <c r="M66" s="863">
        <f>IFERROR(IF(L66="🟢 Sạch","✅ ĐỦ ĐIỀU KIỆN MUA",IF(L66="🟡 Theo dõi","⚠️ Cần xác minh BCTC","❌ LOẠI KHỎI BỘ LỌC")),"")</f>
        <v/>
      </c>
      <c r="N66" s="863">
        <f>IFERROR(IF(M66="✅ ĐỦ ĐIỀU KIỆN MUA",ROUND((I66/3+K66/9-J66/5)*10,1),0),"")</f>
        <v/>
      </c>
    </row>
    <row r="67" ht="15" customHeight="1" s="981">
      <c r="A67" s="861" t="n">
        <v>62</v>
      </c>
      <c r="B67" s="862">
        <f>IFERROR(IF('📈 Cổ Phiếu VN 🔍'!$A$66="","",'📈 Cổ Phiếu VN 🔍'!$A$66),"")</f>
        <v/>
      </c>
      <c r="C67" s="862">
        <f>IFERROR('📈 Cổ Phiếu VN 🔍'!$B$66,"")</f>
        <v/>
      </c>
      <c r="D67" s="862">
        <f>IFERROR('📈 Cổ Phiếu VN 🔍'!$C$66,"")</f>
        <v/>
      </c>
      <c r="E67" s="862">
        <f>IFERROR('📈 Cổ Phiếu VN 🔍'!$E$66,0)</f>
        <v/>
      </c>
      <c r="F67" s="862">
        <f>IFERROR('📈 Cổ Phiếu VN 🔍'!$F$66,0)</f>
        <v/>
      </c>
      <c r="G67" s="862">
        <f>IFERROR('📈 Cổ Phiếu VN 🔍'!$G$66,0)</f>
        <v/>
      </c>
      <c r="H67" s="862">
        <f>IFERROR('📈 Cổ Phiếu VN 🔍'!$T$66,0)</f>
        <v/>
      </c>
      <c r="I67" s="863">
        <f>IFERROR(IF('📈 Cổ Phiếu VN 🔍'!$A$66="","",ROUND(3.25+6.56*0.15+3.26*('📈 Cổ Phiếu VN 🔍'!$G$66/100*0.5)+6.72*('📈 Cổ Phiếu VN 🔍'!$G$66/100)+1.05*(1/('📈 Cổ Phiếu VN 🔍'!$T$66+0.5)),2)),"")</f>
        <v/>
      </c>
      <c r="J67" s="863">
        <f>IFERROR(IF('📈 Cổ Phiếu VN 🔍'!$A$66="","",ROUND(-4.84+0.92*(1+0.5*'📈 Cổ Phiếu VN 🔍'!$J$66/100)+0.528*1.02+0.404*1.01+0.892*(1+'📈 Cổ Phiếu VN 🔍'!$J$66/100)+0.115*1.02,2)),"")</f>
        <v/>
      </c>
      <c r="K67" s="863">
        <f>IFERROR(IF('📈 Cổ Phiếu VN 🔍'!$A$66="","",(IF('📈 Cổ Phiếu VN 🔍'!$G$66&gt;0,1,0)+IF('📈 Cổ Phiếu VN 🔍'!$G$66&gt;5,1,0)+IF('📈 Cổ Phiếu VN 🔍'!$G$66&gt;10,1,0)+IF('📈 Cổ Phiếu VN 🔍'!$G$66&gt;15,1,0)+IF('📈 Cổ Phiếu VN 🔍'!$T$66&lt;3,1,0)+IF('📈 Cổ Phiếu VN 🔍'!$T$66&lt;5,1,0)+IF('📈 Cổ Phiếu VN 🔍'!$J$66&gt;0,1,0)+IF('📈 Cổ Phiếu VN 🔍'!$E$66&lt;20,1,0)+IF('📈 Cổ Phiếu VN 🔍'!$E$66&gt;0,1,0))),"")</f>
        <v/>
      </c>
      <c r="L67" s="863">
        <f>IFERROR(IF(I67="","",IF(OR(I67&lt;1.8,J67&gt;-1.78,K67&lt;5),"🔴 CỜ ĐỎ",IF(OR(I67&lt;2.99,J67&gt;-2.22,K67&lt;7),"🟡 Theo dõi","🟢 Sạch"))),"")</f>
        <v/>
      </c>
      <c r="M67" s="863">
        <f>IFERROR(IF(L67="🟢 Sạch","✅ ĐỦ ĐIỀU KIỆN MUA",IF(L67="🟡 Theo dõi","⚠️ Cần xác minh BCTC","❌ LOẠI KHỎI BỘ LỌC")),"")</f>
        <v/>
      </c>
      <c r="N67" s="863">
        <f>IFERROR(IF(M67="✅ ĐỦ ĐIỀU KIỆN MUA",ROUND((I67/3+K67/9-J67/5)*10,1),0),"")</f>
        <v/>
      </c>
    </row>
    <row r="68" ht="15" customHeight="1" s="981">
      <c r="A68" s="861" t="n">
        <v>63</v>
      </c>
      <c r="B68" s="862">
        <f>IFERROR(IF('📈 Cổ Phiếu VN 🔍'!$A$67="","",'📈 Cổ Phiếu VN 🔍'!$A$67),"")</f>
        <v/>
      </c>
      <c r="C68" s="862">
        <f>IFERROR('📈 Cổ Phiếu VN 🔍'!$B$67,"")</f>
        <v/>
      </c>
      <c r="D68" s="862">
        <f>IFERROR('📈 Cổ Phiếu VN 🔍'!$C$67,"")</f>
        <v/>
      </c>
      <c r="E68" s="862">
        <f>IFERROR('📈 Cổ Phiếu VN 🔍'!$E$67,0)</f>
        <v/>
      </c>
      <c r="F68" s="862">
        <f>IFERROR('📈 Cổ Phiếu VN 🔍'!$F$67,0)</f>
        <v/>
      </c>
      <c r="G68" s="862">
        <f>IFERROR('📈 Cổ Phiếu VN 🔍'!$G$67,0)</f>
        <v/>
      </c>
      <c r="H68" s="862">
        <f>IFERROR('📈 Cổ Phiếu VN 🔍'!$T$67,0)</f>
        <v/>
      </c>
      <c r="I68" s="863">
        <f>IFERROR(IF('📈 Cổ Phiếu VN 🔍'!$A$67="","",ROUND(3.25+6.56*0.15+3.26*('📈 Cổ Phiếu VN 🔍'!$G$67/100*0.5)+6.72*('📈 Cổ Phiếu VN 🔍'!$G$67/100)+1.05*(1/('📈 Cổ Phiếu VN 🔍'!$T$67+0.5)),2)),"")</f>
        <v/>
      </c>
      <c r="J68" s="863">
        <f>IFERROR(IF('📈 Cổ Phiếu VN 🔍'!$A$67="","",ROUND(-4.84+0.92*(1+0.5*'📈 Cổ Phiếu VN 🔍'!$J$67/100)+0.528*1.02+0.404*1.01+0.892*(1+'📈 Cổ Phiếu VN 🔍'!$J$67/100)+0.115*1.02,2)),"")</f>
        <v/>
      </c>
      <c r="K68" s="863">
        <f>IFERROR(IF('📈 Cổ Phiếu VN 🔍'!$A$67="","",(IF('📈 Cổ Phiếu VN 🔍'!$G$67&gt;0,1,0)+IF('📈 Cổ Phiếu VN 🔍'!$G$67&gt;5,1,0)+IF('📈 Cổ Phiếu VN 🔍'!$G$67&gt;10,1,0)+IF('📈 Cổ Phiếu VN 🔍'!$G$67&gt;15,1,0)+IF('📈 Cổ Phiếu VN 🔍'!$T$67&lt;3,1,0)+IF('📈 Cổ Phiếu VN 🔍'!$T$67&lt;5,1,0)+IF('📈 Cổ Phiếu VN 🔍'!$J$67&gt;0,1,0)+IF('📈 Cổ Phiếu VN 🔍'!$E$67&lt;20,1,0)+IF('📈 Cổ Phiếu VN 🔍'!$E$67&gt;0,1,0))),"")</f>
        <v/>
      </c>
      <c r="L68" s="863">
        <f>IFERROR(IF(I68="","",IF(OR(I68&lt;1.8,J68&gt;-1.78,K68&lt;5),"🔴 CỜ ĐỎ",IF(OR(I68&lt;2.99,J68&gt;-2.22,K68&lt;7),"🟡 Theo dõi","🟢 Sạch"))),"")</f>
        <v/>
      </c>
      <c r="M68" s="863">
        <f>IFERROR(IF(L68="🟢 Sạch","✅ ĐỦ ĐIỀU KIỆN MUA",IF(L68="🟡 Theo dõi","⚠️ Cần xác minh BCTC","❌ LOẠI KHỎI BỘ LỌC")),"")</f>
        <v/>
      </c>
      <c r="N68" s="863">
        <f>IFERROR(IF(M68="✅ ĐỦ ĐIỀU KIỆN MUA",ROUND((I68/3+K68/9-J68/5)*10,1),0),"")</f>
        <v/>
      </c>
    </row>
    <row r="69" ht="15" customHeight="1" s="981">
      <c r="A69" s="861" t="n">
        <v>64</v>
      </c>
      <c r="B69" s="862">
        <f>IFERROR(IF('📈 Cổ Phiếu VN 🔍'!$A$68="","",'📈 Cổ Phiếu VN 🔍'!$A$68),"")</f>
        <v/>
      </c>
      <c r="C69" s="862">
        <f>IFERROR('📈 Cổ Phiếu VN 🔍'!$B$68,"")</f>
        <v/>
      </c>
      <c r="D69" s="862">
        <f>IFERROR('📈 Cổ Phiếu VN 🔍'!$C$68,"")</f>
        <v/>
      </c>
      <c r="E69" s="862">
        <f>IFERROR('📈 Cổ Phiếu VN 🔍'!$E$68,0)</f>
        <v/>
      </c>
      <c r="F69" s="862">
        <f>IFERROR('📈 Cổ Phiếu VN 🔍'!$F$68,0)</f>
        <v/>
      </c>
      <c r="G69" s="862">
        <f>IFERROR('📈 Cổ Phiếu VN 🔍'!$G$68,0)</f>
        <v/>
      </c>
      <c r="H69" s="862">
        <f>IFERROR('📈 Cổ Phiếu VN 🔍'!$T$68,0)</f>
        <v/>
      </c>
      <c r="I69" s="863">
        <f>IFERROR(IF('📈 Cổ Phiếu VN 🔍'!$A$68="","",ROUND(3.25+6.56*0.15+3.26*('📈 Cổ Phiếu VN 🔍'!$G$68/100*0.5)+6.72*('📈 Cổ Phiếu VN 🔍'!$G$68/100)+1.05*(1/('📈 Cổ Phiếu VN 🔍'!$T$68+0.5)),2)),"")</f>
        <v/>
      </c>
      <c r="J69" s="863">
        <f>IFERROR(IF('📈 Cổ Phiếu VN 🔍'!$A$68="","",ROUND(-4.84+0.92*(1+0.5*'📈 Cổ Phiếu VN 🔍'!$J$68/100)+0.528*1.02+0.404*1.01+0.892*(1+'📈 Cổ Phiếu VN 🔍'!$J$68/100)+0.115*1.02,2)),"")</f>
        <v/>
      </c>
      <c r="K69" s="863">
        <f>IFERROR(IF('📈 Cổ Phiếu VN 🔍'!$A$68="","",(IF('📈 Cổ Phiếu VN 🔍'!$G$68&gt;0,1,0)+IF('📈 Cổ Phiếu VN 🔍'!$G$68&gt;5,1,0)+IF('📈 Cổ Phiếu VN 🔍'!$G$68&gt;10,1,0)+IF('📈 Cổ Phiếu VN 🔍'!$G$68&gt;15,1,0)+IF('📈 Cổ Phiếu VN 🔍'!$T$68&lt;3,1,0)+IF('📈 Cổ Phiếu VN 🔍'!$T$68&lt;5,1,0)+IF('📈 Cổ Phiếu VN 🔍'!$J$68&gt;0,1,0)+IF('📈 Cổ Phiếu VN 🔍'!$E$68&lt;20,1,0)+IF('📈 Cổ Phiếu VN 🔍'!$E$68&gt;0,1,0))),"")</f>
        <v/>
      </c>
      <c r="L69" s="863">
        <f>IFERROR(IF(I69="","",IF(OR(I69&lt;1.8,J69&gt;-1.78,K69&lt;5),"🔴 CỜ ĐỎ",IF(OR(I69&lt;2.99,J69&gt;-2.22,K69&lt;7),"🟡 Theo dõi","🟢 Sạch"))),"")</f>
        <v/>
      </c>
      <c r="M69" s="863">
        <f>IFERROR(IF(L69="🟢 Sạch","✅ ĐỦ ĐIỀU KIỆN MUA",IF(L69="🟡 Theo dõi","⚠️ Cần xác minh BCTC","❌ LOẠI KHỎI BỘ LỌC")),"")</f>
        <v/>
      </c>
      <c r="N69" s="863">
        <f>IFERROR(IF(M69="✅ ĐỦ ĐIỀU KIỆN MUA",ROUND((I69/3+K69/9-J69/5)*10,1),0),"")</f>
        <v/>
      </c>
    </row>
    <row r="70" ht="15" customHeight="1" s="981">
      <c r="A70" s="861" t="n">
        <v>65</v>
      </c>
      <c r="B70" s="862">
        <f>IFERROR(IF('📈 Cổ Phiếu VN 🔍'!$A$69="","",'📈 Cổ Phiếu VN 🔍'!$A$69),"")</f>
        <v/>
      </c>
      <c r="C70" s="862">
        <f>IFERROR('📈 Cổ Phiếu VN 🔍'!$B$69,"")</f>
        <v/>
      </c>
      <c r="D70" s="862">
        <f>IFERROR('📈 Cổ Phiếu VN 🔍'!$C$69,"")</f>
        <v/>
      </c>
      <c r="E70" s="862">
        <f>IFERROR('📈 Cổ Phiếu VN 🔍'!$E$69,0)</f>
        <v/>
      </c>
      <c r="F70" s="862">
        <f>IFERROR('📈 Cổ Phiếu VN 🔍'!$F$69,0)</f>
        <v/>
      </c>
      <c r="G70" s="862">
        <f>IFERROR('📈 Cổ Phiếu VN 🔍'!$G$69,0)</f>
        <v/>
      </c>
      <c r="H70" s="862">
        <f>IFERROR('📈 Cổ Phiếu VN 🔍'!$T$69,0)</f>
        <v/>
      </c>
      <c r="I70" s="863">
        <f>IFERROR(IF('📈 Cổ Phiếu VN 🔍'!$A$69="","",ROUND(3.25+6.56*0.15+3.26*('📈 Cổ Phiếu VN 🔍'!$G$69/100*0.5)+6.72*('📈 Cổ Phiếu VN 🔍'!$G$69/100)+1.05*(1/('📈 Cổ Phiếu VN 🔍'!$T$69+0.5)),2)),"")</f>
        <v/>
      </c>
      <c r="J70" s="863">
        <f>IFERROR(IF('📈 Cổ Phiếu VN 🔍'!$A$69="","",ROUND(-4.84+0.92*(1+0.5*'📈 Cổ Phiếu VN 🔍'!$J$69/100)+0.528*1.02+0.404*1.01+0.892*(1+'📈 Cổ Phiếu VN 🔍'!$J$69/100)+0.115*1.02,2)),"")</f>
        <v/>
      </c>
      <c r="K70" s="863">
        <f>IFERROR(IF('📈 Cổ Phiếu VN 🔍'!$A$69="","",(IF('📈 Cổ Phiếu VN 🔍'!$G$69&gt;0,1,0)+IF('📈 Cổ Phiếu VN 🔍'!$G$69&gt;5,1,0)+IF('📈 Cổ Phiếu VN 🔍'!$G$69&gt;10,1,0)+IF('📈 Cổ Phiếu VN 🔍'!$G$69&gt;15,1,0)+IF('📈 Cổ Phiếu VN 🔍'!$T$69&lt;3,1,0)+IF('📈 Cổ Phiếu VN 🔍'!$T$69&lt;5,1,0)+IF('📈 Cổ Phiếu VN 🔍'!$J$69&gt;0,1,0)+IF('📈 Cổ Phiếu VN 🔍'!$E$69&lt;20,1,0)+IF('📈 Cổ Phiếu VN 🔍'!$E$69&gt;0,1,0))),"")</f>
        <v/>
      </c>
      <c r="L70" s="863">
        <f>IFERROR(IF(I70="","",IF(OR(I70&lt;1.8,J70&gt;-1.78,K70&lt;5),"🔴 CỜ ĐỎ",IF(OR(I70&lt;2.99,J70&gt;-2.22,K70&lt;7),"🟡 Theo dõi","🟢 Sạch"))),"")</f>
        <v/>
      </c>
      <c r="M70" s="863">
        <f>IFERROR(IF(L70="🟢 Sạch","✅ ĐỦ ĐIỀU KIỆN MUA",IF(L70="🟡 Theo dõi","⚠️ Cần xác minh BCTC","❌ LOẠI KHỎI BỘ LỌC")),"")</f>
        <v/>
      </c>
      <c r="N70" s="863">
        <f>IFERROR(IF(M70="✅ ĐỦ ĐIỀU KIỆN MUA",ROUND((I70/3+K70/9-J70/5)*10,1),0),"")</f>
        <v/>
      </c>
    </row>
    <row r="71" ht="15" customHeight="1" s="981">
      <c r="A71" s="861" t="n">
        <v>66</v>
      </c>
      <c r="B71" s="862">
        <f>IFERROR(IF('📈 Cổ Phiếu VN 🔍'!$A$70="","",'📈 Cổ Phiếu VN 🔍'!$A$70),"")</f>
        <v/>
      </c>
      <c r="C71" s="862">
        <f>IFERROR('📈 Cổ Phiếu VN 🔍'!$B$70,"")</f>
        <v/>
      </c>
      <c r="D71" s="862">
        <f>IFERROR('📈 Cổ Phiếu VN 🔍'!$C$70,"")</f>
        <v/>
      </c>
      <c r="E71" s="862">
        <f>IFERROR('📈 Cổ Phiếu VN 🔍'!$E$70,0)</f>
        <v/>
      </c>
      <c r="F71" s="862">
        <f>IFERROR('📈 Cổ Phiếu VN 🔍'!$F$70,0)</f>
        <v/>
      </c>
      <c r="G71" s="862">
        <f>IFERROR('📈 Cổ Phiếu VN 🔍'!$G$70,0)</f>
        <v/>
      </c>
      <c r="H71" s="862">
        <f>IFERROR('📈 Cổ Phiếu VN 🔍'!$T$70,0)</f>
        <v/>
      </c>
      <c r="I71" s="863">
        <f>IFERROR(IF('📈 Cổ Phiếu VN 🔍'!$A$70="","",ROUND(3.25+6.56*0.15+3.26*('📈 Cổ Phiếu VN 🔍'!$G$70/100*0.5)+6.72*('📈 Cổ Phiếu VN 🔍'!$G$70/100)+1.05*(1/('📈 Cổ Phiếu VN 🔍'!$T$70+0.5)),2)),"")</f>
        <v/>
      </c>
      <c r="J71" s="863">
        <f>IFERROR(IF('📈 Cổ Phiếu VN 🔍'!$A$70="","",ROUND(-4.84+0.92*(1+0.5*'📈 Cổ Phiếu VN 🔍'!$J$70/100)+0.528*1.02+0.404*1.01+0.892*(1+'📈 Cổ Phiếu VN 🔍'!$J$70/100)+0.115*1.02,2)),"")</f>
        <v/>
      </c>
      <c r="K71" s="863">
        <f>IFERROR(IF('📈 Cổ Phiếu VN 🔍'!$A$70="","",(IF('📈 Cổ Phiếu VN 🔍'!$G$70&gt;0,1,0)+IF('📈 Cổ Phiếu VN 🔍'!$G$70&gt;5,1,0)+IF('📈 Cổ Phiếu VN 🔍'!$G$70&gt;10,1,0)+IF('📈 Cổ Phiếu VN 🔍'!$G$70&gt;15,1,0)+IF('📈 Cổ Phiếu VN 🔍'!$T$70&lt;3,1,0)+IF('📈 Cổ Phiếu VN 🔍'!$T$70&lt;5,1,0)+IF('📈 Cổ Phiếu VN 🔍'!$J$70&gt;0,1,0)+IF('📈 Cổ Phiếu VN 🔍'!$E$70&lt;20,1,0)+IF('📈 Cổ Phiếu VN 🔍'!$E$70&gt;0,1,0))),"")</f>
        <v/>
      </c>
      <c r="L71" s="863">
        <f>IFERROR(IF(I71="","",IF(OR(I71&lt;1.8,J71&gt;-1.78,K71&lt;5),"🔴 CỜ ĐỎ",IF(OR(I71&lt;2.99,J71&gt;-2.22,K71&lt;7),"🟡 Theo dõi","🟢 Sạch"))),"")</f>
        <v/>
      </c>
      <c r="M71" s="863">
        <f>IFERROR(IF(L71="🟢 Sạch","✅ ĐỦ ĐIỀU KIỆN MUA",IF(L71="🟡 Theo dõi","⚠️ Cần xác minh BCTC","❌ LOẠI KHỎI BỘ LỌC")),"")</f>
        <v/>
      </c>
      <c r="N71" s="863">
        <f>IFERROR(IF(M71="✅ ĐỦ ĐIỀU KIỆN MUA",ROUND((I71/3+K71/9-J71/5)*10,1),0),"")</f>
        <v/>
      </c>
    </row>
    <row r="72" ht="15" customHeight="1" s="981">
      <c r="A72" s="861" t="n">
        <v>67</v>
      </c>
      <c r="B72" s="862">
        <f>IFERROR(IF('📈 Cổ Phiếu VN 🔍'!$A$71="","",'📈 Cổ Phiếu VN 🔍'!$A$71),"")</f>
        <v/>
      </c>
      <c r="C72" s="862">
        <f>IFERROR('📈 Cổ Phiếu VN 🔍'!$B$71,"")</f>
        <v/>
      </c>
      <c r="D72" s="862">
        <f>IFERROR('📈 Cổ Phiếu VN 🔍'!$C$71,"")</f>
        <v/>
      </c>
      <c r="E72" s="862">
        <f>IFERROR('📈 Cổ Phiếu VN 🔍'!$E$71,0)</f>
        <v/>
      </c>
      <c r="F72" s="862">
        <f>IFERROR('📈 Cổ Phiếu VN 🔍'!$F$71,0)</f>
        <v/>
      </c>
      <c r="G72" s="862">
        <f>IFERROR('📈 Cổ Phiếu VN 🔍'!$G$71,0)</f>
        <v/>
      </c>
      <c r="H72" s="862">
        <f>IFERROR('📈 Cổ Phiếu VN 🔍'!$T$71,0)</f>
        <v/>
      </c>
      <c r="I72" s="863">
        <f>IFERROR(IF('📈 Cổ Phiếu VN 🔍'!$A$71="","",ROUND(3.25+6.56*0.15+3.26*('📈 Cổ Phiếu VN 🔍'!$G$71/100*0.5)+6.72*('📈 Cổ Phiếu VN 🔍'!$G$71/100)+1.05*(1/('📈 Cổ Phiếu VN 🔍'!$T$71+0.5)),2)),"")</f>
        <v/>
      </c>
      <c r="J72" s="863">
        <f>IFERROR(IF('📈 Cổ Phiếu VN 🔍'!$A$71="","",ROUND(-4.84+0.92*(1+0.5*'📈 Cổ Phiếu VN 🔍'!$J$71/100)+0.528*1.02+0.404*1.01+0.892*(1+'📈 Cổ Phiếu VN 🔍'!$J$71/100)+0.115*1.02,2)),"")</f>
        <v/>
      </c>
      <c r="K72" s="863">
        <f>IFERROR(IF('📈 Cổ Phiếu VN 🔍'!$A$71="","",(IF('📈 Cổ Phiếu VN 🔍'!$G$71&gt;0,1,0)+IF('📈 Cổ Phiếu VN 🔍'!$G$71&gt;5,1,0)+IF('📈 Cổ Phiếu VN 🔍'!$G$71&gt;10,1,0)+IF('📈 Cổ Phiếu VN 🔍'!$G$71&gt;15,1,0)+IF('📈 Cổ Phiếu VN 🔍'!$T$71&lt;3,1,0)+IF('📈 Cổ Phiếu VN 🔍'!$T$71&lt;5,1,0)+IF('📈 Cổ Phiếu VN 🔍'!$J$71&gt;0,1,0)+IF('📈 Cổ Phiếu VN 🔍'!$E$71&lt;20,1,0)+IF('📈 Cổ Phiếu VN 🔍'!$E$71&gt;0,1,0))),"")</f>
        <v/>
      </c>
      <c r="L72" s="863">
        <f>IFERROR(IF(I72="","",IF(OR(I72&lt;1.8,J72&gt;-1.78,K72&lt;5),"🔴 CỜ ĐỎ",IF(OR(I72&lt;2.99,J72&gt;-2.22,K72&lt;7),"🟡 Theo dõi","🟢 Sạch"))),"")</f>
        <v/>
      </c>
      <c r="M72" s="863">
        <f>IFERROR(IF(L72="🟢 Sạch","✅ ĐỦ ĐIỀU KIỆN MUA",IF(L72="🟡 Theo dõi","⚠️ Cần xác minh BCTC","❌ LOẠI KHỎI BỘ LỌC")),"")</f>
        <v/>
      </c>
      <c r="N72" s="863">
        <f>IFERROR(IF(M72="✅ ĐỦ ĐIỀU KIỆN MUA",ROUND((I72/3+K72/9-J72/5)*10,1),0),"")</f>
        <v/>
      </c>
    </row>
    <row r="73" ht="15" customHeight="1" s="981">
      <c r="A73" s="861" t="n">
        <v>68</v>
      </c>
      <c r="B73" s="862">
        <f>IFERROR(IF('📈 Cổ Phiếu VN 🔍'!$A$72="","",'📈 Cổ Phiếu VN 🔍'!$A$72),"")</f>
        <v/>
      </c>
      <c r="C73" s="862">
        <f>IFERROR('📈 Cổ Phiếu VN 🔍'!$B$72,"")</f>
        <v/>
      </c>
      <c r="D73" s="862">
        <f>IFERROR('📈 Cổ Phiếu VN 🔍'!$C$72,"")</f>
        <v/>
      </c>
      <c r="E73" s="862">
        <f>IFERROR('📈 Cổ Phiếu VN 🔍'!$E$72,0)</f>
        <v/>
      </c>
      <c r="F73" s="862">
        <f>IFERROR('📈 Cổ Phiếu VN 🔍'!$F$72,0)</f>
        <v/>
      </c>
      <c r="G73" s="862">
        <f>IFERROR('📈 Cổ Phiếu VN 🔍'!$G$72,0)</f>
        <v/>
      </c>
      <c r="H73" s="862">
        <f>IFERROR('📈 Cổ Phiếu VN 🔍'!$T$72,0)</f>
        <v/>
      </c>
      <c r="I73" s="863">
        <f>IFERROR(IF('📈 Cổ Phiếu VN 🔍'!$A$72="","",ROUND(3.25+6.56*0.15+3.26*('📈 Cổ Phiếu VN 🔍'!$G$72/100*0.5)+6.72*('📈 Cổ Phiếu VN 🔍'!$G$72/100)+1.05*(1/('📈 Cổ Phiếu VN 🔍'!$T$72+0.5)),2)),"")</f>
        <v/>
      </c>
      <c r="J73" s="863">
        <f>IFERROR(IF('📈 Cổ Phiếu VN 🔍'!$A$72="","",ROUND(-4.84+0.92*(1+0.5*'📈 Cổ Phiếu VN 🔍'!$J$72/100)+0.528*1.02+0.404*1.01+0.892*(1+'📈 Cổ Phiếu VN 🔍'!$J$72/100)+0.115*1.02,2)),"")</f>
        <v/>
      </c>
      <c r="K73" s="863">
        <f>IFERROR(IF('📈 Cổ Phiếu VN 🔍'!$A$72="","",(IF('📈 Cổ Phiếu VN 🔍'!$G$72&gt;0,1,0)+IF('📈 Cổ Phiếu VN 🔍'!$G$72&gt;5,1,0)+IF('📈 Cổ Phiếu VN 🔍'!$G$72&gt;10,1,0)+IF('📈 Cổ Phiếu VN 🔍'!$G$72&gt;15,1,0)+IF('📈 Cổ Phiếu VN 🔍'!$T$72&lt;3,1,0)+IF('📈 Cổ Phiếu VN 🔍'!$T$72&lt;5,1,0)+IF('📈 Cổ Phiếu VN 🔍'!$J$72&gt;0,1,0)+IF('📈 Cổ Phiếu VN 🔍'!$E$72&lt;20,1,0)+IF('📈 Cổ Phiếu VN 🔍'!$E$72&gt;0,1,0))),"")</f>
        <v/>
      </c>
      <c r="L73" s="863">
        <f>IFERROR(IF(I73="","",IF(OR(I73&lt;1.8,J73&gt;-1.78,K73&lt;5),"🔴 CỜ ĐỎ",IF(OR(I73&lt;2.99,J73&gt;-2.22,K73&lt;7),"🟡 Theo dõi","🟢 Sạch"))),"")</f>
        <v/>
      </c>
      <c r="M73" s="863">
        <f>IFERROR(IF(L73="🟢 Sạch","✅ ĐỦ ĐIỀU KIỆN MUA",IF(L73="🟡 Theo dõi","⚠️ Cần xác minh BCTC","❌ LOẠI KHỎI BỘ LỌC")),"")</f>
        <v/>
      </c>
      <c r="N73" s="863">
        <f>IFERROR(IF(M73="✅ ĐỦ ĐIỀU KIỆN MUA",ROUND((I73/3+K73/9-J73/5)*10,1),0),"")</f>
        <v/>
      </c>
    </row>
    <row r="74" ht="15" customHeight="1" s="981">
      <c r="A74" s="861" t="n">
        <v>69</v>
      </c>
      <c r="B74" s="862">
        <f>IFERROR(IF('📈 Cổ Phiếu VN 🔍'!$A$73="","",'📈 Cổ Phiếu VN 🔍'!$A$73),"")</f>
        <v/>
      </c>
      <c r="C74" s="862">
        <f>IFERROR('📈 Cổ Phiếu VN 🔍'!$B$73,"")</f>
        <v/>
      </c>
      <c r="D74" s="862">
        <f>IFERROR('📈 Cổ Phiếu VN 🔍'!$C$73,"")</f>
        <v/>
      </c>
      <c r="E74" s="862">
        <f>IFERROR('📈 Cổ Phiếu VN 🔍'!$E$73,0)</f>
        <v/>
      </c>
      <c r="F74" s="862">
        <f>IFERROR('📈 Cổ Phiếu VN 🔍'!$F$73,0)</f>
        <v/>
      </c>
      <c r="G74" s="862">
        <f>IFERROR('📈 Cổ Phiếu VN 🔍'!$G$73,0)</f>
        <v/>
      </c>
      <c r="H74" s="862">
        <f>IFERROR('📈 Cổ Phiếu VN 🔍'!$T$73,0)</f>
        <v/>
      </c>
      <c r="I74" s="863">
        <f>IFERROR(IF('📈 Cổ Phiếu VN 🔍'!$A$73="","",ROUND(3.25+6.56*0.15+3.26*('📈 Cổ Phiếu VN 🔍'!$G$73/100*0.5)+6.72*('📈 Cổ Phiếu VN 🔍'!$G$73/100)+1.05*(1/('📈 Cổ Phiếu VN 🔍'!$T$73+0.5)),2)),"")</f>
        <v/>
      </c>
      <c r="J74" s="863">
        <f>IFERROR(IF('📈 Cổ Phiếu VN 🔍'!$A$73="","",ROUND(-4.84+0.92*(1+0.5*'📈 Cổ Phiếu VN 🔍'!$J$73/100)+0.528*1.02+0.404*1.01+0.892*(1+'📈 Cổ Phiếu VN 🔍'!$J$73/100)+0.115*1.02,2)),"")</f>
        <v/>
      </c>
      <c r="K74" s="863">
        <f>IFERROR(IF('📈 Cổ Phiếu VN 🔍'!$A$73="","",(IF('📈 Cổ Phiếu VN 🔍'!$G$73&gt;0,1,0)+IF('📈 Cổ Phiếu VN 🔍'!$G$73&gt;5,1,0)+IF('📈 Cổ Phiếu VN 🔍'!$G$73&gt;10,1,0)+IF('📈 Cổ Phiếu VN 🔍'!$G$73&gt;15,1,0)+IF('📈 Cổ Phiếu VN 🔍'!$T$73&lt;3,1,0)+IF('📈 Cổ Phiếu VN 🔍'!$T$73&lt;5,1,0)+IF('📈 Cổ Phiếu VN 🔍'!$J$73&gt;0,1,0)+IF('📈 Cổ Phiếu VN 🔍'!$E$73&lt;20,1,0)+IF('📈 Cổ Phiếu VN 🔍'!$E$73&gt;0,1,0))),"")</f>
        <v/>
      </c>
      <c r="L74" s="863">
        <f>IFERROR(IF(I74="","",IF(OR(I74&lt;1.8,J74&gt;-1.78,K74&lt;5),"🔴 CỜ ĐỎ",IF(OR(I74&lt;2.99,J74&gt;-2.22,K74&lt;7),"🟡 Theo dõi","🟢 Sạch"))),"")</f>
        <v/>
      </c>
      <c r="M74" s="863">
        <f>IFERROR(IF(L74="🟢 Sạch","✅ ĐỦ ĐIỀU KIỆN MUA",IF(L74="🟡 Theo dõi","⚠️ Cần xác minh BCTC","❌ LOẠI KHỎI BỘ LỌC")),"")</f>
        <v/>
      </c>
      <c r="N74" s="863">
        <f>IFERROR(IF(M74="✅ ĐỦ ĐIỀU KIỆN MUA",ROUND((I74/3+K74/9-J74/5)*10,1),0),"")</f>
        <v/>
      </c>
    </row>
    <row r="75" ht="15" customHeight="1" s="981">
      <c r="A75" s="861" t="n">
        <v>70</v>
      </c>
      <c r="B75" s="862">
        <f>IFERROR(IF('📈 Cổ Phiếu VN 🔍'!$A$74="","",'📈 Cổ Phiếu VN 🔍'!$A$74),"")</f>
        <v/>
      </c>
      <c r="C75" s="862">
        <f>IFERROR('📈 Cổ Phiếu VN 🔍'!$B$74,"")</f>
        <v/>
      </c>
      <c r="D75" s="862">
        <f>IFERROR('📈 Cổ Phiếu VN 🔍'!$C$74,"")</f>
        <v/>
      </c>
      <c r="E75" s="862">
        <f>IFERROR('📈 Cổ Phiếu VN 🔍'!$E$74,0)</f>
        <v/>
      </c>
      <c r="F75" s="862">
        <f>IFERROR('📈 Cổ Phiếu VN 🔍'!$F$74,0)</f>
        <v/>
      </c>
      <c r="G75" s="862">
        <f>IFERROR('📈 Cổ Phiếu VN 🔍'!$G$74,0)</f>
        <v/>
      </c>
      <c r="H75" s="862">
        <f>IFERROR('📈 Cổ Phiếu VN 🔍'!$T$74,0)</f>
        <v/>
      </c>
      <c r="I75" s="863">
        <f>IFERROR(IF('📈 Cổ Phiếu VN 🔍'!$A$74="","",ROUND(3.25+6.56*0.15+3.26*('📈 Cổ Phiếu VN 🔍'!$G$74/100*0.5)+6.72*('📈 Cổ Phiếu VN 🔍'!$G$74/100)+1.05*(1/('📈 Cổ Phiếu VN 🔍'!$T$74+0.5)),2)),"")</f>
        <v/>
      </c>
      <c r="J75" s="863">
        <f>IFERROR(IF('📈 Cổ Phiếu VN 🔍'!$A$74="","",ROUND(-4.84+0.92*(1+0.5*'📈 Cổ Phiếu VN 🔍'!$J$74/100)+0.528*1.02+0.404*1.01+0.892*(1+'📈 Cổ Phiếu VN 🔍'!$J$74/100)+0.115*1.02,2)),"")</f>
        <v/>
      </c>
      <c r="K75" s="863">
        <f>IFERROR(IF('📈 Cổ Phiếu VN 🔍'!$A$74="","",(IF('📈 Cổ Phiếu VN 🔍'!$G$74&gt;0,1,0)+IF('📈 Cổ Phiếu VN 🔍'!$G$74&gt;5,1,0)+IF('📈 Cổ Phiếu VN 🔍'!$G$74&gt;10,1,0)+IF('📈 Cổ Phiếu VN 🔍'!$G$74&gt;15,1,0)+IF('📈 Cổ Phiếu VN 🔍'!$T$74&lt;3,1,0)+IF('📈 Cổ Phiếu VN 🔍'!$T$74&lt;5,1,0)+IF('📈 Cổ Phiếu VN 🔍'!$J$74&gt;0,1,0)+IF('📈 Cổ Phiếu VN 🔍'!$E$74&lt;20,1,0)+IF('📈 Cổ Phiếu VN 🔍'!$E$74&gt;0,1,0))),"")</f>
        <v/>
      </c>
      <c r="L75" s="863">
        <f>IFERROR(IF(I75="","",IF(OR(I75&lt;1.8,J75&gt;-1.78,K75&lt;5),"🔴 CỜ ĐỎ",IF(OR(I75&lt;2.99,J75&gt;-2.22,K75&lt;7),"🟡 Theo dõi","🟢 Sạch"))),"")</f>
        <v/>
      </c>
      <c r="M75" s="863">
        <f>IFERROR(IF(L75="🟢 Sạch","✅ ĐỦ ĐIỀU KIỆN MUA",IF(L75="🟡 Theo dõi","⚠️ Cần xác minh BCTC","❌ LOẠI KHỎI BỘ LỌC")),"")</f>
        <v/>
      </c>
      <c r="N75" s="863">
        <f>IFERROR(IF(M75="✅ ĐỦ ĐIỀU KIỆN MUA",ROUND((I75/3+K75/9-J75/5)*10,1),0),"")</f>
        <v/>
      </c>
    </row>
    <row r="76" ht="15" customHeight="1" s="981">
      <c r="A76" s="861" t="n">
        <v>71</v>
      </c>
      <c r="B76" s="862">
        <f>IFERROR(IF('📈 Cổ Phiếu VN 🔍'!$A$75="","",'📈 Cổ Phiếu VN 🔍'!$A$75),"")</f>
        <v/>
      </c>
      <c r="C76" s="862">
        <f>IFERROR('📈 Cổ Phiếu VN 🔍'!$B$75,"")</f>
        <v/>
      </c>
      <c r="D76" s="862">
        <f>IFERROR('📈 Cổ Phiếu VN 🔍'!$C$75,"")</f>
        <v/>
      </c>
      <c r="E76" s="862">
        <f>IFERROR('📈 Cổ Phiếu VN 🔍'!$E$75,0)</f>
        <v/>
      </c>
      <c r="F76" s="862">
        <f>IFERROR('📈 Cổ Phiếu VN 🔍'!$F$75,0)</f>
        <v/>
      </c>
      <c r="G76" s="862">
        <f>IFERROR('📈 Cổ Phiếu VN 🔍'!$G$75,0)</f>
        <v/>
      </c>
      <c r="H76" s="862">
        <f>IFERROR('📈 Cổ Phiếu VN 🔍'!$T$75,0)</f>
        <v/>
      </c>
      <c r="I76" s="863">
        <f>IFERROR(IF('📈 Cổ Phiếu VN 🔍'!$A$75="","",ROUND(3.25+6.56*0.15+3.26*('📈 Cổ Phiếu VN 🔍'!$G$75/100*0.5)+6.72*('📈 Cổ Phiếu VN 🔍'!$G$75/100)+1.05*(1/('📈 Cổ Phiếu VN 🔍'!$T$75+0.5)),2)),"")</f>
        <v/>
      </c>
      <c r="J76" s="863">
        <f>IFERROR(IF('📈 Cổ Phiếu VN 🔍'!$A$75="","",ROUND(-4.84+0.92*(1+0.5*'📈 Cổ Phiếu VN 🔍'!$J$75/100)+0.528*1.02+0.404*1.01+0.892*(1+'📈 Cổ Phiếu VN 🔍'!$J$75/100)+0.115*1.02,2)),"")</f>
        <v/>
      </c>
      <c r="K76" s="863">
        <f>IFERROR(IF('📈 Cổ Phiếu VN 🔍'!$A$75="","",(IF('📈 Cổ Phiếu VN 🔍'!$G$75&gt;0,1,0)+IF('📈 Cổ Phiếu VN 🔍'!$G$75&gt;5,1,0)+IF('📈 Cổ Phiếu VN 🔍'!$G$75&gt;10,1,0)+IF('📈 Cổ Phiếu VN 🔍'!$G$75&gt;15,1,0)+IF('📈 Cổ Phiếu VN 🔍'!$T$75&lt;3,1,0)+IF('📈 Cổ Phiếu VN 🔍'!$T$75&lt;5,1,0)+IF('📈 Cổ Phiếu VN 🔍'!$J$75&gt;0,1,0)+IF('📈 Cổ Phiếu VN 🔍'!$E$75&lt;20,1,0)+IF('📈 Cổ Phiếu VN 🔍'!$E$75&gt;0,1,0))),"")</f>
        <v/>
      </c>
      <c r="L76" s="863">
        <f>IFERROR(IF(I76="","",IF(OR(I76&lt;1.8,J76&gt;-1.78,K76&lt;5),"🔴 CỜ ĐỎ",IF(OR(I76&lt;2.99,J76&gt;-2.22,K76&lt;7),"🟡 Theo dõi","🟢 Sạch"))),"")</f>
        <v/>
      </c>
      <c r="M76" s="863">
        <f>IFERROR(IF(L76="🟢 Sạch","✅ ĐỦ ĐIỀU KIỆN MUA",IF(L76="🟡 Theo dõi","⚠️ Cần xác minh BCTC","❌ LOẠI KHỎI BỘ LỌC")),"")</f>
        <v/>
      </c>
      <c r="N76" s="863">
        <f>IFERROR(IF(M76="✅ ĐỦ ĐIỀU KIỆN MUA",ROUND((I76/3+K76/9-J76/5)*10,1),0),"")</f>
        <v/>
      </c>
    </row>
    <row r="77" ht="15" customHeight="1" s="981">
      <c r="A77" s="861" t="n">
        <v>72</v>
      </c>
      <c r="B77" s="862">
        <f>IFERROR(IF('📈 Cổ Phiếu VN 🔍'!$A$76="","",'📈 Cổ Phiếu VN 🔍'!$A$76),"")</f>
        <v/>
      </c>
      <c r="C77" s="862">
        <f>IFERROR('📈 Cổ Phiếu VN 🔍'!$B$76,"")</f>
        <v/>
      </c>
      <c r="D77" s="862">
        <f>IFERROR('📈 Cổ Phiếu VN 🔍'!$C$76,"")</f>
        <v/>
      </c>
      <c r="E77" s="862">
        <f>IFERROR('📈 Cổ Phiếu VN 🔍'!$E$76,0)</f>
        <v/>
      </c>
      <c r="F77" s="862">
        <f>IFERROR('📈 Cổ Phiếu VN 🔍'!$F$76,0)</f>
        <v/>
      </c>
      <c r="G77" s="862">
        <f>IFERROR('📈 Cổ Phiếu VN 🔍'!$G$76,0)</f>
        <v/>
      </c>
      <c r="H77" s="862">
        <f>IFERROR('📈 Cổ Phiếu VN 🔍'!$T$76,0)</f>
        <v/>
      </c>
      <c r="I77" s="863">
        <f>IFERROR(IF('📈 Cổ Phiếu VN 🔍'!$A$76="","",ROUND(3.25+6.56*0.15+3.26*('📈 Cổ Phiếu VN 🔍'!$G$76/100*0.5)+6.72*('📈 Cổ Phiếu VN 🔍'!$G$76/100)+1.05*(1/('📈 Cổ Phiếu VN 🔍'!$T$76+0.5)),2)),"")</f>
        <v/>
      </c>
      <c r="J77" s="863">
        <f>IFERROR(IF('📈 Cổ Phiếu VN 🔍'!$A$76="","",ROUND(-4.84+0.92*(1+0.5*'📈 Cổ Phiếu VN 🔍'!$J$76/100)+0.528*1.02+0.404*1.01+0.892*(1+'📈 Cổ Phiếu VN 🔍'!$J$76/100)+0.115*1.02,2)),"")</f>
        <v/>
      </c>
      <c r="K77" s="863">
        <f>IFERROR(IF('📈 Cổ Phiếu VN 🔍'!$A$76="","",(IF('📈 Cổ Phiếu VN 🔍'!$G$76&gt;0,1,0)+IF('📈 Cổ Phiếu VN 🔍'!$G$76&gt;5,1,0)+IF('📈 Cổ Phiếu VN 🔍'!$G$76&gt;10,1,0)+IF('📈 Cổ Phiếu VN 🔍'!$G$76&gt;15,1,0)+IF('📈 Cổ Phiếu VN 🔍'!$T$76&lt;3,1,0)+IF('📈 Cổ Phiếu VN 🔍'!$T$76&lt;5,1,0)+IF('📈 Cổ Phiếu VN 🔍'!$J$76&gt;0,1,0)+IF('📈 Cổ Phiếu VN 🔍'!$E$76&lt;20,1,0)+IF('📈 Cổ Phiếu VN 🔍'!$E$76&gt;0,1,0))),"")</f>
        <v/>
      </c>
      <c r="L77" s="863">
        <f>IFERROR(IF(I77="","",IF(OR(I77&lt;1.8,J77&gt;-1.78,K77&lt;5),"🔴 CỜ ĐỎ",IF(OR(I77&lt;2.99,J77&gt;-2.22,K77&lt;7),"🟡 Theo dõi","🟢 Sạch"))),"")</f>
        <v/>
      </c>
      <c r="M77" s="863">
        <f>IFERROR(IF(L77="🟢 Sạch","✅ ĐỦ ĐIỀU KIỆN MUA",IF(L77="🟡 Theo dõi","⚠️ Cần xác minh BCTC","❌ LOẠI KHỎI BỘ LỌC")),"")</f>
        <v/>
      </c>
      <c r="N77" s="863">
        <f>IFERROR(IF(M77="✅ ĐỦ ĐIỀU KIỆN MUA",ROUND((I77/3+K77/9-J77/5)*10,1),0),"")</f>
        <v/>
      </c>
    </row>
    <row r="78" ht="15" customHeight="1" s="981">
      <c r="A78" s="861" t="n">
        <v>73</v>
      </c>
      <c r="B78" s="862">
        <f>IFERROR(IF('📈 Cổ Phiếu VN 🔍'!$A$77="","",'📈 Cổ Phiếu VN 🔍'!$A$77),"")</f>
        <v/>
      </c>
      <c r="C78" s="862">
        <f>IFERROR('📈 Cổ Phiếu VN 🔍'!$B$77,"")</f>
        <v/>
      </c>
      <c r="D78" s="862">
        <f>IFERROR('📈 Cổ Phiếu VN 🔍'!$C$77,"")</f>
        <v/>
      </c>
      <c r="E78" s="862">
        <f>IFERROR('📈 Cổ Phiếu VN 🔍'!$E$77,0)</f>
        <v/>
      </c>
      <c r="F78" s="862">
        <f>IFERROR('📈 Cổ Phiếu VN 🔍'!$F$77,0)</f>
        <v/>
      </c>
      <c r="G78" s="862">
        <f>IFERROR('📈 Cổ Phiếu VN 🔍'!$G$77,0)</f>
        <v/>
      </c>
      <c r="H78" s="862">
        <f>IFERROR('📈 Cổ Phiếu VN 🔍'!$T$77,0)</f>
        <v/>
      </c>
      <c r="I78" s="863">
        <f>IFERROR(IF('📈 Cổ Phiếu VN 🔍'!$A$77="","",ROUND(3.25+6.56*0.15+3.26*('📈 Cổ Phiếu VN 🔍'!$G$77/100*0.5)+6.72*('📈 Cổ Phiếu VN 🔍'!$G$77/100)+1.05*(1/('📈 Cổ Phiếu VN 🔍'!$T$77+0.5)),2)),"")</f>
        <v/>
      </c>
      <c r="J78" s="863">
        <f>IFERROR(IF('📈 Cổ Phiếu VN 🔍'!$A$77="","",ROUND(-4.84+0.92*(1+0.5*'📈 Cổ Phiếu VN 🔍'!$J$77/100)+0.528*1.02+0.404*1.01+0.892*(1+'📈 Cổ Phiếu VN 🔍'!$J$77/100)+0.115*1.02,2)),"")</f>
        <v/>
      </c>
      <c r="K78" s="863">
        <f>IFERROR(IF('📈 Cổ Phiếu VN 🔍'!$A$77="","",(IF('📈 Cổ Phiếu VN 🔍'!$G$77&gt;0,1,0)+IF('📈 Cổ Phiếu VN 🔍'!$G$77&gt;5,1,0)+IF('📈 Cổ Phiếu VN 🔍'!$G$77&gt;10,1,0)+IF('📈 Cổ Phiếu VN 🔍'!$G$77&gt;15,1,0)+IF('📈 Cổ Phiếu VN 🔍'!$T$77&lt;3,1,0)+IF('📈 Cổ Phiếu VN 🔍'!$T$77&lt;5,1,0)+IF('📈 Cổ Phiếu VN 🔍'!$J$77&gt;0,1,0)+IF('📈 Cổ Phiếu VN 🔍'!$E$77&lt;20,1,0)+IF('📈 Cổ Phiếu VN 🔍'!$E$77&gt;0,1,0))),"")</f>
        <v/>
      </c>
      <c r="L78" s="863">
        <f>IFERROR(IF(I78="","",IF(OR(I78&lt;1.8,J78&gt;-1.78,K78&lt;5),"🔴 CỜ ĐỎ",IF(OR(I78&lt;2.99,J78&gt;-2.22,K78&lt;7),"🟡 Theo dõi","🟢 Sạch"))),"")</f>
        <v/>
      </c>
      <c r="M78" s="863">
        <f>IFERROR(IF(L78="🟢 Sạch","✅ ĐỦ ĐIỀU KIỆN MUA",IF(L78="🟡 Theo dõi","⚠️ Cần xác minh BCTC","❌ LOẠI KHỎI BỘ LỌC")),"")</f>
        <v/>
      </c>
      <c r="N78" s="863">
        <f>IFERROR(IF(M78="✅ ĐỦ ĐIỀU KIỆN MUA",ROUND((I78/3+K78/9-J78/5)*10,1),0),"")</f>
        <v/>
      </c>
    </row>
    <row r="79" ht="15" customHeight="1" s="981">
      <c r="A79" s="861" t="n">
        <v>74</v>
      </c>
      <c r="B79" s="862">
        <f>IFERROR(IF('📈 Cổ Phiếu VN 🔍'!$A$78="","",'📈 Cổ Phiếu VN 🔍'!$A$78),"")</f>
        <v/>
      </c>
      <c r="C79" s="862">
        <f>IFERROR('📈 Cổ Phiếu VN 🔍'!$B$78,"")</f>
        <v/>
      </c>
      <c r="D79" s="862">
        <f>IFERROR('📈 Cổ Phiếu VN 🔍'!$C$78,"")</f>
        <v/>
      </c>
      <c r="E79" s="862">
        <f>IFERROR('📈 Cổ Phiếu VN 🔍'!$E$78,0)</f>
        <v/>
      </c>
      <c r="F79" s="862">
        <f>IFERROR('📈 Cổ Phiếu VN 🔍'!$F$78,0)</f>
        <v/>
      </c>
      <c r="G79" s="862">
        <f>IFERROR('📈 Cổ Phiếu VN 🔍'!$G$78,0)</f>
        <v/>
      </c>
      <c r="H79" s="862">
        <f>IFERROR('📈 Cổ Phiếu VN 🔍'!$T$78,0)</f>
        <v/>
      </c>
      <c r="I79" s="863">
        <f>IFERROR(IF('📈 Cổ Phiếu VN 🔍'!$A$78="","",ROUND(3.25+6.56*0.15+3.26*('📈 Cổ Phiếu VN 🔍'!$G$78/100*0.5)+6.72*('📈 Cổ Phiếu VN 🔍'!$G$78/100)+1.05*(1/('📈 Cổ Phiếu VN 🔍'!$T$78+0.5)),2)),"")</f>
        <v/>
      </c>
      <c r="J79" s="863">
        <f>IFERROR(IF('📈 Cổ Phiếu VN 🔍'!$A$78="","",ROUND(-4.84+0.92*(1+0.5*'📈 Cổ Phiếu VN 🔍'!$J$78/100)+0.528*1.02+0.404*1.01+0.892*(1+'📈 Cổ Phiếu VN 🔍'!$J$78/100)+0.115*1.02,2)),"")</f>
        <v/>
      </c>
      <c r="K79" s="863">
        <f>IFERROR(IF('📈 Cổ Phiếu VN 🔍'!$A$78="","",(IF('📈 Cổ Phiếu VN 🔍'!$G$78&gt;0,1,0)+IF('📈 Cổ Phiếu VN 🔍'!$G$78&gt;5,1,0)+IF('📈 Cổ Phiếu VN 🔍'!$G$78&gt;10,1,0)+IF('📈 Cổ Phiếu VN 🔍'!$G$78&gt;15,1,0)+IF('📈 Cổ Phiếu VN 🔍'!$T$78&lt;3,1,0)+IF('📈 Cổ Phiếu VN 🔍'!$T$78&lt;5,1,0)+IF('📈 Cổ Phiếu VN 🔍'!$J$78&gt;0,1,0)+IF('📈 Cổ Phiếu VN 🔍'!$E$78&lt;20,1,0)+IF('📈 Cổ Phiếu VN 🔍'!$E$78&gt;0,1,0))),"")</f>
        <v/>
      </c>
      <c r="L79" s="863">
        <f>IFERROR(IF(I79="","",IF(OR(I79&lt;1.8,J79&gt;-1.78,K79&lt;5),"🔴 CỜ ĐỎ",IF(OR(I79&lt;2.99,J79&gt;-2.22,K79&lt;7),"🟡 Theo dõi","🟢 Sạch"))),"")</f>
        <v/>
      </c>
      <c r="M79" s="863">
        <f>IFERROR(IF(L79="🟢 Sạch","✅ ĐỦ ĐIỀU KIỆN MUA",IF(L79="🟡 Theo dõi","⚠️ Cần xác minh BCTC","❌ LOẠI KHỎI BỘ LỌC")),"")</f>
        <v/>
      </c>
      <c r="N79" s="863">
        <f>IFERROR(IF(M79="✅ ĐỦ ĐIỀU KIỆN MUA",ROUND((I79/3+K79/9-J79/5)*10,1),0),"")</f>
        <v/>
      </c>
    </row>
    <row r="80" ht="15" customHeight="1" s="981">
      <c r="A80" s="861" t="n">
        <v>75</v>
      </c>
      <c r="B80" s="862">
        <f>IFERROR(IF('📈 Cổ Phiếu VN 🔍'!$A$79="","",'📈 Cổ Phiếu VN 🔍'!$A$79),"")</f>
        <v/>
      </c>
      <c r="C80" s="862">
        <f>IFERROR('📈 Cổ Phiếu VN 🔍'!$B$79,"")</f>
        <v/>
      </c>
      <c r="D80" s="862">
        <f>IFERROR('📈 Cổ Phiếu VN 🔍'!$C$79,"")</f>
        <v/>
      </c>
      <c r="E80" s="862">
        <f>IFERROR('📈 Cổ Phiếu VN 🔍'!$E$79,0)</f>
        <v/>
      </c>
      <c r="F80" s="862">
        <f>IFERROR('📈 Cổ Phiếu VN 🔍'!$F$79,0)</f>
        <v/>
      </c>
      <c r="G80" s="862">
        <f>IFERROR('📈 Cổ Phiếu VN 🔍'!$G$79,0)</f>
        <v/>
      </c>
      <c r="H80" s="862">
        <f>IFERROR('📈 Cổ Phiếu VN 🔍'!$T$79,0)</f>
        <v/>
      </c>
      <c r="I80" s="863">
        <f>IFERROR(IF('📈 Cổ Phiếu VN 🔍'!$A$79="","",ROUND(3.25+6.56*0.15+3.26*('📈 Cổ Phiếu VN 🔍'!$G$79/100*0.5)+6.72*('📈 Cổ Phiếu VN 🔍'!$G$79/100)+1.05*(1/('📈 Cổ Phiếu VN 🔍'!$T$79+0.5)),2)),"")</f>
        <v/>
      </c>
      <c r="J80" s="863">
        <f>IFERROR(IF('📈 Cổ Phiếu VN 🔍'!$A$79="","",ROUND(-4.84+0.92*(1+0.5*'📈 Cổ Phiếu VN 🔍'!$J$79/100)+0.528*1.02+0.404*1.01+0.892*(1+'📈 Cổ Phiếu VN 🔍'!$J$79/100)+0.115*1.02,2)),"")</f>
        <v/>
      </c>
      <c r="K80" s="863">
        <f>IFERROR(IF('📈 Cổ Phiếu VN 🔍'!$A$79="","",(IF('📈 Cổ Phiếu VN 🔍'!$G$79&gt;0,1,0)+IF('📈 Cổ Phiếu VN 🔍'!$G$79&gt;5,1,0)+IF('📈 Cổ Phiếu VN 🔍'!$G$79&gt;10,1,0)+IF('📈 Cổ Phiếu VN 🔍'!$G$79&gt;15,1,0)+IF('📈 Cổ Phiếu VN 🔍'!$T$79&lt;3,1,0)+IF('📈 Cổ Phiếu VN 🔍'!$T$79&lt;5,1,0)+IF('📈 Cổ Phiếu VN 🔍'!$J$79&gt;0,1,0)+IF('📈 Cổ Phiếu VN 🔍'!$E$79&lt;20,1,0)+IF('📈 Cổ Phiếu VN 🔍'!$E$79&gt;0,1,0))),"")</f>
        <v/>
      </c>
      <c r="L80" s="863">
        <f>IFERROR(IF(I80="","",IF(OR(I80&lt;1.8,J80&gt;-1.78,K80&lt;5),"🔴 CỜ ĐỎ",IF(OR(I80&lt;2.99,J80&gt;-2.22,K80&lt;7),"🟡 Theo dõi","🟢 Sạch"))),"")</f>
        <v/>
      </c>
      <c r="M80" s="863">
        <f>IFERROR(IF(L80="🟢 Sạch","✅ ĐỦ ĐIỀU KIỆN MUA",IF(L80="🟡 Theo dõi","⚠️ Cần xác minh BCTC","❌ LOẠI KHỎI BỘ LỌC")),"")</f>
        <v/>
      </c>
      <c r="N80" s="863">
        <f>IFERROR(IF(M80="✅ ĐỦ ĐIỀU KIỆN MUA",ROUND((I80/3+K80/9-J80/5)*10,1),0),"")</f>
        <v/>
      </c>
    </row>
    <row r="81" ht="15" customHeight="1" s="981">
      <c r="A81" s="861" t="n">
        <v>76</v>
      </c>
      <c r="B81" s="862">
        <f>IFERROR(IF('📈 Cổ Phiếu VN 🔍'!$A$80="","",'📈 Cổ Phiếu VN 🔍'!$A$80),"")</f>
        <v/>
      </c>
      <c r="C81" s="862">
        <f>IFERROR('📈 Cổ Phiếu VN 🔍'!$B$80,"")</f>
        <v/>
      </c>
      <c r="D81" s="862">
        <f>IFERROR('📈 Cổ Phiếu VN 🔍'!$C$80,"")</f>
        <v/>
      </c>
      <c r="E81" s="862">
        <f>IFERROR('📈 Cổ Phiếu VN 🔍'!$E$80,0)</f>
        <v/>
      </c>
      <c r="F81" s="862">
        <f>IFERROR('📈 Cổ Phiếu VN 🔍'!$F$80,0)</f>
        <v/>
      </c>
      <c r="G81" s="862">
        <f>IFERROR('📈 Cổ Phiếu VN 🔍'!$G$80,0)</f>
        <v/>
      </c>
      <c r="H81" s="862">
        <f>IFERROR('📈 Cổ Phiếu VN 🔍'!$T$80,0)</f>
        <v/>
      </c>
      <c r="I81" s="863">
        <f>IFERROR(IF('📈 Cổ Phiếu VN 🔍'!$A$80="","",ROUND(3.25+6.56*0.15+3.26*('📈 Cổ Phiếu VN 🔍'!$G$80/100*0.5)+6.72*('📈 Cổ Phiếu VN 🔍'!$G$80/100)+1.05*(1/('📈 Cổ Phiếu VN 🔍'!$T$80+0.5)),2)),"")</f>
        <v/>
      </c>
      <c r="J81" s="863">
        <f>IFERROR(IF('📈 Cổ Phiếu VN 🔍'!$A$80="","",ROUND(-4.84+0.92*(1+0.5*'📈 Cổ Phiếu VN 🔍'!$J$80/100)+0.528*1.02+0.404*1.01+0.892*(1+'📈 Cổ Phiếu VN 🔍'!$J$80/100)+0.115*1.02,2)),"")</f>
        <v/>
      </c>
      <c r="K81" s="863">
        <f>IFERROR(IF('📈 Cổ Phiếu VN 🔍'!$A$80="","",(IF('📈 Cổ Phiếu VN 🔍'!$G$80&gt;0,1,0)+IF('📈 Cổ Phiếu VN 🔍'!$G$80&gt;5,1,0)+IF('📈 Cổ Phiếu VN 🔍'!$G$80&gt;10,1,0)+IF('📈 Cổ Phiếu VN 🔍'!$G$80&gt;15,1,0)+IF('📈 Cổ Phiếu VN 🔍'!$T$80&lt;3,1,0)+IF('📈 Cổ Phiếu VN 🔍'!$T$80&lt;5,1,0)+IF('📈 Cổ Phiếu VN 🔍'!$J$80&gt;0,1,0)+IF('📈 Cổ Phiếu VN 🔍'!$E$80&lt;20,1,0)+IF('📈 Cổ Phiếu VN 🔍'!$E$80&gt;0,1,0))),"")</f>
        <v/>
      </c>
      <c r="L81" s="863">
        <f>IFERROR(IF(I81="","",IF(OR(I81&lt;1.8,J81&gt;-1.78,K81&lt;5),"🔴 CỜ ĐỎ",IF(OR(I81&lt;2.99,J81&gt;-2.22,K81&lt;7),"🟡 Theo dõi","🟢 Sạch"))),"")</f>
        <v/>
      </c>
      <c r="M81" s="863">
        <f>IFERROR(IF(L81="🟢 Sạch","✅ ĐỦ ĐIỀU KIỆN MUA",IF(L81="🟡 Theo dõi","⚠️ Cần xác minh BCTC","❌ LOẠI KHỎI BỘ LỌC")),"")</f>
        <v/>
      </c>
      <c r="N81" s="863">
        <f>IFERROR(IF(M81="✅ ĐỦ ĐIỀU KIỆN MUA",ROUND((I81/3+K81/9-J81/5)*10,1),0),"")</f>
        <v/>
      </c>
    </row>
    <row r="82" ht="15" customHeight="1" s="981">
      <c r="A82" s="861" t="n">
        <v>77</v>
      </c>
      <c r="B82" s="862">
        <f>IFERROR(IF('📈 Cổ Phiếu VN 🔍'!$A$81="","",'📈 Cổ Phiếu VN 🔍'!$A$81),"")</f>
        <v/>
      </c>
      <c r="C82" s="862">
        <f>IFERROR('📈 Cổ Phiếu VN 🔍'!$B$81,"")</f>
        <v/>
      </c>
      <c r="D82" s="862">
        <f>IFERROR('📈 Cổ Phiếu VN 🔍'!$C$81,"")</f>
        <v/>
      </c>
      <c r="E82" s="862">
        <f>IFERROR('📈 Cổ Phiếu VN 🔍'!$E$81,0)</f>
        <v/>
      </c>
      <c r="F82" s="862">
        <f>IFERROR('📈 Cổ Phiếu VN 🔍'!$F$81,0)</f>
        <v/>
      </c>
      <c r="G82" s="862">
        <f>IFERROR('📈 Cổ Phiếu VN 🔍'!$G$81,0)</f>
        <v/>
      </c>
      <c r="H82" s="862">
        <f>IFERROR('📈 Cổ Phiếu VN 🔍'!$T$81,0)</f>
        <v/>
      </c>
      <c r="I82" s="863">
        <f>IFERROR(IF('📈 Cổ Phiếu VN 🔍'!$A$81="","",ROUND(3.25+6.56*0.15+3.26*('📈 Cổ Phiếu VN 🔍'!$G$81/100*0.5)+6.72*('📈 Cổ Phiếu VN 🔍'!$G$81/100)+1.05*(1/('📈 Cổ Phiếu VN 🔍'!$T$81+0.5)),2)),"")</f>
        <v/>
      </c>
      <c r="J82" s="863">
        <f>IFERROR(IF('📈 Cổ Phiếu VN 🔍'!$A$81="","",ROUND(-4.84+0.92*(1+0.5*'📈 Cổ Phiếu VN 🔍'!$J$81/100)+0.528*1.02+0.404*1.01+0.892*(1+'📈 Cổ Phiếu VN 🔍'!$J$81/100)+0.115*1.02,2)),"")</f>
        <v/>
      </c>
      <c r="K82" s="863">
        <f>IFERROR(IF('📈 Cổ Phiếu VN 🔍'!$A$81="","",(IF('📈 Cổ Phiếu VN 🔍'!$G$81&gt;0,1,0)+IF('📈 Cổ Phiếu VN 🔍'!$G$81&gt;5,1,0)+IF('📈 Cổ Phiếu VN 🔍'!$G$81&gt;10,1,0)+IF('📈 Cổ Phiếu VN 🔍'!$G$81&gt;15,1,0)+IF('📈 Cổ Phiếu VN 🔍'!$T$81&lt;3,1,0)+IF('📈 Cổ Phiếu VN 🔍'!$T$81&lt;5,1,0)+IF('📈 Cổ Phiếu VN 🔍'!$J$81&gt;0,1,0)+IF('📈 Cổ Phiếu VN 🔍'!$E$81&lt;20,1,0)+IF('📈 Cổ Phiếu VN 🔍'!$E$81&gt;0,1,0))),"")</f>
        <v/>
      </c>
      <c r="L82" s="863">
        <f>IFERROR(IF(I82="","",IF(OR(I82&lt;1.8,J82&gt;-1.78,K82&lt;5),"🔴 CỜ ĐỎ",IF(OR(I82&lt;2.99,J82&gt;-2.22,K82&lt;7),"🟡 Theo dõi","🟢 Sạch"))),"")</f>
        <v/>
      </c>
      <c r="M82" s="863">
        <f>IFERROR(IF(L82="🟢 Sạch","✅ ĐỦ ĐIỀU KIỆN MUA",IF(L82="🟡 Theo dõi","⚠️ Cần xác minh BCTC","❌ LOẠI KHỎI BỘ LỌC")),"")</f>
        <v/>
      </c>
      <c r="N82" s="863">
        <f>IFERROR(IF(M82="✅ ĐỦ ĐIỀU KIỆN MUA",ROUND((I82/3+K82/9-J82/5)*10,1),0),"")</f>
        <v/>
      </c>
    </row>
    <row r="83" ht="15" customHeight="1" s="981">
      <c r="A83" s="861" t="n">
        <v>78</v>
      </c>
      <c r="B83" s="862">
        <f>IFERROR(IF('📈 Cổ Phiếu VN 🔍'!$A$82="","",'📈 Cổ Phiếu VN 🔍'!$A$82),"")</f>
        <v/>
      </c>
      <c r="C83" s="862">
        <f>IFERROR('📈 Cổ Phiếu VN 🔍'!$B$82,"")</f>
        <v/>
      </c>
      <c r="D83" s="862">
        <f>IFERROR('📈 Cổ Phiếu VN 🔍'!$C$82,"")</f>
        <v/>
      </c>
      <c r="E83" s="862">
        <f>IFERROR('📈 Cổ Phiếu VN 🔍'!$E$82,0)</f>
        <v/>
      </c>
      <c r="F83" s="862">
        <f>IFERROR('📈 Cổ Phiếu VN 🔍'!$F$82,0)</f>
        <v/>
      </c>
      <c r="G83" s="862">
        <f>IFERROR('📈 Cổ Phiếu VN 🔍'!$G$82,0)</f>
        <v/>
      </c>
      <c r="H83" s="862">
        <f>IFERROR('📈 Cổ Phiếu VN 🔍'!$T$82,0)</f>
        <v/>
      </c>
      <c r="I83" s="863">
        <f>IFERROR(IF('📈 Cổ Phiếu VN 🔍'!$A$82="","",ROUND(3.25+6.56*0.15+3.26*('📈 Cổ Phiếu VN 🔍'!$G$82/100*0.5)+6.72*('📈 Cổ Phiếu VN 🔍'!$G$82/100)+1.05*(1/('📈 Cổ Phiếu VN 🔍'!$T$82+0.5)),2)),"")</f>
        <v/>
      </c>
      <c r="J83" s="863">
        <f>IFERROR(IF('📈 Cổ Phiếu VN 🔍'!$A$82="","",ROUND(-4.84+0.92*(1+0.5*'📈 Cổ Phiếu VN 🔍'!$J$82/100)+0.528*1.02+0.404*1.01+0.892*(1+'📈 Cổ Phiếu VN 🔍'!$J$82/100)+0.115*1.02,2)),"")</f>
        <v/>
      </c>
      <c r="K83" s="863">
        <f>IFERROR(IF('📈 Cổ Phiếu VN 🔍'!$A$82="","",(IF('📈 Cổ Phiếu VN 🔍'!$G$82&gt;0,1,0)+IF('📈 Cổ Phiếu VN 🔍'!$G$82&gt;5,1,0)+IF('📈 Cổ Phiếu VN 🔍'!$G$82&gt;10,1,0)+IF('📈 Cổ Phiếu VN 🔍'!$G$82&gt;15,1,0)+IF('📈 Cổ Phiếu VN 🔍'!$T$82&lt;3,1,0)+IF('📈 Cổ Phiếu VN 🔍'!$T$82&lt;5,1,0)+IF('📈 Cổ Phiếu VN 🔍'!$J$82&gt;0,1,0)+IF('📈 Cổ Phiếu VN 🔍'!$E$82&lt;20,1,0)+IF('📈 Cổ Phiếu VN 🔍'!$E$82&gt;0,1,0))),"")</f>
        <v/>
      </c>
      <c r="L83" s="863">
        <f>IFERROR(IF(I83="","",IF(OR(I83&lt;1.8,J83&gt;-1.78,K83&lt;5),"🔴 CỜ ĐỎ",IF(OR(I83&lt;2.99,J83&gt;-2.22,K83&lt;7),"🟡 Theo dõi","🟢 Sạch"))),"")</f>
        <v/>
      </c>
      <c r="M83" s="863">
        <f>IFERROR(IF(L83="🟢 Sạch","✅ ĐỦ ĐIỀU KIỆN MUA",IF(L83="🟡 Theo dõi","⚠️ Cần xác minh BCTC","❌ LOẠI KHỎI BỘ LỌC")),"")</f>
        <v/>
      </c>
      <c r="N83" s="863">
        <f>IFERROR(IF(M83="✅ ĐỦ ĐIỀU KIỆN MUA",ROUND((I83/3+K83/9-J83/5)*10,1),0),"")</f>
        <v/>
      </c>
    </row>
    <row r="84" ht="15" customHeight="1" s="981">
      <c r="A84" s="861" t="n">
        <v>79</v>
      </c>
      <c r="B84" s="862">
        <f>IFERROR(IF('📈 Cổ Phiếu VN 🔍'!$A$83="","",'📈 Cổ Phiếu VN 🔍'!$A$83),"")</f>
        <v/>
      </c>
      <c r="C84" s="862">
        <f>IFERROR('📈 Cổ Phiếu VN 🔍'!$B$83,"")</f>
        <v/>
      </c>
      <c r="D84" s="862">
        <f>IFERROR('📈 Cổ Phiếu VN 🔍'!$C$83,"")</f>
        <v/>
      </c>
      <c r="E84" s="862">
        <f>IFERROR('📈 Cổ Phiếu VN 🔍'!$E$83,0)</f>
        <v/>
      </c>
      <c r="F84" s="862">
        <f>IFERROR('📈 Cổ Phiếu VN 🔍'!$F$83,0)</f>
        <v/>
      </c>
      <c r="G84" s="862">
        <f>IFERROR('📈 Cổ Phiếu VN 🔍'!$G$83,0)</f>
        <v/>
      </c>
      <c r="H84" s="862">
        <f>IFERROR('📈 Cổ Phiếu VN 🔍'!$T$83,0)</f>
        <v/>
      </c>
      <c r="I84" s="863">
        <f>IFERROR(IF('📈 Cổ Phiếu VN 🔍'!$A$83="","",ROUND(3.25+6.56*0.15+3.26*('📈 Cổ Phiếu VN 🔍'!$G$83/100*0.5)+6.72*('📈 Cổ Phiếu VN 🔍'!$G$83/100)+1.05*(1/('📈 Cổ Phiếu VN 🔍'!$T$83+0.5)),2)),"")</f>
        <v/>
      </c>
      <c r="J84" s="863">
        <f>IFERROR(IF('📈 Cổ Phiếu VN 🔍'!$A$83="","",ROUND(-4.84+0.92*(1+0.5*'📈 Cổ Phiếu VN 🔍'!$J$83/100)+0.528*1.02+0.404*1.01+0.892*(1+'📈 Cổ Phiếu VN 🔍'!$J$83/100)+0.115*1.02,2)),"")</f>
        <v/>
      </c>
      <c r="K84" s="863">
        <f>IFERROR(IF('📈 Cổ Phiếu VN 🔍'!$A$83="","",(IF('📈 Cổ Phiếu VN 🔍'!$G$83&gt;0,1,0)+IF('📈 Cổ Phiếu VN 🔍'!$G$83&gt;5,1,0)+IF('📈 Cổ Phiếu VN 🔍'!$G$83&gt;10,1,0)+IF('📈 Cổ Phiếu VN 🔍'!$G$83&gt;15,1,0)+IF('📈 Cổ Phiếu VN 🔍'!$T$83&lt;3,1,0)+IF('📈 Cổ Phiếu VN 🔍'!$T$83&lt;5,1,0)+IF('📈 Cổ Phiếu VN 🔍'!$J$83&gt;0,1,0)+IF('📈 Cổ Phiếu VN 🔍'!$E$83&lt;20,1,0)+IF('📈 Cổ Phiếu VN 🔍'!$E$83&gt;0,1,0))),"")</f>
        <v/>
      </c>
      <c r="L84" s="863">
        <f>IFERROR(IF(I84="","",IF(OR(I84&lt;1.8,J84&gt;-1.78,K84&lt;5),"🔴 CỜ ĐỎ",IF(OR(I84&lt;2.99,J84&gt;-2.22,K84&lt;7),"🟡 Theo dõi","🟢 Sạch"))),"")</f>
        <v/>
      </c>
      <c r="M84" s="863">
        <f>IFERROR(IF(L84="🟢 Sạch","✅ ĐỦ ĐIỀU KIỆN MUA",IF(L84="🟡 Theo dõi","⚠️ Cần xác minh BCTC","❌ LOẠI KHỎI BỘ LỌC")),"")</f>
        <v/>
      </c>
      <c r="N84" s="863">
        <f>IFERROR(IF(M84="✅ ĐỦ ĐIỀU KIỆN MUA",ROUND((I84/3+K84/9-J84/5)*10,1),0),"")</f>
        <v/>
      </c>
    </row>
    <row r="85" ht="15" customHeight="1" s="981">
      <c r="A85" s="861" t="n">
        <v>80</v>
      </c>
      <c r="B85" s="862">
        <f>IFERROR(IF('📈 Cổ Phiếu VN 🔍'!$A$84="","",'📈 Cổ Phiếu VN 🔍'!$A$84),"")</f>
        <v/>
      </c>
      <c r="C85" s="862">
        <f>IFERROR('📈 Cổ Phiếu VN 🔍'!$B$84,"")</f>
        <v/>
      </c>
      <c r="D85" s="862">
        <f>IFERROR('📈 Cổ Phiếu VN 🔍'!$C$84,"")</f>
        <v/>
      </c>
      <c r="E85" s="862">
        <f>IFERROR('📈 Cổ Phiếu VN 🔍'!$E$84,0)</f>
        <v/>
      </c>
      <c r="F85" s="862">
        <f>IFERROR('📈 Cổ Phiếu VN 🔍'!$F$84,0)</f>
        <v/>
      </c>
      <c r="G85" s="862">
        <f>IFERROR('📈 Cổ Phiếu VN 🔍'!$G$84,0)</f>
        <v/>
      </c>
      <c r="H85" s="862">
        <f>IFERROR('📈 Cổ Phiếu VN 🔍'!$T$84,0)</f>
        <v/>
      </c>
      <c r="I85" s="863">
        <f>IFERROR(IF('📈 Cổ Phiếu VN 🔍'!$A$84="","",ROUND(3.25+6.56*0.15+3.26*('📈 Cổ Phiếu VN 🔍'!$G$84/100*0.5)+6.72*('📈 Cổ Phiếu VN 🔍'!$G$84/100)+1.05*(1/('📈 Cổ Phiếu VN 🔍'!$T$84+0.5)),2)),"")</f>
        <v/>
      </c>
      <c r="J85" s="863">
        <f>IFERROR(IF('📈 Cổ Phiếu VN 🔍'!$A$84="","",ROUND(-4.84+0.92*(1+0.5*'📈 Cổ Phiếu VN 🔍'!$J$84/100)+0.528*1.02+0.404*1.01+0.892*(1+'📈 Cổ Phiếu VN 🔍'!$J$84/100)+0.115*1.02,2)),"")</f>
        <v/>
      </c>
      <c r="K85" s="863">
        <f>IFERROR(IF('📈 Cổ Phiếu VN 🔍'!$A$84="","",(IF('📈 Cổ Phiếu VN 🔍'!$G$84&gt;0,1,0)+IF('📈 Cổ Phiếu VN 🔍'!$G$84&gt;5,1,0)+IF('📈 Cổ Phiếu VN 🔍'!$G$84&gt;10,1,0)+IF('📈 Cổ Phiếu VN 🔍'!$G$84&gt;15,1,0)+IF('📈 Cổ Phiếu VN 🔍'!$T$84&lt;3,1,0)+IF('📈 Cổ Phiếu VN 🔍'!$T$84&lt;5,1,0)+IF('📈 Cổ Phiếu VN 🔍'!$J$84&gt;0,1,0)+IF('📈 Cổ Phiếu VN 🔍'!$E$84&lt;20,1,0)+IF('📈 Cổ Phiếu VN 🔍'!$E$84&gt;0,1,0))),"")</f>
        <v/>
      </c>
      <c r="L85" s="863">
        <f>IFERROR(IF(I85="","",IF(OR(I85&lt;1.8,J85&gt;-1.78,K85&lt;5),"🔴 CỜ ĐỎ",IF(OR(I85&lt;2.99,J85&gt;-2.22,K85&lt;7),"🟡 Theo dõi","🟢 Sạch"))),"")</f>
        <v/>
      </c>
      <c r="M85" s="863">
        <f>IFERROR(IF(L85="🟢 Sạch","✅ ĐỦ ĐIỀU KIỆN MUA",IF(L85="🟡 Theo dõi","⚠️ Cần xác minh BCTC","❌ LOẠI KHỎI BỘ LỌC")),"")</f>
        <v/>
      </c>
      <c r="N85" s="863">
        <f>IFERROR(IF(M85="✅ ĐỦ ĐIỀU KIỆN MUA",ROUND((I85/3+K85/9-J85/5)*10,1),0),"")</f>
        <v/>
      </c>
    </row>
    <row r="86" ht="15" customHeight="1" s="981">
      <c r="A86" s="861" t="n">
        <v>81</v>
      </c>
      <c r="B86" s="862">
        <f>IFERROR(IF('📈 Cổ Phiếu VN 🔍'!$A$85="","",'📈 Cổ Phiếu VN 🔍'!$A$85),"")</f>
        <v/>
      </c>
      <c r="C86" s="862">
        <f>IFERROR('📈 Cổ Phiếu VN 🔍'!$B$85,"")</f>
        <v/>
      </c>
      <c r="D86" s="862">
        <f>IFERROR('📈 Cổ Phiếu VN 🔍'!$C$85,"")</f>
        <v/>
      </c>
      <c r="E86" s="862">
        <f>IFERROR('📈 Cổ Phiếu VN 🔍'!$E$85,0)</f>
        <v/>
      </c>
      <c r="F86" s="862">
        <f>IFERROR('📈 Cổ Phiếu VN 🔍'!$F$85,0)</f>
        <v/>
      </c>
      <c r="G86" s="862">
        <f>IFERROR('📈 Cổ Phiếu VN 🔍'!$G$85,0)</f>
        <v/>
      </c>
      <c r="H86" s="862">
        <f>IFERROR('📈 Cổ Phiếu VN 🔍'!$T$85,0)</f>
        <v/>
      </c>
      <c r="I86" s="863">
        <f>IFERROR(IF('📈 Cổ Phiếu VN 🔍'!$A$85="","",ROUND(3.25+6.56*0.15+3.26*('📈 Cổ Phiếu VN 🔍'!$G$85/100*0.5)+6.72*('📈 Cổ Phiếu VN 🔍'!$G$85/100)+1.05*(1/('📈 Cổ Phiếu VN 🔍'!$T$85+0.5)),2)),"")</f>
        <v/>
      </c>
      <c r="J86" s="863">
        <f>IFERROR(IF('📈 Cổ Phiếu VN 🔍'!$A$85="","",ROUND(-4.84+0.92*(1+0.5*'📈 Cổ Phiếu VN 🔍'!$J$85/100)+0.528*1.02+0.404*1.01+0.892*(1+'📈 Cổ Phiếu VN 🔍'!$J$85/100)+0.115*1.02,2)),"")</f>
        <v/>
      </c>
      <c r="K86" s="863">
        <f>IFERROR(IF('📈 Cổ Phiếu VN 🔍'!$A$85="","",(IF('📈 Cổ Phiếu VN 🔍'!$G$85&gt;0,1,0)+IF('📈 Cổ Phiếu VN 🔍'!$G$85&gt;5,1,0)+IF('📈 Cổ Phiếu VN 🔍'!$G$85&gt;10,1,0)+IF('📈 Cổ Phiếu VN 🔍'!$G$85&gt;15,1,0)+IF('📈 Cổ Phiếu VN 🔍'!$T$85&lt;3,1,0)+IF('📈 Cổ Phiếu VN 🔍'!$T$85&lt;5,1,0)+IF('📈 Cổ Phiếu VN 🔍'!$J$85&gt;0,1,0)+IF('📈 Cổ Phiếu VN 🔍'!$E$85&lt;20,1,0)+IF('📈 Cổ Phiếu VN 🔍'!$E$85&gt;0,1,0))),"")</f>
        <v/>
      </c>
      <c r="L86" s="863">
        <f>IFERROR(IF(I86="","",IF(OR(I86&lt;1.8,J86&gt;-1.78,K86&lt;5),"🔴 CỜ ĐỎ",IF(OR(I86&lt;2.99,J86&gt;-2.22,K86&lt;7),"🟡 Theo dõi","🟢 Sạch"))),"")</f>
        <v/>
      </c>
      <c r="M86" s="863">
        <f>IFERROR(IF(L86="🟢 Sạch","✅ ĐỦ ĐIỀU KIỆN MUA",IF(L86="🟡 Theo dõi","⚠️ Cần xác minh BCTC","❌ LOẠI KHỎI BỘ LỌC")),"")</f>
        <v/>
      </c>
      <c r="N86" s="863">
        <f>IFERROR(IF(M86="✅ ĐỦ ĐIỀU KIỆN MUA",ROUND((I86/3+K86/9-J86/5)*10,1),0),"")</f>
        <v/>
      </c>
    </row>
    <row r="87" ht="15" customHeight="1" s="981">
      <c r="A87" s="861" t="n">
        <v>82</v>
      </c>
      <c r="B87" s="862">
        <f>IFERROR(IF('📈 Cổ Phiếu VN 🔍'!$A$86="","",'📈 Cổ Phiếu VN 🔍'!$A$86),"")</f>
        <v/>
      </c>
      <c r="C87" s="862">
        <f>IFERROR('📈 Cổ Phiếu VN 🔍'!$B$86,"")</f>
        <v/>
      </c>
      <c r="D87" s="862">
        <f>IFERROR('📈 Cổ Phiếu VN 🔍'!$C$86,"")</f>
        <v/>
      </c>
      <c r="E87" s="862">
        <f>IFERROR('📈 Cổ Phiếu VN 🔍'!$E$86,0)</f>
        <v/>
      </c>
      <c r="F87" s="862">
        <f>IFERROR('📈 Cổ Phiếu VN 🔍'!$F$86,0)</f>
        <v/>
      </c>
      <c r="G87" s="862">
        <f>IFERROR('📈 Cổ Phiếu VN 🔍'!$G$86,0)</f>
        <v/>
      </c>
      <c r="H87" s="862">
        <f>IFERROR('📈 Cổ Phiếu VN 🔍'!$T$86,0)</f>
        <v/>
      </c>
      <c r="I87" s="863">
        <f>IFERROR(IF('📈 Cổ Phiếu VN 🔍'!$A$86="","",ROUND(3.25+6.56*0.15+3.26*('📈 Cổ Phiếu VN 🔍'!$G$86/100*0.5)+6.72*('📈 Cổ Phiếu VN 🔍'!$G$86/100)+1.05*(1/('📈 Cổ Phiếu VN 🔍'!$T$86+0.5)),2)),"")</f>
        <v/>
      </c>
      <c r="J87" s="863">
        <f>IFERROR(IF('📈 Cổ Phiếu VN 🔍'!$A$86="","",ROUND(-4.84+0.92*(1+0.5*'📈 Cổ Phiếu VN 🔍'!$J$86/100)+0.528*1.02+0.404*1.01+0.892*(1+'📈 Cổ Phiếu VN 🔍'!$J$86/100)+0.115*1.02,2)),"")</f>
        <v/>
      </c>
      <c r="K87" s="863">
        <f>IFERROR(IF('📈 Cổ Phiếu VN 🔍'!$A$86="","",(IF('📈 Cổ Phiếu VN 🔍'!$G$86&gt;0,1,0)+IF('📈 Cổ Phiếu VN 🔍'!$G$86&gt;5,1,0)+IF('📈 Cổ Phiếu VN 🔍'!$G$86&gt;10,1,0)+IF('📈 Cổ Phiếu VN 🔍'!$G$86&gt;15,1,0)+IF('📈 Cổ Phiếu VN 🔍'!$T$86&lt;3,1,0)+IF('📈 Cổ Phiếu VN 🔍'!$T$86&lt;5,1,0)+IF('📈 Cổ Phiếu VN 🔍'!$J$86&gt;0,1,0)+IF('📈 Cổ Phiếu VN 🔍'!$E$86&lt;20,1,0)+IF('📈 Cổ Phiếu VN 🔍'!$E$86&gt;0,1,0))),"")</f>
        <v/>
      </c>
      <c r="L87" s="863">
        <f>IFERROR(IF(I87="","",IF(OR(I87&lt;1.8,J87&gt;-1.78,K87&lt;5),"🔴 CỜ ĐỎ",IF(OR(I87&lt;2.99,J87&gt;-2.22,K87&lt;7),"🟡 Theo dõi","🟢 Sạch"))),"")</f>
        <v/>
      </c>
      <c r="M87" s="863">
        <f>IFERROR(IF(L87="🟢 Sạch","✅ ĐỦ ĐIỀU KIỆN MUA",IF(L87="🟡 Theo dõi","⚠️ Cần xác minh BCTC","❌ LOẠI KHỎI BỘ LỌC")),"")</f>
        <v/>
      </c>
      <c r="N87" s="863">
        <f>IFERROR(IF(M87="✅ ĐỦ ĐIỀU KIỆN MUA",ROUND((I87/3+K87/9-J87/5)*10,1),0),"")</f>
        <v/>
      </c>
    </row>
    <row r="88" ht="15" customHeight="1" s="981">
      <c r="A88" s="861" t="n">
        <v>83</v>
      </c>
      <c r="B88" s="862">
        <f>IFERROR(IF('📈 Cổ Phiếu VN 🔍'!$A$87="","",'📈 Cổ Phiếu VN 🔍'!$A$87),"")</f>
        <v/>
      </c>
      <c r="C88" s="862">
        <f>IFERROR('📈 Cổ Phiếu VN 🔍'!$B$87,"")</f>
        <v/>
      </c>
      <c r="D88" s="862">
        <f>IFERROR('📈 Cổ Phiếu VN 🔍'!$C$87,"")</f>
        <v/>
      </c>
      <c r="E88" s="862">
        <f>IFERROR('📈 Cổ Phiếu VN 🔍'!$E$87,0)</f>
        <v/>
      </c>
      <c r="F88" s="862">
        <f>IFERROR('📈 Cổ Phiếu VN 🔍'!$F$87,0)</f>
        <v/>
      </c>
      <c r="G88" s="862">
        <f>IFERROR('📈 Cổ Phiếu VN 🔍'!$G$87,0)</f>
        <v/>
      </c>
      <c r="H88" s="862">
        <f>IFERROR('📈 Cổ Phiếu VN 🔍'!$T$87,0)</f>
        <v/>
      </c>
      <c r="I88" s="863">
        <f>IFERROR(IF('📈 Cổ Phiếu VN 🔍'!$A$87="","",ROUND(3.25+6.56*0.15+3.26*('📈 Cổ Phiếu VN 🔍'!$G$87/100*0.5)+6.72*('📈 Cổ Phiếu VN 🔍'!$G$87/100)+1.05*(1/('📈 Cổ Phiếu VN 🔍'!$T$87+0.5)),2)),"")</f>
        <v/>
      </c>
      <c r="J88" s="863">
        <f>IFERROR(IF('📈 Cổ Phiếu VN 🔍'!$A$87="","",ROUND(-4.84+0.92*(1+0.5*'📈 Cổ Phiếu VN 🔍'!$J$87/100)+0.528*1.02+0.404*1.01+0.892*(1+'📈 Cổ Phiếu VN 🔍'!$J$87/100)+0.115*1.02,2)),"")</f>
        <v/>
      </c>
      <c r="K88" s="863">
        <f>IFERROR(IF('📈 Cổ Phiếu VN 🔍'!$A$87="","",(IF('📈 Cổ Phiếu VN 🔍'!$G$87&gt;0,1,0)+IF('📈 Cổ Phiếu VN 🔍'!$G$87&gt;5,1,0)+IF('📈 Cổ Phiếu VN 🔍'!$G$87&gt;10,1,0)+IF('📈 Cổ Phiếu VN 🔍'!$G$87&gt;15,1,0)+IF('📈 Cổ Phiếu VN 🔍'!$T$87&lt;3,1,0)+IF('📈 Cổ Phiếu VN 🔍'!$T$87&lt;5,1,0)+IF('📈 Cổ Phiếu VN 🔍'!$J$87&gt;0,1,0)+IF('📈 Cổ Phiếu VN 🔍'!$E$87&lt;20,1,0)+IF('📈 Cổ Phiếu VN 🔍'!$E$87&gt;0,1,0))),"")</f>
        <v/>
      </c>
      <c r="L88" s="863">
        <f>IFERROR(IF(I88="","",IF(OR(I88&lt;1.8,J88&gt;-1.78,K88&lt;5),"🔴 CỜ ĐỎ",IF(OR(I88&lt;2.99,J88&gt;-2.22,K88&lt;7),"🟡 Theo dõi","🟢 Sạch"))),"")</f>
        <v/>
      </c>
      <c r="M88" s="863">
        <f>IFERROR(IF(L88="🟢 Sạch","✅ ĐỦ ĐIỀU KIỆN MUA",IF(L88="🟡 Theo dõi","⚠️ Cần xác minh BCTC","❌ LOẠI KHỎI BỘ LỌC")),"")</f>
        <v/>
      </c>
      <c r="N88" s="863">
        <f>IFERROR(IF(M88="✅ ĐỦ ĐIỀU KIỆN MUA",ROUND((I88/3+K88/9-J88/5)*10,1),0),"")</f>
        <v/>
      </c>
    </row>
    <row r="89" ht="15" customHeight="1" s="981">
      <c r="A89" s="861" t="n">
        <v>84</v>
      </c>
      <c r="B89" s="862">
        <f>IFERROR(IF('📈 Cổ Phiếu VN 🔍'!$A$88="","",'📈 Cổ Phiếu VN 🔍'!$A$88),"")</f>
        <v/>
      </c>
      <c r="C89" s="862">
        <f>IFERROR('📈 Cổ Phiếu VN 🔍'!$B$88,"")</f>
        <v/>
      </c>
      <c r="D89" s="862">
        <f>IFERROR('📈 Cổ Phiếu VN 🔍'!$C$88,"")</f>
        <v/>
      </c>
      <c r="E89" s="862">
        <f>IFERROR('📈 Cổ Phiếu VN 🔍'!$E$88,0)</f>
        <v/>
      </c>
      <c r="F89" s="862">
        <f>IFERROR('📈 Cổ Phiếu VN 🔍'!$F$88,0)</f>
        <v/>
      </c>
      <c r="G89" s="862">
        <f>IFERROR('📈 Cổ Phiếu VN 🔍'!$G$88,0)</f>
        <v/>
      </c>
      <c r="H89" s="862">
        <f>IFERROR('📈 Cổ Phiếu VN 🔍'!$T$88,0)</f>
        <v/>
      </c>
      <c r="I89" s="863">
        <f>IFERROR(IF('📈 Cổ Phiếu VN 🔍'!$A$88="","",ROUND(3.25+6.56*0.15+3.26*('📈 Cổ Phiếu VN 🔍'!$G$88/100*0.5)+6.72*('📈 Cổ Phiếu VN 🔍'!$G$88/100)+1.05*(1/('📈 Cổ Phiếu VN 🔍'!$T$88+0.5)),2)),"")</f>
        <v/>
      </c>
      <c r="J89" s="863">
        <f>IFERROR(IF('📈 Cổ Phiếu VN 🔍'!$A$88="","",ROUND(-4.84+0.92*(1+0.5*'📈 Cổ Phiếu VN 🔍'!$J$88/100)+0.528*1.02+0.404*1.01+0.892*(1+'📈 Cổ Phiếu VN 🔍'!$J$88/100)+0.115*1.02,2)),"")</f>
        <v/>
      </c>
      <c r="K89" s="863">
        <f>IFERROR(IF('📈 Cổ Phiếu VN 🔍'!$A$88="","",(IF('📈 Cổ Phiếu VN 🔍'!$G$88&gt;0,1,0)+IF('📈 Cổ Phiếu VN 🔍'!$G$88&gt;5,1,0)+IF('📈 Cổ Phiếu VN 🔍'!$G$88&gt;10,1,0)+IF('📈 Cổ Phiếu VN 🔍'!$G$88&gt;15,1,0)+IF('📈 Cổ Phiếu VN 🔍'!$T$88&lt;3,1,0)+IF('📈 Cổ Phiếu VN 🔍'!$T$88&lt;5,1,0)+IF('📈 Cổ Phiếu VN 🔍'!$J$88&gt;0,1,0)+IF('📈 Cổ Phiếu VN 🔍'!$E$88&lt;20,1,0)+IF('📈 Cổ Phiếu VN 🔍'!$E$88&gt;0,1,0))),"")</f>
        <v/>
      </c>
      <c r="L89" s="863">
        <f>IFERROR(IF(I89="","",IF(OR(I89&lt;1.8,J89&gt;-1.78,K89&lt;5),"🔴 CỜ ĐỎ",IF(OR(I89&lt;2.99,J89&gt;-2.22,K89&lt;7),"🟡 Theo dõi","🟢 Sạch"))),"")</f>
        <v/>
      </c>
      <c r="M89" s="863">
        <f>IFERROR(IF(L89="🟢 Sạch","✅ ĐỦ ĐIỀU KIỆN MUA",IF(L89="🟡 Theo dõi","⚠️ Cần xác minh BCTC","❌ LOẠI KHỎI BỘ LỌC")),"")</f>
        <v/>
      </c>
      <c r="N89" s="863">
        <f>IFERROR(IF(M89="✅ ĐỦ ĐIỀU KIỆN MUA",ROUND((I89/3+K89/9-J89/5)*10,1),0),"")</f>
        <v/>
      </c>
    </row>
    <row r="90" ht="15" customHeight="1" s="981">
      <c r="A90" s="861" t="n">
        <v>85</v>
      </c>
      <c r="B90" s="862">
        <f>IFERROR(IF('📈 Cổ Phiếu VN 🔍'!$A$89="","",'📈 Cổ Phiếu VN 🔍'!$A$89),"")</f>
        <v/>
      </c>
      <c r="C90" s="862">
        <f>IFERROR('📈 Cổ Phiếu VN 🔍'!$B$89,"")</f>
        <v/>
      </c>
      <c r="D90" s="862">
        <f>IFERROR('📈 Cổ Phiếu VN 🔍'!$C$89,"")</f>
        <v/>
      </c>
      <c r="E90" s="862">
        <f>IFERROR('📈 Cổ Phiếu VN 🔍'!$E$89,0)</f>
        <v/>
      </c>
      <c r="F90" s="862">
        <f>IFERROR('📈 Cổ Phiếu VN 🔍'!$F$89,0)</f>
        <v/>
      </c>
      <c r="G90" s="862">
        <f>IFERROR('📈 Cổ Phiếu VN 🔍'!$G$89,0)</f>
        <v/>
      </c>
      <c r="H90" s="862">
        <f>IFERROR('📈 Cổ Phiếu VN 🔍'!$T$89,0)</f>
        <v/>
      </c>
      <c r="I90" s="863">
        <f>IFERROR(IF('📈 Cổ Phiếu VN 🔍'!$A$89="","",ROUND(3.25+6.56*0.15+3.26*('📈 Cổ Phiếu VN 🔍'!$G$89/100*0.5)+6.72*('📈 Cổ Phiếu VN 🔍'!$G$89/100)+1.05*(1/('📈 Cổ Phiếu VN 🔍'!$T$89+0.5)),2)),"")</f>
        <v/>
      </c>
      <c r="J90" s="863">
        <f>IFERROR(IF('📈 Cổ Phiếu VN 🔍'!$A$89="","",ROUND(-4.84+0.92*(1+0.5*'📈 Cổ Phiếu VN 🔍'!$J$89/100)+0.528*1.02+0.404*1.01+0.892*(1+'📈 Cổ Phiếu VN 🔍'!$J$89/100)+0.115*1.02,2)),"")</f>
        <v/>
      </c>
      <c r="K90" s="863">
        <f>IFERROR(IF('📈 Cổ Phiếu VN 🔍'!$A$89="","",(IF('📈 Cổ Phiếu VN 🔍'!$G$89&gt;0,1,0)+IF('📈 Cổ Phiếu VN 🔍'!$G$89&gt;5,1,0)+IF('📈 Cổ Phiếu VN 🔍'!$G$89&gt;10,1,0)+IF('📈 Cổ Phiếu VN 🔍'!$G$89&gt;15,1,0)+IF('📈 Cổ Phiếu VN 🔍'!$T$89&lt;3,1,0)+IF('📈 Cổ Phiếu VN 🔍'!$T$89&lt;5,1,0)+IF('📈 Cổ Phiếu VN 🔍'!$J$89&gt;0,1,0)+IF('📈 Cổ Phiếu VN 🔍'!$E$89&lt;20,1,0)+IF('📈 Cổ Phiếu VN 🔍'!$E$89&gt;0,1,0))),"")</f>
        <v/>
      </c>
      <c r="L90" s="863">
        <f>IFERROR(IF(I90="","",IF(OR(I90&lt;1.8,J90&gt;-1.78,K90&lt;5),"🔴 CỜ ĐỎ",IF(OR(I90&lt;2.99,J90&gt;-2.22,K90&lt;7),"🟡 Theo dõi","🟢 Sạch"))),"")</f>
        <v/>
      </c>
      <c r="M90" s="863">
        <f>IFERROR(IF(L90="🟢 Sạch","✅ ĐỦ ĐIỀU KIỆN MUA",IF(L90="🟡 Theo dõi","⚠️ Cần xác minh BCTC","❌ LOẠI KHỎI BỘ LỌC")),"")</f>
        <v/>
      </c>
      <c r="N90" s="863">
        <f>IFERROR(IF(M90="✅ ĐỦ ĐIỀU KIỆN MUA",ROUND((I90/3+K90/9-J90/5)*10,1),0),"")</f>
        <v/>
      </c>
    </row>
    <row r="91" ht="15" customHeight="1" s="981">
      <c r="A91" s="861" t="n">
        <v>86</v>
      </c>
      <c r="B91" s="862">
        <f>IFERROR(IF('📈 Cổ Phiếu VN 🔍'!$A$90="","",'📈 Cổ Phiếu VN 🔍'!$A$90),"")</f>
        <v/>
      </c>
      <c r="C91" s="862">
        <f>IFERROR('📈 Cổ Phiếu VN 🔍'!$B$90,"")</f>
        <v/>
      </c>
      <c r="D91" s="862">
        <f>IFERROR('📈 Cổ Phiếu VN 🔍'!$C$90,"")</f>
        <v/>
      </c>
      <c r="E91" s="862">
        <f>IFERROR('📈 Cổ Phiếu VN 🔍'!$E$90,0)</f>
        <v/>
      </c>
      <c r="F91" s="862">
        <f>IFERROR('📈 Cổ Phiếu VN 🔍'!$F$90,0)</f>
        <v/>
      </c>
      <c r="G91" s="862">
        <f>IFERROR('📈 Cổ Phiếu VN 🔍'!$G$90,0)</f>
        <v/>
      </c>
      <c r="H91" s="862">
        <f>IFERROR('📈 Cổ Phiếu VN 🔍'!$T$90,0)</f>
        <v/>
      </c>
      <c r="I91" s="863">
        <f>IFERROR(IF('📈 Cổ Phiếu VN 🔍'!$A$90="","",ROUND(3.25+6.56*0.15+3.26*('📈 Cổ Phiếu VN 🔍'!$G$90/100*0.5)+6.72*('📈 Cổ Phiếu VN 🔍'!$G$90/100)+1.05*(1/('📈 Cổ Phiếu VN 🔍'!$T$90+0.5)),2)),"")</f>
        <v/>
      </c>
      <c r="J91" s="863">
        <f>IFERROR(IF('📈 Cổ Phiếu VN 🔍'!$A$90="","",ROUND(-4.84+0.92*(1+0.5*'📈 Cổ Phiếu VN 🔍'!$J$90/100)+0.528*1.02+0.404*1.01+0.892*(1+'📈 Cổ Phiếu VN 🔍'!$J$90/100)+0.115*1.02,2)),"")</f>
        <v/>
      </c>
      <c r="K91" s="863">
        <f>IFERROR(IF('📈 Cổ Phiếu VN 🔍'!$A$90="","",(IF('📈 Cổ Phiếu VN 🔍'!$G$90&gt;0,1,0)+IF('📈 Cổ Phiếu VN 🔍'!$G$90&gt;5,1,0)+IF('📈 Cổ Phiếu VN 🔍'!$G$90&gt;10,1,0)+IF('📈 Cổ Phiếu VN 🔍'!$G$90&gt;15,1,0)+IF('📈 Cổ Phiếu VN 🔍'!$T$90&lt;3,1,0)+IF('📈 Cổ Phiếu VN 🔍'!$T$90&lt;5,1,0)+IF('📈 Cổ Phiếu VN 🔍'!$J$90&gt;0,1,0)+IF('📈 Cổ Phiếu VN 🔍'!$E$90&lt;20,1,0)+IF('📈 Cổ Phiếu VN 🔍'!$E$90&gt;0,1,0))),"")</f>
        <v/>
      </c>
      <c r="L91" s="863">
        <f>IFERROR(IF(I91="","",IF(OR(I91&lt;1.8,J91&gt;-1.78,K91&lt;5),"🔴 CỜ ĐỎ",IF(OR(I91&lt;2.99,J91&gt;-2.22,K91&lt;7),"🟡 Theo dõi","🟢 Sạch"))),"")</f>
        <v/>
      </c>
      <c r="M91" s="863">
        <f>IFERROR(IF(L91="🟢 Sạch","✅ ĐỦ ĐIỀU KIỆN MUA",IF(L91="🟡 Theo dõi","⚠️ Cần xác minh BCTC","❌ LOẠI KHỎI BỘ LỌC")),"")</f>
        <v/>
      </c>
      <c r="N91" s="863">
        <f>IFERROR(IF(M91="✅ ĐỦ ĐIỀU KIỆN MUA",ROUND((I91/3+K91/9-J91/5)*10,1),0),"")</f>
        <v/>
      </c>
    </row>
    <row r="92" ht="15" customHeight="1" s="981">
      <c r="A92" s="861" t="n">
        <v>87</v>
      </c>
      <c r="B92" s="862">
        <f>IFERROR(IF('📈 Cổ Phiếu VN 🔍'!$A$91="","",'📈 Cổ Phiếu VN 🔍'!$A$91),"")</f>
        <v/>
      </c>
      <c r="C92" s="862">
        <f>IFERROR('📈 Cổ Phiếu VN 🔍'!$B$91,"")</f>
        <v/>
      </c>
      <c r="D92" s="862">
        <f>IFERROR('📈 Cổ Phiếu VN 🔍'!$C$91,"")</f>
        <v/>
      </c>
      <c r="E92" s="862">
        <f>IFERROR('📈 Cổ Phiếu VN 🔍'!$E$91,0)</f>
        <v/>
      </c>
      <c r="F92" s="862">
        <f>IFERROR('📈 Cổ Phiếu VN 🔍'!$F$91,0)</f>
        <v/>
      </c>
      <c r="G92" s="862">
        <f>IFERROR('📈 Cổ Phiếu VN 🔍'!$G$91,0)</f>
        <v/>
      </c>
      <c r="H92" s="862">
        <f>IFERROR('📈 Cổ Phiếu VN 🔍'!$T$91,0)</f>
        <v/>
      </c>
      <c r="I92" s="863">
        <f>IFERROR(IF('📈 Cổ Phiếu VN 🔍'!$A$91="","",ROUND(3.25+6.56*0.15+3.26*('📈 Cổ Phiếu VN 🔍'!$G$91/100*0.5)+6.72*('📈 Cổ Phiếu VN 🔍'!$G$91/100)+1.05*(1/('📈 Cổ Phiếu VN 🔍'!$T$91+0.5)),2)),"")</f>
        <v/>
      </c>
      <c r="J92" s="863">
        <f>IFERROR(IF('📈 Cổ Phiếu VN 🔍'!$A$91="","",ROUND(-4.84+0.92*(1+0.5*'📈 Cổ Phiếu VN 🔍'!$J$91/100)+0.528*1.02+0.404*1.01+0.892*(1+'📈 Cổ Phiếu VN 🔍'!$J$91/100)+0.115*1.02,2)),"")</f>
        <v/>
      </c>
      <c r="K92" s="863">
        <f>IFERROR(IF('📈 Cổ Phiếu VN 🔍'!$A$91="","",(IF('📈 Cổ Phiếu VN 🔍'!$G$91&gt;0,1,0)+IF('📈 Cổ Phiếu VN 🔍'!$G$91&gt;5,1,0)+IF('📈 Cổ Phiếu VN 🔍'!$G$91&gt;10,1,0)+IF('📈 Cổ Phiếu VN 🔍'!$G$91&gt;15,1,0)+IF('📈 Cổ Phiếu VN 🔍'!$T$91&lt;3,1,0)+IF('📈 Cổ Phiếu VN 🔍'!$T$91&lt;5,1,0)+IF('📈 Cổ Phiếu VN 🔍'!$J$91&gt;0,1,0)+IF('📈 Cổ Phiếu VN 🔍'!$E$91&lt;20,1,0)+IF('📈 Cổ Phiếu VN 🔍'!$E$91&gt;0,1,0))),"")</f>
        <v/>
      </c>
      <c r="L92" s="863">
        <f>IFERROR(IF(I92="","",IF(OR(I92&lt;1.8,J92&gt;-1.78,K92&lt;5),"🔴 CỜ ĐỎ",IF(OR(I92&lt;2.99,J92&gt;-2.22,K92&lt;7),"🟡 Theo dõi","🟢 Sạch"))),"")</f>
        <v/>
      </c>
      <c r="M92" s="863">
        <f>IFERROR(IF(L92="🟢 Sạch","✅ ĐỦ ĐIỀU KIỆN MUA",IF(L92="🟡 Theo dõi","⚠️ Cần xác minh BCTC","❌ LOẠI KHỎI BỘ LỌC")),"")</f>
        <v/>
      </c>
      <c r="N92" s="863">
        <f>IFERROR(IF(M92="✅ ĐỦ ĐIỀU KIỆN MUA",ROUND((I92/3+K92/9-J92/5)*10,1),0),"")</f>
        <v/>
      </c>
    </row>
    <row r="93" ht="15" customHeight="1" s="981">
      <c r="A93" s="861" t="n">
        <v>88</v>
      </c>
      <c r="B93" s="862">
        <f>IFERROR(IF('📈 Cổ Phiếu VN 🔍'!$A$92="","",'📈 Cổ Phiếu VN 🔍'!$A$92),"")</f>
        <v/>
      </c>
      <c r="C93" s="862">
        <f>IFERROR('📈 Cổ Phiếu VN 🔍'!$B$92,"")</f>
        <v/>
      </c>
      <c r="D93" s="862">
        <f>IFERROR('📈 Cổ Phiếu VN 🔍'!$C$92,"")</f>
        <v/>
      </c>
      <c r="E93" s="862">
        <f>IFERROR('📈 Cổ Phiếu VN 🔍'!$E$92,0)</f>
        <v/>
      </c>
      <c r="F93" s="862">
        <f>IFERROR('📈 Cổ Phiếu VN 🔍'!$F$92,0)</f>
        <v/>
      </c>
      <c r="G93" s="862">
        <f>IFERROR('📈 Cổ Phiếu VN 🔍'!$G$92,0)</f>
        <v/>
      </c>
      <c r="H93" s="862">
        <f>IFERROR('📈 Cổ Phiếu VN 🔍'!$T$92,0)</f>
        <v/>
      </c>
      <c r="I93" s="863">
        <f>IFERROR(IF('📈 Cổ Phiếu VN 🔍'!$A$92="","",ROUND(3.25+6.56*0.15+3.26*('📈 Cổ Phiếu VN 🔍'!$G$92/100*0.5)+6.72*('📈 Cổ Phiếu VN 🔍'!$G$92/100)+1.05*(1/('📈 Cổ Phiếu VN 🔍'!$T$92+0.5)),2)),"")</f>
        <v/>
      </c>
      <c r="J93" s="863">
        <f>IFERROR(IF('📈 Cổ Phiếu VN 🔍'!$A$92="","",ROUND(-4.84+0.92*(1+0.5*'📈 Cổ Phiếu VN 🔍'!$J$92/100)+0.528*1.02+0.404*1.01+0.892*(1+'📈 Cổ Phiếu VN 🔍'!$J$92/100)+0.115*1.02,2)),"")</f>
        <v/>
      </c>
      <c r="K93" s="863">
        <f>IFERROR(IF('📈 Cổ Phiếu VN 🔍'!$A$92="","",(IF('📈 Cổ Phiếu VN 🔍'!$G$92&gt;0,1,0)+IF('📈 Cổ Phiếu VN 🔍'!$G$92&gt;5,1,0)+IF('📈 Cổ Phiếu VN 🔍'!$G$92&gt;10,1,0)+IF('📈 Cổ Phiếu VN 🔍'!$G$92&gt;15,1,0)+IF('📈 Cổ Phiếu VN 🔍'!$T$92&lt;3,1,0)+IF('📈 Cổ Phiếu VN 🔍'!$T$92&lt;5,1,0)+IF('📈 Cổ Phiếu VN 🔍'!$J$92&gt;0,1,0)+IF('📈 Cổ Phiếu VN 🔍'!$E$92&lt;20,1,0)+IF('📈 Cổ Phiếu VN 🔍'!$E$92&gt;0,1,0))),"")</f>
        <v/>
      </c>
      <c r="L93" s="863">
        <f>IFERROR(IF(I93="","",IF(OR(I93&lt;1.8,J93&gt;-1.78,K93&lt;5),"🔴 CỜ ĐỎ",IF(OR(I93&lt;2.99,J93&gt;-2.22,K93&lt;7),"🟡 Theo dõi","🟢 Sạch"))),"")</f>
        <v/>
      </c>
      <c r="M93" s="863">
        <f>IFERROR(IF(L93="🟢 Sạch","✅ ĐỦ ĐIỀU KIỆN MUA",IF(L93="🟡 Theo dõi","⚠️ Cần xác minh BCTC","❌ LOẠI KHỎI BỘ LỌC")),"")</f>
        <v/>
      </c>
      <c r="N93" s="863">
        <f>IFERROR(IF(M93="✅ ĐỦ ĐIỀU KIỆN MUA",ROUND((I93/3+K93/9-J93/5)*10,1),0),"")</f>
        <v/>
      </c>
    </row>
    <row r="94" ht="15" customHeight="1" s="981">
      <c r="A94" s="861" t="n">
        <v>89</v>
      </c>
      <c r="B94" s="862">
        <f>IFERROR(IF('📈 Cổ Phiếu VN 🔍'!$A$93="","",'📈 Cổ Phiếu VN 🔍'!$A$93),"")</f>
        <v/>
      </c>
      <c r="C94" s="862">
        <f>IFERROR('📈 Cổ Phiếu VN 🔍'!$B$93,"")</f>
        <v/>
      </c>
      <c r="D94" s="862">
        <f>IFERROR('📈 Cổ Phiếu VN 🔍'!$C$93,"")</f>
        <v/>
      </c>
      <c r="E94" s="862">
        <f>IFERROR('📈 Cổ Phiếu VN 🔍'!$E$93,0)</f>
        <v/>
      </c>
      <c r="F94" s="862">
        <f>IFERROR('📈 Cổ Phiếu VN 🔍'!$F$93,0)</f>
        <v/>
      </c>
      <c r="G94" s="862">
        <f>IFERROR('📈 Cổ Phiếu VN 🔍'!$G$93,0)</f>
        <v/>
      </c>
      <c r="H94" s="862">
        <f>IFERROR('📈 Cổ Phiếu VN 🔍'!$T$93,0)</f>
        <v/>
      </c>
      <c r="I94" s="863">
        <f>IFERROR(IF('📈 Cổ Phiếu VN 🔍'!$A$93="","",ROUND(3.25+6.56*0.15+3.26*('📈 Cổ Phiếu VN 🔍'!$G$93/100*0.5)+6.72*('📈 Cổ Phiếu VN 🔍'!$G$93/100)+1.05*(1/('📈 Cổ Phiếu VN 🔍'!$T$93+0.5)),2)),"")</f>
        <v/>
      </c>
      <c r="J94" s="863">
        <f>IFERROR(IF('📈 Cổ Phiếu VN 🔍'!$A$93="","",ROUND(-4.84+0.92*(1+0.5*'📈 Cổ Phiếu VN 🔍'!$J$93/100)+0.528*1.02+0.404*1.01+0.892*(1+'📈 Cổ Phiếu VN 🔍'!$J$93/100)+0.115*1.02,2)),"")</f>
        <v/>
      </c>
      <c r="K94" s="863">
        <f>IFERROR(IF('📈 Cổ Phiếu VN 🔍'!$A$93="","",(IF('📈 Cổ Phiếu VN 🔍'!$G$93&gt;0,1,0)+IF('📈 Cổ Phiếu VN 🔍'!$G$93&gt;5,1,0)+IF('📈 Cổ Phiếu VN 🔍'!$G$93&gt;10,1,0)+IF('📈 Cổ Phiếu VN 🔍'!$G$93&gt;15,1,0)+IF('📈 Cổ Phiếu VN 🔍'!$T$93&lt;3,1,0)+IF('📈 Cổ Phiếu VN 🔍'!$T$93&lt;5,1,0)+IF('📈 Cổ Phiếu VN 🔍'!$J$93&gt;0,1,0)+IF('📈 Cổ Phiếu VN 🔍'!$E$93&lt;20,1,0)+IF('📈 Cổ Phiếu VN 🔍'!$E$93&gt;0,1,0))),"")</f>
        <v/>
      </c>
      <c r="L94" s="863">
        <f>IFERROR(IF(I94="","",IF(OR(I94&lt;1.8,J94&gt;-1.78,K94&lt;5),"🔴 CỜ ĐỎ",IF(OR(I94&lt;2.99,J94&gt;-2.22,K94&lt;7),"🟡 Theo dõi","🟢 Sạch"))),"")</f>
        <v/>
      </c>
      <c r="M94" s="863">
        <f>IFERROR(IF(L94="🟢 Sạch","✅ ĐỦ ĐIỀU KIỆN MUA",IF(L94="🟡 Theo dõi","⚠️ Cần xác minh BCTC","❌ LOẠI KHỎI BỘ LỌC")),"")</f>
        <v/>
      </c>
      <c r="N94" s="863">
        <f>IFERROR(IF(M94="✅ ĐỦ ĐIỀU KIỆN MUA",ROUND((I94/3+K94/9-J94/5)*10,1),0),"")</f>
        <v/>
      </c>
    </row>
    <row r="95" ht="15" customHeight="1" s="981">
      <c r="A95" s="861" t="n">
        <v>90</v>
      </c>
      <c r="B95" s="862">
        <f>IFERROR(IF('📈 Cổ Phiếu VN 🔍'!$A$94="","",'📈 Cổ Phiếu VN 🔍'!$A$94),"")</f>
        <v/>
      </c>
      <c r="C95" s="862">
        <f>IFERROR('📈 Cổ Phiếu VN 🔍'!$B$94,"")</f>
        <v/>
      </c>
      <c r="D95" s="862">
        <f>IFERROR('📈 Cổ Phiếu VN 🔍'!$C$94,"")</f>
        <v/>
      </c>
      <c r="E95" s="862">
        <f>IFERROR('📈 Cổ Phiếu VN 🔍'!$E$94,0)</f>
        <v/>
      </c>
      <c r="F95" s="862">
        <f>IFERROR('📈 Cổ Phiếu VN 🔍'!$F$94,0)</f>
        <v/>
      </c>
      <c r="G95" s="862">
        <f>IFERROR('📈 Cổ Phiếu VN 🔍'!$G$94,0)</f>
        <v/>
      </c>
      <c r="H95" s="862">
        <f>IFERROR('📈 Cổ Phiếu VN 🔍'!$T$94,0)</f>
        <v/>
      </c>
      <c r="I95" s="863">
        <f>IFERROR(IF('📈 Cổ Phiếu VN 🔍'!$A$94="","",ROUND(3.25+6.56*0.15+3.26*('📈 Cổ Phiếu VN 🔍'!$G$94/100*0.5)+6.72*('📈 Cổ Phiếu VN 🔍'!$G$94/100)+1.05*(1/('📈 Cổ Phiếu VN 🔍'!$T$94+0.5)),2)),"")</f>
        <v/>
      </c>
      <c r="J95" s="863">
        <f>IFERROR(IF('📈 Cổ Phiếu VN 🔍'!$A$94="","",ROUND(-4.84+0.92*(1+0.5*'📈 Cổ Phiếu VN 🔍'!$J$94/100)+0.528*1.02+0.404*1.01+0.892*(1+'📈 Cổ Phiếu VN 🔍'!$J$94/100)+0.115*1.02,2)),"")</f>
        <v/>
      </c>
      <c r="K95" s="863">
        <f>IFERROR(IF('📈 Cổ Phiếu VN 🔍'!$A$94="","",(IF('📈 Cổ Phiếu VN 🔍'!$G$94&gt;0,1,0)+IF('📈 Cổ Phiếu VN 🔍'!$G$94&gt;5,1,0)+IF('📈 Cổ Phiếu VN 🔍'!$G$94&gt;10,1,0)+IF('📈 Cổ Phiếu VN 🔍'!$G$94&gt;15,1,0)+IF('📈 Cổ Phiếu VN 🔍'!$T$94&lt;3,1,0)+IF('📈 Cổ Phiếu VN 🔍'!$T$94&lt;5,1,0)+IF('📈 Cổ Phiếu VN 🔍'!$J$94&gt;0,1,0)+IF('📈 Cổ Phiếu VN 🔍'!$E$94&lt;20,1,0)+IF('📈 Cổ Phiếu VN 🔍'!$E$94&gt;0,1,0))),"")</f>
        <v/>
      </c>
      <c r="L95" s="863">
        <f>IFERROR(IF(I95="","",IF(OR(I95&lt;1.8,J95&gt;-1.78,K95&lt;5),"🔴 CỜ ĐỎ",IF(OR(I95&lt;2.99,J95&gt;-2.22,K95&lt;7),"🟡 Theo dõi","🟢 Sạch"))),"")</f>
        <v/>
      </c>
      <c r="M95" s="863">
        <f>IFERROR(IF(L95="🟢 Sạch","✅ ĐỦ ĐIỀU KIỆN MUA",IF(L95="🟡 Theo dõi","⚠️ Cần xác minh BCTC","❌ LOẠI KHỎI BỘ LỌC")),"")</f>
        <v/>
      </c>
      <c r="N95" s="863">
        <f>IFERROR(IF(M95="✅ ĐỦ ĐIỀU KIỆN MUA",ROUND((I95/3+K95/9-J95/5)*10,1),0),"")</f>
        <v/>
      </c>
    </row>
    <row r="96" ht="15" customHeight="1" s="981">
      <c r="A96" s="861" t="n">
        <v>91</v>
      </c>
      <c r="B96" s="862">
        <f>IFERROR(IF('📈 Cổ Phiếu VN 🔍'!$A$95="","",'📈 Cổ Phiếu VN 🔍'!$A$95),"")</f>
        <v/>
      </c>
      <c r="C96" s="862">
        <f>IFERROR('📈 Cổ Phiếu VN 🔍'!$B$95,"")</f>
        <v/>
      </c>
      <c r="D96" s="862">
        <f>IFERROR('📈 Cổ Phiếu VN 🔍'!$C$95,"")</f>
        <v/>
      </c>
      <c r="E96" s="862">
        <f>IFERROR('📈 Cổ Phiếu VN 🔍'!$E$95,0)</f>
        <v/>
      </c>
      <c r="F96" s="862">
        <f>IFERROR('📈 Cổ Phiếu VN 🔍'!$F$95,0)</f>
        <v/>
      </c>
      <c r="G96" s="862">
        <f>IFERROR('📈 Cổ Phiếu VN 🔍'!$G$95,0)</f>
        <v/>
      </c>
      <c r="H96" s="862">
        <f>IFERROR('📈 Cổ Phiếu VN 🔍'!$T$95,0)</f>
        <v/>
      </c>
      <c r="I96" s="863">
        <f>IFERROR(IF('📈 Cổ Phiếu VN 🔍'!$A$95="","",ROUND(3.25+6.56*0.15+3.26*('📈 Cổ Phiếu VN 🔍'!$G$95/100*0.5)+6.72*('📈 Cổ Phiếu VN 🔍'!$G$95/100)+1.05*(1/('📈 Cổ Phiếu VN 🔍'!$T$95+0.5)),2)),"")</f>
        <v/>
      </c>
      <c r="J96" s="863">
        <f>IFERROR(IF('📈 Cổ Phiếu VN 🔍'!$A$95="","",ROUND(-4.84+0.92*(1+0.5*'📈 Cổ Phiếu VN 🔍'!$J$95/100)+0.528*1.02+0.404*1.01+0.892*(1+'📈 Cổ Phiếu VN 🔍'!$J$95/100)+0.115*1.02,2)),"")</f>
        <v/>
      </c>
      <c r="K96" s="863">
        <f>IFERROR(IF('📈 Cổ Phiếu VN 🔍'!$A$95="","",(IF('📈 Cổ Phiếu VN 🔍'!$G$95&gt;0,1,0)+IF('📈 Cổ Phiếu VN 🔍'!$G$95&gt;5,1,0)+IF('📈 Cổ Phiếu VN 🔍'!$G$95&gt;10,1,0)+IF('📈 Cổ Phiếu VN 🔍'!$G$95&gt;15,1,0)+IF('📈 Cổ Phiếu VN 🔍'!$T$95&lt;3,1,0)+IF('📈 Cổ Phiếu VN 🔍'!$T$95&lt;5,1,0)+IF('📈 Cổ Phiếu VN 🔍'!$J$95&gt;0,1,0)+IF('📈 Cổ Phiếu VN 🔍'!$E$95&lt;20,1,0)+IF('📈 Cổ Phiếu VN 🔍'!$E$95&gt;0,1,0))),"")</f>
        <v/>
      </c>
      <c r="L96" s="863">
        <f>IFERROR(IF(I96="","",IF(OR(I96&lt;1.8,J96&gt;-1.78,K96&lt;5),"🔴 CỜ ĐỎ",IF(OR(I96&lt;2.99,J96&gt;-2.22,K96&lt;7),"🟡 Theo dõi","🟢 Sạch"))),"")</f>
        <v/>
      </c>
      <c r="M96" s="863">
        <f>IFERROR(IF(L96="🟢 Sạch","✅ ĐỦ ĐIỀU KIỆN MUA",IF(L96="🟡 Theo dõi","⚠️ Cần xác minh BCTC","❌ LOẠI KHỎI BỘ LỌC")),"")</f>
        <v/>
      </c>
      <c r="N96" s="863">
        <f>IFERROR(IF(M96="✅ ĐỦ ĐIỀU KIỆN MUA",ROUND((I96/3+K96/9-J96/5)*10,1),0),"")</f>
        <v/>
      </c>
    </row>
    <row r="97" ht="15" customHeight="1" s="981">
      <c r="A97" s="861" t="n">
        <v>92</v>
      </c>
      <c r="B97" s="862">
        <f>IFERROR(IF('📈 Cổ Phiếu VN 🔍'!$A$96="","",'📈 Cổ Phiếu VN 🔍'!$A$96),"")</f>
        <v/>
      </c>
      <c r="C97" s="862">
        <f>IFERROR('📈 Cổ Phiếu VN 🔍'!$B$96,"")</f>
        <v/>
      </c>
      <c r="D97" s="862">
        <f>IFERROR('📈 Cổ Phiếu VN 🔍'!$C$96,"")</f>
        <v/>
      </c>
      <c r="E97" s="862">
        <f>IFERROR('📈 Cổ Phiếu VN 🔍'!$E$96,0)</f>
        <v/>
      </c>
      <c r="F97" s="862">
        <f>IFERROR('📈 Cổ Phiếu VN 🔍'!$F$96,0)</f>
        <v/>
      </c>
      <c r="G97" s="862">
        <f>IFERROR('📈 Cổ Phiếu VN 🔍'!$G$96,0)</f>
        <v/>
      </c>
      <c r="H97" s="862">
        <f>IFERROR('📈 Cổ Phiếu VN 🔍'!$T$96,0)</f>
        <v/>
      </c>
      <c r="I97" s="863">
        <f>IFERROR(IF('📈 Cổ Phiếu VN 🔍'!$A$96="","",ROUND(3.25+6.56*0.15+3.26*('📈 Cổ Phiếu VN 🔍'!$G$96/100*0.5)+6.72*('📈 Cổ Phiếu VN 🔍'!$G$96/100)+1.05*(1/('📈 Cổ Phiếu VN 🔍'!$T$96+0.5)),2)),"")</f>
        <v/>
      </c>
      <c r="J97" s="863">
        <f>IFERROR(IF('📈 Cổ Phiếu VN 🔍'!$A$96="","",ROUND(-4.84+0.92*(1+0.5*'📈 Cổ Phiếu VN 🔍'!$J$96/100)+0.528*1.02+0.404*1.01+0.892*(1+'📈 Cổ Phiếu VN 🔍'!$J$96/100)+0.115*1.02,2)),"")</f>
        <v/>
      </c>
      <c r="K97" s="863">
        <f>IFERROR(IF('📈 Cổ Phiếu VN 🔍'!$A$96="","",(IF('📈 Cổ Phiếu VN 🔍'!$G$96&gt;0,1,0)+IF('📈 Cổ Phiếu VN 🔍'!$G$96&gt;5,1,0)+IF('📈 Cổ Phiếu VN 🔍'!$G$96&gt;10,1,0)+IF('📈 Cổ Phiếu VN 🔍'!$G$96&gt;15,1,0)+IF('📈 Cổ Phiếu VN 🔍'!$T$96&lt;3,1,0)+IF('📈 Cổ Phiếu VN 🔍'!$T$96&lt;5,1,0)+IF('📈 Cổ Phiếu VN 🔍'!$J$96&gt;0,1,0)+IF('📈 Cổ Phiếu VN 🔍'!$E$96&lt;20,1,0)+IF('📈 Cổ Phiếu VN 🔍'!$E$96&gt;0,1,0))),"")</f>
        <v/>
      </c>
      <c r="L97" s="863">
        <f>IFERROR(IF(I97="","",IF(OR(I97&lt;1.8,J97&gt;-1.78,K97&lt;5),"🔴 CỜ ĐỎ",IF(OR(I97&lt;2.99,J97&gt;-2.22,K97&lt;7),"🟡 Theo dõi","🟢 Sạch"))),"")</f>
        <v/>
      </c>
      <c r="M97" s="863">
        <f>IFERROR(IF(L97="🟢 Sạch","✅ ĐỦ ĐIỀU KIỆN MUA",IF(L97="🟡 Theo dõi","⚠️ Cần xác minh BCTC","❌ LOẠI KHỎI BỘ LỌC")),"")</f>
        <v/>
      </c>
      <c r="N97" s="863">
        <f>IFERROR(IF(M97="✅ ĐỦ ĐIỀU KIỆN MUA",ROUND((I97/3+K97/9-J97/5)*10,1),0),"")</f>
        <v/>
      </c>
    </row>
    <row r="98" ht="15" customHeight="1" s="981">
      <c r="A98" s="861" t="n">
        <v>93</v>
      </c>
      <c r="B98" s="862">
        <f>IFERROR(IF('📈 Cổ Phiếu VN 🔍'!$A$97="","",'📈 Cổ Phiếu VN 🔍'!$A$97),"")</f>
        <v/>
      </c>
      <c r="C98" s="862">
        <f>IFERROR('📈 Cổ Phiếu VN 🔍'!$B$97,"")</f>
        <v/>
      </c>
      <c r="D98" s="862">
        <f>IFERROR('📈 Cổ Phiếu VN 🔍'!$C$97,"")</f>
        <v/>
      </c>
      <c r="E98" s="862">
        <f>IFERROR('📈 Cổ Phiếu VN 🔍'!$E$97,0)</f>
        <v/>
      </c>
      <c r="F98" s="862">
        <f>IFERROR('📈 Cổ Phiếu VN 🔍'!$F$97,0)</f>
        <v/>
      </c>
      <c r="G98" s="862">
        <f>IFERROR('📈 Cổ Phiếu VN 🔍'!$G$97,0)</f>
        <v/>
      </c>
      <c r="H98" s="862">
        <f>IFERROR('📈 Cổ Phiếu VN 🔍'!$T$97,0)</f>
        <v/>
      </c>
      <c r="I98" s="863">
        <f>IFERROR(IF('📈 Cổ Phiếu VN 🔍'!$A$97="","",ROUND(3.25+6.56*0.15+3.26*('📈 Cổ Phiếu VN 🔍'!$G$97/100*0.5)+6.72*('📈 Cổ Phiếu VN 🔍'!$G$97/100)+1.05*(1/('📈 Cổ Phiếu VN 🔍'!$T$97+0.5)),2)),"")</f>
        <v/>
      </c>
      <c r="J98" s="863">
        <f>IFERROR(IF('📈 Cổ Phiếu VN 🔍'!$A$97="","",ROUND(-4.84+0.92*(1+0.5*'📈 Cổ Phiếu VN 🔍'!$J$97/100)+0.528*1.02+0.404*1.01+0.892*(1+'📈 Cổ Phiếu VN 🔍'!$J$97/100)+0.115*1.02,2)),"")</f>
        <v/>
      </c>
      <c r="K98" s="863">
        <f>IFERROR(IF('📈 Cổ Phiếu VN 🔍'!$A$97="","",(IF('📈 Cổ Phiếu VN 🔍'!$G$97&gt;0,1,0)+IF('📈 Cổ Phiếu VN 🔍'!$G$97&gt;5,1,0)+IF('📈 Cổ Phiếu VN 🔍'!$G$97&gt;10,1,0)+IF('📈 Cổ Phiếu VN 🔍'!$G$97&gt;15,1,0)+IF('📈 Cổ Phiếu VN 🔍'!$T$97&lt;3,1,0)+IF('📈 Cổ Phiếu VN 🔍'!$T$97&lt;5,1,0)+IF('📈 Cổ Phiếu VN 🔍'!$J$97&gt;0,1,0)+IF('📈 Cổ Phiếu VN 🔍'!$E$97&lt;20,1,0)+IF('📈 Cổ Phiếu VN 🔍'!$E$97&gt;0,1,0))),"")</f>
        <v/>
      </c>
      <c r="L98" s="863">
        <f>IFERROR(IF(I98="","",IF(OR(I98&lt;1.8,J98&gt;-1.78,K98&lt;5),"🔴 CỜ ĐỎ",IF(OR(I98&lt;2.99,J98&gt;-2.22,K98&lt;7),"🟡 Theo dõi","🟢 Sạch"))),"")</f>
        <v/>
      </c>
      <c r="M98" s="863">
        <f>IFERROR(IF(L98="🟢 Sạch","✅ ĐỦ ĐIỀU KIỆN MUA",IF(L98="🟡 Theo dõi","⚠️ Cần xác minh BCTC","❌ LOẠI KHỎI BỘ LỌC")),"")</f>
        <v/>
      </c>
      <c r="N98" s="863">
        <f>IFERROR(IF(M98="✅ ĐỦ ĐIỀU KIỆN MUA",ROUND((I98/3+K98/9-J98/5)*10,1),0),"")</f>
        <v/>
      </c>
    </row>
    <row r="99" ht="15" customHeight="1" s="981">
      <c r="A99" s="861" t="n">
        <v>94</v>
      </c>
      <c r="B99" s="862">
        <f>IFERROR(IF('📈 Cổ Phiếu VN 🔍'!$A$98="","",'📈 Cổ Phiếu VN 🔍'!$A$98),"")</f>
        <v/>
      </c>
      <c r="C99" s="862">
        <f>IFERROR('📈 Cổ Phiếu VN 🔍'!$B$98,"")</f>
        <v/>
      </c>
      <c r="D99" s="862">
        <f>IFERROR('📈 Cổ Phiếu VN 🔍'!$C$98,"")</f>
        <v/>
      </c>
      <c r="E99" s="862">
        <f>IFERROR('📈 Cổ Phiếu VN 🔍'!$E$98,0)</f>
        <v/>
      </c>
      <c r="F99" s="862">
        <f>IFERROR('📈 Cổ Phiếu VN 🔍'!$F$98,0)</f>
        <v/>
      </c>
      <c r="G99" s="862">
        <f>IFERROR('📈 Cổ Phiếu VN 🔍'!$G$98,0)</f>
        <v/>
      </c>
      <c r="H99" s="862">
        <f>IFERROR('📈 Cổ Phiếu VN 🔍'!$T$98,0)</f>
        <v/>
      </c>
      <c r="I99" s="863">
        <f>IFERROR(IF('📈 Cổ Phiếu VN 🔍'!$A$98="","",ROUND(3.25+6.56*0.15+3.26*('📈 Cổ Phiếu VN 🔍'!$G$98/100*0.5)+6.72*('📈 Cổ Phiếu VN 🔍'!$G$98/100)+1.05*(1/('📈 Cổ Phiếu VN 🔍'!$T$98+0.5)),2)),"")</f>
        <v/>
      </c>
      <c r="J99" s="863">
        <f>IFERROR(IF('📈 Cổ Phiếu VN 🔍'!$A$98="","",ROUND(-4.84+0.92*(1+0.5*'📈 Cổ Phiếu VN 🔍'!$J$98/100)+0.528*1.02+0.404*1.01+0.892*(1+'📈 Cổ Phiếu VN 🔍'!$J$98/100)+0.115*1.02,2)),"")</f>
        <v/>
      </c>
      <c r="K99" s="863">
        <f>IFERROR(IF('📈 Cổ Phiếu VN 🔍'!$A$98="","",(IF('📈 Cổ Phiếu VN 🔍'!$G$98&gt;0,1,0)+IF('📈 Cổ Phiếu VN 🔍'!$G$98&gt;5,1,0)+IF('📈 Cổ Phiếu VN 🔍'!$G$98&gt;10,1,0)+IF('📈 Cổ Phiếu VN 🔍'!$G$98&gt;15,1,0)+IF('📈 Cổ Phiếu VN 🔍'!$T$98&lt;3,1,0)+IF('📈 Cổ Phiếu VN 🔍'!$T$98&lt;5,1,0)+IF('📈 Cổ Phiếu VN 🔍'!$J$98&gt;0,1,0)+IF('📈 Cổ Phiếu VN 🔍'!$E$98&lt;20,1,0)+IF('📈 Cổ Phiếu VN 🔍'!$E$98&gt;0,1,0))),"")</f>
        <v/>
      </c>
      <c r="L99" s="863">
        <f>IFERROR(IF(I99="","",IF(OR(I99&lt;1.8,J99&gt;-1.78,K99&lt;5),"🔴 CỜ ĐỎ",IF(OR(I99&lt;2.99,J99&gt;-2.22,K99&lt;7),"🟡 Theo dõi","🟢 Sạch"))),"")</f>
        <v/>
      </c>
      <c r="M99" s="863">
        <f>IFERROR(IF(L99="🟢 Sạch","✅ ĐỦ ĐIỀU KIỆN MUA",IF(L99="🟡 Theo dõi","⚠️ Cần xác minh BCTC","❌ LOẠI KHỎI BỘ LỌC")),"")</f>
        <v/>
      </c>
      <c r="N99" s="863">
        <f>IFERROR(IF(M99="✅ ĐỦ ĐIỀU KIỆN MUA",ROUND((I99/3+K99/9-J99/5)*10,1),0),"")</f>
        <v/>
      </c>
    </row>
    <row r="100" ht="15" customHeight="1" s="981">
      <c r="A100" s="861" t="n">
        <v>95</v>
      </c>
      <c r="B100" s="862">
        <f>IFERROR(IF('📈 Cổ Phiếu VN 🔍'!$A$99="","",'📈 Cổ Phiếu VN 🔍'!$A$99),"")</f>
        <v/>
      </c>
      <c r="C100" s="862">
        <f>IFERROR('📈 Cổ Phiếu VN 🔍'!$B$99,"")</f>
        <v/>
      </c>
      <c r="D100" s="862">
        <f>IFERROR('📈 Cổ Phiếu VN 🔍'!$C$99,"")</f>
        <v/>
      </c>
      <c r="E100" s="862">
        <f>IFERROR('📈 Cổ Phiếu VN 🔍'!$E$99,0)</f>
        <v/>
      </c>
      <c r="F100" s="862">
        <f>IFERROR('📈 Cổ Phiếu VN 🔍'!$F$99,0)</f>
        <v/>
      </c>
      <c r="G100" s="862">
        <f>IFERROR('📈 Cổ Phiếu VN 🔍'!$G$99,0)</f>
        <v/>
      </c>
      <c r="H100" s="862">
        <f>IFERROR('📈 Cổ Phiếu VN 🔍'!$T$99,0)</f>
        <v/>
      </c>
      <c r="I100" s="863">
        <f>IFERROR(IF('📈 Cổ Phiếu VN 🔍'!$A$99="","",ROUND(3.25+6.56*0.15+3.26*('📈 Cổ Phiếu VN 🔍'!$G$99/100*0.5)+6.72*('📈 Cổ Phiếu VN 🔍'!$G$99/100)+1.05*(1/('📈 Cổ Phiếu VN 🔍'!$T$99+0.5)),2)),"")</f>
        <v/>
      </c>
      <c r="J100" s="863">
        <f>IFERROR(IF('📈 Cổ Phiếu VN 🔍'!$A$99="","",ROUND(-4.84+0.92*(1+0.5*'📈 Cổ Phiếu VN 🔍'!$J$99/100)+0.528*1.02+0.404*1.01+0.892*(1+'📈 Cổ Phiếu VN 🔍'!$J$99/100)+0.115*1.02,2)),"")</f>
        <v/>
      </c>
      <c r="K100" s="863">
        <f>IFERROR(IF('📈 Cổ Phiếu VN 🔍'!$A$99="","",(IF('📈 Cổ Phiếu VN 🔍'!$G$99&gt;0,1,0)+IF('📈 Cổ Phiếu VN 🔍'!$G$99&gt;5,1,0)+IF('📈 Cổ Phiếu VN 🔍'!$G$99&gt;10,1,0)+IF('📈 Cổ Phiếu VN 🔍'!$G$99&gt;15,1,0)+IF('📈 Cổ Phiếu VN 🔍'!$T$99&lt;3,1,0)+IF('📈 Cổ Phiếu VN 🔍'!$T$99&lt;5,1,0)+IF('📈 Cổ Phiếu VN 🔍'!$J$99&gt;0,1,0)+IF('📈 Cổ Phiếu VN 🔍'!$E$99&lt;20,1,0)+IF('📈 Cổ Phiếu VN 🔍'!$E$99&gt;0,1,0))),"")</f>
        <v/>
      </c>
      <c r="L100" s="863">
        <f>IFERROR(IF(I100="","",IF(OR(I100&lt;1.8,J100&gt;-1.78,K100&lt;5),"🔴 CỜ ĐỎ",IF(OR(I100&lt;2.99,J100&gt;-2.22,K100&lt;7),"🟡 Theo dõi","🟢 Sạch"))),"")</f>
        <v/>
      </c>
      <c r="M100" s="863">
        <f>IFERROR(IF(L100="🟢 Sạch","✅ ĐỦ ĐIỀU KIỆN MUA",IF(L100="🟡 Theo dõi","⚠️ Cần xác minh BCTC","❌ LOẠI KHỎI BỘ LỌC")),"")</f>
        <v/>
      </c>
      <c r="N100" s="863">
        <f>IFERROR(IF(M100="✅ ĐỦ ĐIỀU KIỆN MUA",ROUND((I100/3+K100/9-J100/5)*10,1),0),"")</f>
        <v/>
      </c>
    </row>
    <row r="101" ht="15" customHeight="1" s="981">
      <c r="A101" s="861" t="n">
        <v>96</v>
      </c>
      <c r="B101" s="862">
        <f>IFERROR(IF('📈 Cổ Phiếu VN 🔍'!$A$100="","",'📈 Cổ Phiếu VN 🔍'!$A$100),"")</f>
        <v/>
      </c>
      <c r="C101" s="862">
        <f>IFERROR('📈 Cổ Phiếu VN 🔍'!$B$100,"")</f>
        <v/>
      </c>
      <c r="D101" s="862">
        <f>IFERROR('📈 Cổ Phiếu VN 🔍'!$C$100,"")</f>
        <v/>
      </c>
      <c r="E101" s="862">
        <f>IFERROR('📈 Cổ Phiếu VN 🔍'!$E$100,0)</f>
        <v/>
      </c>
      <c r="F101" s="862">
        <f>IFERROR('📈 Cổ Phiếu VN 🔍'!$F$100,0)</f>
        <v/>
      </c>
      <c r="G101" s="862">
        <f>IFERROR('📈 Cổ Phiếu VN 🔍'!$G$100,0)</f>
        <v/>
      </c>
      <c r="H101" s="862">
        <f>IFERROR('📈 Cổ Phiếu VN 🔍'!$T$100,0)</f>
        <v/>
      </c>
      <c r="I101" s="863">
        <f>IFERROR(IF('📈 Cổ Phiếu VN 🔍'!$A$100="","",ROUND(3.25+6.56*0.15+3.26*('📈 Cổ Phiếu VN 🔍'!$G$100/100*0.5)+6.72*('📈 Cổ Phiếu VN 🔍'!$G$100/100)+1.05*(1/('📈 Cổ Phiếu VN 🔍'!$T$100+0.5)),2)),"")</f>
        <v/>
      </c>
      <c r="J101" s="863">
        <f>IFERROR(IF('📈 Cổ Phiếu VN 🔍'!$A$100="","",ROUND(-4.84+0.92*(1+0.5*'📈 Cổ Phiếu VN 🔍'!$J$100/100)+0.528*1.02+0.404*1.01+0.892*(1+'📈 Cổ Phiếu VN 🔍'!$J$100/100)+0.115*1.02,2)),"")</f>
        <v/>
      </c>
      <c r="K101" s="863">
        <f>IFERROR(IF('📈 Cổ Phiếu VN 🔍'!$A$100="","",(IF('📈 Cổ Phiếu VN 🔍'!$G$100&gt;0,1,0)+IF('📈 Cổ Phiếu VN 🔍'!$G$100&gt;5,1,0)+IF('📈 Cổ Phiếu VN 🔍'!$G$100&gt;10,1,0)+IF('📈 Cổ Phiếu VN 🔍'!$G$100&gt;15,1,0)+IF('📈 Cổ Phiếu VN 🔍'!$T$100&lt;3,1,0)+IF('📈 Cổ Phiếu VN 🔍'!$T$100&lt;5,1,0)+IF('📈 Cổ Phiếu VN 🔍'!$J$100&gt;0,1,0)+IF('📈 Cổ Phiếu VN 🔍'!$E$100&lt;20,1,0)+IF('📈 Cổ Phiếu VN 🔍'!$E$100&gt;0,1,0))),"")</f>
        <v/>
      </c>
      <c r="L101" s="863">
        <f>IFERROR(IF(I101="","",IF(OR(I101&lt;1.8,J101&gt;-1.78,K101&lt;5),"🔴 CỜ ĐỎ",IF(OR(I101&lt;2.99,J101&gt;-2.22,K101&lt;7),"🟡 Theo dõi","🟢 Sạch"))),"")</f>
        <v/>
      </c>
      <c r="M101" s="863">
        <f>IFERROR(IF(L101="🟢 Sạch","✅ ĐỦ ĐIỀU KIỆN MUA",IF(L101="🟡 Theo dõi","⚠️ Cần xác minh BCTC","❌ LOẠI KHỎI BỘ LỌC")),"")</f>
        <v/>
      </c>
      <c r="N101" s="863">
        <f>IFERROR(IF(M101="✅ ĐỦ ĐIỀU KIỆN MUA",ROUND((I101/3+K101/9-J101/5)*10,1),0),"")</f>
        <v/>
      </c>
    </row>
    <row r="102" ht="15" customHeight="1" s="981">
      <c r="A102" s="861" t="n">
        <v>97</v>
      </c>
      <c r="B102" s="862">
        <f>IFERROR(IF('📈 Cổ Phiếu VN 🔍'!$A$101="","",'📈 Cổ Phiếu VN 🔍'!$A$101),"")</f>
        <v/>
      </c>
      <c r="C102" s="862">
        <f>IFERROR('📈 Cổ Phiếu VN 🔍'!$B$101,"")</f>
        <v/>
      </c>
      <c r="D102" s="862">
        <f>IFERROR('📈 Cổ Phiếu VN 🔍'!$C$101,"")</f>
        <v/>
      </c>
      <c r="E102" s="862">
        <f>IFERROR('📈 Cổ Phiếu VN 🔍'!$E$101,0)</f>
        <v/>
      </c>
      <c r="F102" s="862">
        <f>IFERROR('📈 Cổ Phiếu VN 🔍'!$F$101,0)</f>
        <v/>
      </c>
      <c r="G102" s="862">
        <f>IFERROR('📈 Cổ Phiếu VN 🔍'!$G$101,0)</f>
        <v/>
      </c>
      <c r="H102" s="862">
        <f>IFERROR('📈 Cổ Phiếu VN 🔍'!$T$101,0)</f>
        <v/>
      </c>
      <c r="I102" s="863">
        <f>IFERROR(IF('📈 Cổ Phiếu VN 🔍'!$A$101="","",ROUND(3.25+6.56*0.15+3.26*('📈 Cổ Phiếu VN 🔍'!$G$101/100*0.5)+6.72*('📈 Cổ Phiếu VN 🔍'!$G$101/100)+1.05*(1/('📈 Cổ Phiếu VN 🔍'!$T$101+0.5)),2)),"")</f>
        <v/>
      </c>
      <c r="J102" s="863">
        <f>IFERROR(IF('📈 Cổ Phiếu VN 🔍'!$A$101="","",ROUND(-4.84+0.92*(1+0.5*'📈 Cổ Phiếu VN 🔍'!$J$101/100)+0.528*1.02+0.404*1.01+0.892*(1+'📈 Cổ Phiếu VN 🔍'!$J$101/100)+0.115*1.02,2)),"")</f>
        <v/>
      </c>
      <c r="K102" s="863">
        <f>IFERROR(IF('📈 Cổ Phiếu VN 🔍'!$A$101="","",(IF('📈 Cổ Phiếu VN 🔍'!$G$101&gt;0,1,0)+IF('📈 Cổ Phiếu VN 🔍'!$G$101&gt;5,1,0)+IF('📈 Cổ Phiếu VN 🔍'!$G$101&gt;10,1,0)+IF('📈 Cổ Phiếu VN 🔍'!$G$101&gt;15,1,0)+IF('📈 Cổ Phiếu VN 🔍'!$T$101&lt;3,1,0)+IF('📈 Cổ Phiếu VN 🔍'!$T$101&lt;5,1,0)+IF('📈 Cổ Phiếu VN 🔍'!$J$101&gt;0,1,0)+IF('📈 Cổ Phiếu VN 🔍'!$E$101&lt;20,1,0)+IF('📈 Cổ Phiếu VN 🔍'!$E$101&gt;0,1,0))),"")</f>
        <v/>
      </c>
      <c r="L102" s="863">
        <f>IFERROR(IF(I102="","",IF(OR(I102&lt;1.8,J102&gt;-1.78,K102&lt;5),"🔴 CỜ ĐỎ",IF(OR(I102&lt;2.99,J102&gt;-2.22,K102&lt;7),"🟡 Theo dõi","🟢 Sạch"))),"")</f>
        <v/>
      </c>
      <c r="M102" s="863">
        <f>IFERROR(IF(L102="🟢 Sạch","✅ ĐỦ ĐIỀU KIỆN MUA",IF(L102="🟡 Theo dõi","⚠️ Cần xác minh BCTC","❌ LOẠI KHỎI BỘ LỌC")),"")</f>
        <v/>
      </c>
      <c r="N102" s="863">
        <f>IFERROR(IF(M102="✅ ĐỦ ĐIỀU KIỆN MUA",ROUND((I102/3+K102/9-J102/5)*10,1),0),"")</f>
        <v/>
      </c>
    </row>
    <row r="103" ht="15" customHeight="1" s="981">
      <c r="A103" s="861" t="n">
        <v>98</v>
      </c>
      <c r="B103" s="862">
        <f>IFERROR(IF('📈 Cổ Phiếu VN 🔍'!$A$102="","",'📈 Cổ Phiếu VN 🔍'!$A$102),"")</f>
        <v/>
      </c>
      <c r="C103" s="862">
        <f>IFERROR('📈 Cổ Phiếu VN 🔍'!$B$102,"")</f>
        <v/>
      </c>
      <c r="D103" s="862">
        <f>IFERROR('📈 Cổ Phiếu VN 🔍'!$C$102,"")</f>
        <v/>
      </c>
      <c r="E103" s="862">
        <f>IFERROR('📈 Cổ Phiếu VN 🔍'!$E$102,0)</f>
        <v/>
      </c>
      <c r="F103" s="862">
        <f>IFERROR('📈 Cổ Phiếu VN 🔍'!$F$102,0)</f>
        <v/>
      </c>
      <c r="G103" s="862">
        <f>IFERROR('📈 Cổ Phiếu VN 🔍'!$G$102,0)</f>
        <v/>
      </c>
      <c r="H103" s="862">
        <f>IFERROR('📈 Cổ Phiếu VN 🔍'!$T$102,0)</f>
        <v/>
      </c>
      <c r="I103" s="863">
        <f>IFERROR(IF('📈 Cổ Phiếu VN 🔍'!$A$102="","",ROUND(3.25+6.56*0.15+3.26*('📈 Cổ Phiếu VN 🔍'!$G$102/100*0.5)+6.72*('📈 Cổ Phiếu VN 🔍'!$G$102/100)+1.05*(1/('📈 Cổ Phiếu VN 🔍'!$T$102+0.5)),2)),"")</f>
        <v/>
      </c>
      <c r="J103" s="863">
        <f>IFERROR(IF('📈 Cổ Phiếu VN 🔍'!$A$102="","",ROUND(-4.84+0.92*(1+0.5*'📈 Cổ Phiếu VN 🔍'!$J$102/100)+0.528*1.02+0.404*1.01+0.892*(1+'📈 Cổ Phiếu VN 🔍'!$J$102/100)+0.115*1.02,2)),"")</f>
        <v/>
      </c>
      <c r="K103" s="863">
        <f>IFERROR(IF('📈 Cổ Phiếu VN 🔍'!$A$102="","",(IF('📈 Cổ Phiếu VN 🔍'!$G$102&gt;0,1,0)+IF('📈 Cổ Phiếu VN 🔍'!$G$102&gt;5,1,0)+IF('📈 Cổ Phiếu VN 🔍'!$G$102&gt;10,1,0)+IF('📈 Cổ Phiếu VN 🔍'!$G$102&gt;15,1,0)+IF('📈 Cổ Phiếu VN 🔍'!$T$102&lt;3,1,0)+IF('📈 Cổ Phiếu VN 🔍'!$T$102&lt;5,1,0)+IF('📈 Cổ Phiếu VN 🔍'!$J$102&gt;0,1,0)+IF('📈 Cổ Phiếu VN 🔍'!$E$102&lt;20,1,0)+IF('📈 Cổ Phiếu VN 🔍'!$E$102&gt;0,1,0))),"")</f>
        <v/>
      </c>
      <c r="L103" s="863">
        <f>IFERROR(IF(I103="","",IF(OR(I103&lt;1.8,J103&gt;-1.78,K103&lt;5),"🔴 CỜ ĐỎ",IF(OR(I103&lt;2.99,J103&gt;-2.22,K103&lt;7),"🟡 Theo dõi","🟢 Sạch"))),"")</f>
        <v/>
      </c>
      <c r="M103" s="863">
        <f>IFERROR(IF(L103="🟢 Sạch","✅ ĐỦ ĐIỀU KIỆN MUA",IF(L103="🟡 Theo dõi","⚠️ Cần xác minh BCTC","❌ LOẠI KHỎI BỘ LỌC")),"")</f>
        <v/>
      </c>
      <c r="N103" s="863">
        <f>IFERROR(IF(M103="✅ ĐỦ ĐIỀU KIỆN MUA",ROUND((I103/3+K103/9-J103/5)*10,1),0),"")</f>
        <v/>
      </c>
    </row>
    <row r="104" ht="15" customHeight="1" s="981">
      <c r="A104" s="861" t="n">
        <v>99</v>
      </c>
      <c r="B104" s="862">
        <f>IFERROR(IF('📈 Cổ Phiếu VN 🔍'!$A$103="","",'📈 Cổ Phiếu VN 🔍'!$A$103),"")</f>
        <v/>
      </c>
      <c r="C104" s="862">
        <f>IFERROR('📈 Cổ Phiếu VN 🔍'!$B$103,"")</f>
        <v/>
      </c>
      <c r="D104" s="862">
        <f>IFERROR('📈 Cổ Phiếu VN 🔍'!$C$103,"")</f>
        <v/>
      </c>
      <c r="E104" s="862">
        <f>IFERROR('📈 Cổ Phiếu VN 🔍'!$E$103,0)</f>
        <v/>
      </c>
      <c r="F104" s="862">
        <f>IFERROR('📈 Cổ Phiếu VN 🔍'!$F$103,0)</f>
        <v/>
      </c>
      <c r="G104" s="862">
        <f>IFERROR('📈 Cổ Phiếu VN 🔍'!$G$103,0)</f>
        <v/>
      </c>
      <c r="H104" s="862">
        <f>IFERROR('📈 Cổ Phiếu VN 🔍'!$T$103,0)</f>
        <v/>
      </c>
      <c r="I104" s="863">
        <f>IFERROR(IF('📈 Cổ Phiếu VN 🔍'!$A$103="","",ROUND(3.25+6.56*0.15+3.26*('📈 Cổ Phiếu VN 🔍'!$G$103/100*0.5)+6.72*('📈 Cổ Phiếu VN 🔍'!$G$103/100)+1.05*(1/('📈 Cổ Phiếu VN 🔍'!$T$103+0.5)),2)),"")</f>
        <v/>
      </c>
      <c r="J104" s="863">
        <f>IFERROR(IF('📈 Cổ Phiếu VN 🔍'!$A$103="","",ROUND(-4.84+0.92*(1+0.5*'📈 Cổ Phiếu VN 🔍'!$J$103/100)+0.528*1.02+0.404*1.01+0.892*(1+'📈 Cổ Phiếu VN 🔍'!$J$103/100)+0.115*1.02,2)),"")</f>
        <v/>
      </c>
      <c r="K104" s="863">
        <f>IFERROR(IF('📈 Cổ Phiếu VN 🔍'!$A$103="","",(IF('📈 Cổ Phiếu VN 🔍'!$G$103&gt;0,1,0)+IF('📈 Cổ Phiếu VN 🔍'!$G$103&gt;5,1,0)+IF('📈 Cổ Phiếu VN 🔍'!$G$103&gt;10,1,0)+IF('📈 Cổ Phiếu VN 🔍'!$G$103&gt;15,1,0)+IF('📈 Cổ Phiếu VN 🔍'!$T$103&lt;3,1,0)+IF('📈 Cổ Phiếu VN 🔍'!$T$103&lt;5,1,0)+IF('📈 Cổ Phiếu VN 🔍'!$J$103&gt;0,1,0)+IF('📈 Cổ Phiếu VN 🔍'!$E$103&lt;20,1,0)+IF('📈 Cổ Phiếu VN 🔍'!$E$103&gt;0,1,0))),"")</f>
        <v/>
      </c>
      <c r="L104" s="863">
        <f>IFERROR(IF(I104="","",IF(OR(I104&lt;1.8,J104&gt;-1.78,K104&lt;5),"🔴 CỜ ĐỎ",IF(OR(I104&lt;2.99,J104&gt;-2.22,K104&lt;7),"🟡 Theo dõi","🟢 Sạch"))),"")</f>
        <v/>
      </c>
      <c r="M104" s="863">
        <f>IFERROR(IF(L104="🟢 Sạch","✅ ĐỦ ĐIỀU KIỆN MUA",IF(L104="🟡 Theo dõi","⚠️ Cần xác minh BCTC","❌ LOẠI KHỎI BỘ LỌC")),"")</f>
        <v/>
      </c>
      <c r="N104" s="863">
        <f>IFERROR(IF(M104="✅ ĐỦ ĐIỀU KIỆN MUA",ROUND((I104/3+K104/9-J104/5)*10,1),0),"")</f>
        <v/>
      </c>
    </row>
    <row r="105" ht="15" customHeight="1" s="981">
      <c r="A105" s="861" t="n">
        <v>100</v>
      </c>
      <c r="B105" s="862">
        <f>IFERROR(IF('📈 Cổ Phiếu VN 🔍'!$A$104="","",'📈 Cổ Phiếu VN 🔍'!$A$104),"")</f>
        <v/>
      </c>
      <c r="C105" s="862">
        <f>IFERROR('📈 Cổ Phiếu VN 🔍'!$B$104,"")</f>
        <v/>
      </c>
      <c r="D105" s="862">
        <f>IFERROR('📈 Cổ Phiếu VN 🔍'!$C$104,"")</f>
        <v/>
      </c>
      <c r="E105" s="862">
        <f>IFERROR('📈 Cổ Phiếu VN 🔍'!$E$104,0)</f>
        <v/>
      </c>
      <c r="F105" s="862">
        <f>IFERROR('📈 Cổ Phiếu VN 🔍'!$F$104,0)</f>
        <v/>
      </c>
      <c r="G105" s="862">
        <f>IFERROR('📈 Cổ Phiếu VN 🔍'!$G$104,0)</f>
        <v/>
      </c>
      <c r="H105" s="862">
        <f>IFERROR('📈 Cổ Phiếu VN 🔍'!$T$104,0)</f>
        <v/>
      </c>
      <c r="I105" s="863">
        <f>IFERROR(IF('📈 Cổ Phiếu VN 🔍'!$A$104="","",ROUND(3.25+6.56*0.15+3.26*('📈 Cổ Phiếu VN 🔍'!$G$104/100*0.5)+6.72*('📈 Cổ Phiếu VN 🔍'!$G$104/100)+1.05*(1/('📈 Cổ Phiếu VN 🔍'!$T$104+0.5)),2)),"")</f>
        <v/>
      </c>
      <c r="J105" s="863">
        <f>IFERROR(IF('📈 Cổ Phiếu VN 🔍'!$A$104="","",ROUND(-4.84+0.92*(1+0.5*'📈 Cổ Phiếu VN 🔍'!$J$104/100)+0.528*1.02+0.404*1.01+0.892*(1+'📈 Cổ Phiếu VN 🔍'!$J$104/100)+0.115*1.02,2)),"")</f>
        <v/>
      </c>
      <c r="K105" s="863">
        <f>IFERROR(IF('📈 Cổ Phiếu VN 🔍'!$A$104="","",(IF('📈 Cổ Phiếu VN 🔍'!$G$104&gt;0,1,0)+IF('📈 Cổ Phiếu VN 🔍'!$G$104&gt;5,1,0)+IF('📈 Cổ Phiếu VN 🔍'!$G$104&gt;10,1,0)+IF('📈 Cổ Phiếu VN 🔍'!$G$104&gt;15,1,0)+IF('📈 Cổ Phiếu VN 🔍'!$T$104&lt;3,1,0)+IF('📈 Cổ Phiếu VN 🔍'!$T$104&lt;5,1,0)+IF('📈 Cổ Phiếu VN 🔍'!$J$104&gt;0,1,0)+IF('📈 Cổ Phiếu VN 🔍'!$E$104&lt;20,1,0)+IF('📈 Cổ Phiếu VN 🔍'!$E$104&gt;0,1,0))),"")</f>
        <v/>
      </c>
      <c r="L105" s="863">
        <f>IFERROR(IF(I105="","",IF(OR(I105&lt;1.8,J105&gt;-1.78,K105&lt;5),"🔴 CỜ ĐỎ",IF(OR(I105&lt;2.99,J105&gt;-2.22,K105&lt;7),"🟡 Theo dõi","🟢 Sạch"))),"")</f>
        <v/>
      </c>
      <c r="M105" s="863">
        <f>IFERROR(IF(L105="🟢 Sạch","✅ ĐỦ ĐIỀU KIỆN MUA",IF(L105="🟡 Theo dõi","⚠️ Cần xác minh BCTC","❌ LOẠI KHỎI BỘ LỌC")),"")</f>
        <v/>
      </c>
      <c r="N105" s="863">
        <f>IFERROR(IF(M105="✅ ĐỦ ĐIỀU KIỆN MUA",ROUND((I105/3+K105/9-J105/5)*10,1),0),"")</f>
        <v/>
      </c>
    </row>
    <row r="106" ht="15" customHeight="1" s="981">
      <c r="A106" s="861" t="n">
        <v>101</v>
      </c>
      <c r="B106" s="862">
        <f>IFERROR(IF('📈 Cổ Phiếu VN 🔍'!$A$105="","",'📈 Cổ Phiếu VN 🔍'!$A$105),"")</f>
        <v/>
      </c>
      <c r="C106" s="862">
        <f>IFERROR('📈 Cổ Phiếu VN 🔍'!$B$105,"")</f>
        <v/>
      </c>
      <c r="D106" s="862">
        <f>IFERROR('📈 Cổ Phiếu VN 🔍'!$C$105,"")</f>
        <v/>
      </c>
      <c r="E106" s="862">
        <f>IFERROR('📈 Cổ Phiếu VN 🔍'!$E$105,0)</f>
        <v/>
      </c>
      <c r="F106" s="862">
        <f>IFERROR('📈 Cổ Phiếu VN 🔍'!$F$105,0)</f>
        <v/>
      </c>
      <c r="G106" s="862">
        <f>IFERROR('📈 Cổ Phiếu VN 🔍'!$G$105,0)</f>
        <v/>
      </c>
      <c r="H106" s="862">
        <f>IFERROR('📈 Cổ Phiếu VN 🔍'!$T$105,0)</f>
        <v/>
      </c>
      <c r="I106" s="863">
        <f>IFERROR(IF('📈 Cổ Phiếu VN 🔍'!$A$105="","",ROUND(3.25+6.56*0.15+3.26*('📈 Cổ Phiếu VN 🔍'!$G$105/100*0.5)+6.72*('📈 Cổ Phiếu VN 🔍'!$G$105/100)+1.05*(1/('📈 Cổ Phiếu VN 🔍'!$T$105+0.5)),2)),"")</f>
        <v/>
      </c>
      <c r="J106" s="863">
        <f>IFERROR(IF('📈 Cổ Phiếu VN 🔍'!$A$105="","",ROUND(-4.84+0.92*(1+0.5*'📈 Cổ Phiếu VN 🔍'!$J$105/100)+0.528*1.02+0.404*1.01+0.892*(1+'📈 Cổ Phiếu VN 🔍'!$J$105/100)+0.115*1.02,2)),"")</f>
        <v/>
      </c>
      <c r="K106" s="863">
        <f>IFERROR(IF('📈 Cổ Phiếu VN 🔍'!$A$105="","",(IF('📈 Cổ Phiếu VN 🔍'!$G$105&gt;0,1,0)+IF('📈 Cổ Phiếu VN 🔍'!$G$105&gt;5,1,0)+IF('📈 Cổ Phiếu VN 🔍'!$G$105&gt;10,1,0)+IF('📈 Cổ Phiếu VN 🔍'!$G$105&gt;15,1,0)+IF('📈 Cổ Phiếu VN 🔍'!$T$105&lt;3,1,0)+IF('📈 Cổ Phiếu VN 🔍'!$T$105&lt;5,1,0)+IF('📈 Cổ Phiếu VN 🔍'!$J$105&gt;0,1,0)+IF('📈 Cổ Phiếu VN 🔍'!$E$105&lt;20,1,0)+IF('📈 Cổ Phiếu VN 🔍'!$E$105&gt;0,1,0))),"")</f>
        <v/>
      </c>
      <c r="L106" s="863">
        <f>IFERROR(IF(I106="","",IF(OR(I106&lt;1.8,J106&gt;-1.78,K106&lt;5),"🔴 CỜ ĐỎ",IF(OR(I106&lt;2.99,J106&gt;-2.22,K106&lt;7),"🟡 Theo dõi","🟢 Sạch"))),"")</f>
        <v/>
      </c>
      <c r="M106" s="863">
        <f>IFERROR(IF(L106="🟢 Sạch","✅ ĐỦ ĐIỀU KIỆN MUA",IF(L106="🟡 Theo dõi","⚠️ Cần xác minh BCTC","❌ LOẠI KHỎI BỘ LỌC")),"")</f>
        <v/>
      </c>
      <c r="N106" s="863">
        <f>IFERROR(IF(M106="✅ ĐỦ ĐIỀU KIỆN MUA",ROUND((I106/3+K106/9-J106/5)*10,1),0),"")</f>
        <v/>
      </c>
    </row>
    <row r="107" ht="15" customHeight="1" s="981">
      <c r="A107" s="861" t="n">
        <v>102</v>
      </c>
      <c r="B107" s="862">
        <f>IFERROR(IF('📈 Cổ Phiếu VN 🔍'!$A$106="","",'📈 Cổ Phiếu VN 🔍'!$A$106),"")</f>
        <v/>
      </c>
      <c r="C107" s="862">
        <f>IFERROR('📈 Cổ Phiếu VN 🔍'!$B$106,"")</f>
        <v/>
      </c>
      <c r="D107" s="862">
        <f>IFERROR('📈 Cổ Phiếu VN 🔍'!$C$106,"")</f>
        <v/>
      </c>
      <c r="E107" s="862">
        <f>IFERROR('📈 Cổ Phiếu VN 🔍'!$E$106,0)</f>
        <v/>
      </c>
      <c r="F107" s="862">
        <f>IFERROR('📈 Cổ Phiếu VN 🔍'!$F$106,0)</f>
        <v/>
      </c>
      <c r="G107" s="862">
        <f>IFERROR('📈 Cổ Phiếu VN 🔍'!$G$106,0)</f>
        <v/>
      </c>
      <c r="H107" s="862">
        <f>IFERROR('📈 Cổ Phiếu VN 🔍'!$T$106,0)</f>
        <v/>
      </c>
      <c r="I107" s="863">
        <f>IFERROR(IF('📈 Cổ Phiếu VN 🔍'!$A$106="","",ROUND(3.25+6.56*0.15+3.26*('📈 Cổ Phiếu VN 🔍'!$G$106/100*0.5)+6.72*('📈 Cổ Phiếu VN 🔍'!$G$106/100)+1.05*(1/('📈 Cổ Phiếu VN 🔍'!$T$106+0.5)),2)),"")</f>
        <v/>
      </c>
      <c r="J107" s="863">
        <f>IFERROR(IF('📈 Cổ Phiếu VN 🔍'!$A$106="","",ROUND(-4.84+0.92*(1+0.5*'📈 Cổ Phiếu VN 🔍'!$J$106/100)+0.528*1.02+0.404*1.01+0.892*(1+'📈 Cổ Phiếu VN 🔍'!$J$106/100)+0.115*1.02,2)),"")</f>
        <v/>
      </c>
      <c r="K107" s="863">
        <f>IFERROR(IF('📈 Cổ Phiếu VN 🔍'!$A$106="","",(IF('📈 Cổ Phiếu VN 🔍'!$G$106&gt;0,1,0)+IF('📈 Cổ Phiếu VN 🔍'!$G$106&gt;5,1,0)+IF('📈 Cổ Phiếu VN 🔍'!$G$106&gt;10,1,0)+IF('📈 Cổ Phiếu VN 🔍'!$G$106&gt;15,1,0)+IF('📈 Cổ Phiếu VN 🔍'!$T$106&lt;3,1,0)+IF('📈 Cổ Phiếu VN 🔍'!$T$106&lt;5,1,0)+IF('📈 Cổ Phiếu VN 🔍'!$J$106&gt;0,1,0)+IF('📈 Cổ Phiếu VN 🔍'!$E$106&lt;20,1,0)+IF('📈 Cổ Phiếu VN 🔍'!$E$106&gt;0,1,0))),"")</f>
        <v/>
      </c>
      <c r="L107" s="863">
        <f>IFERROR(IF(I107="","",IF(OR(I107&lt;1.8,J107&gt;-1.78,K107&lt;5),"🔴 CỜ ĐỎ",IF(OR(I107&lt;2.99,J107&gt;-2.22,K107&lt;7),"🟡 Theo dõi","🟢 Sạch"))),"")</f>
        <v/>
      </c>
      <c r="M107" s="863">
        <f>IFERROR(IF(L107="🟢 Sạch","✅ ĐỦ ĐIỀU KIỆN MUA",IF(L107="🟡 Theo dõi","⚠️ Cần xác minh BCTC","❌ LOẠI KHỎI BỘ LỌC")),"")</f>
        <v/>
      </c>
      <c r="N107" s="863">
        <f>IFERROR(IF(M107="✅ ĐỦ ĐIỀU KIỆN MUA",ROUND((I107/3+K107/9-J107/5)*10,1),0),"")</f>
        <v/>
      </c>
    </row>
    <row r="108" ht="15" customHeight="1" s="981">
      <c r="A108" s="861" t="n">
        <v>103</v>
      </c>
      <c r="B108" s="862">
        <f>IFERROR(IF('📈 Cổ Phiếu VN 🔍'!$A$107="","",'📈 Cổ Phiếu VN 🔍'!$A$107),"")</f>
        <v/>
      </c>
      <c r="C108" s="862">
        <f>IFERROR('📈 Cổ Phiếu VN 🔍'!$B$107,"")</f>
        <v/>
      </c>
      <c r="D108" s="862">
        <f>IFERROR('📈 Cổ Phiếu VN 🔍'!$C$107,"")</f>
        <v/>
      </c>
      <c r="E108" s="862">
        <f>IFERROR('📈 Cổ Phiếu VN 🔍'!$E$107,0)</f>
        <v/>
      </c>
      <c r="F108" s="862">
        <f>IFERROR('📈 Cổ Phiếu VN 🔍'!$F$107,0)</f>
        <v/>
      </c>
      <c r="G108" s="862">
        <f>IFERROR('📈 Cổ Phiếu VN 🔍'!$G$107,0)</f>
        <v/>
      </c>
      <c r="H108" s="862">
        <f>IFERROR('📈 Cổ Phiếu VN 🔍'!$T$107,0)</f>
        <v/>
      </c>
      <c r="I108" s="863">
        <f>IFERROR(IF('📈 Cổ Phiếu VN 🔍'!$A$107="","",ROUND(3.25+6.56*0.15+3.26*('📈 Cổ Phiếu VN 🔍'!$G$107/100*0.5)+6.72*('📈 Cổ Phiếu VN 🔍'!$G$107/100)+1.05*(1/('📈 Cổ Phiếu VN 🔍'!$T$107+0.5)),2)),"")</f>
        <v/>
      </c>
      <c r="J108" s="863">
        <f>IFERROR(IF('📈 Cổ Phiếu VN 🔍'!$A$107="","",ROUND(-4.84+0.92*(1+0.5*'📈 Cổ Phiếu VN 🔍'!$J$107/100)+0.528*1.02+0.404*1.01+0.892*(1+'📈 Cổ Phiếu VN 🔍'!$J$107/100)+0.115*1.02,2)),"")</f>
        <v/>
      </c>
      <c r="K108" s="863">
        <f>IFERROR(IF('📈 Cổ Phiếu VN 🔍'!$A$107="","",(IF('📈 Cổ Phiếu VN 🔍'!$G$107&gt;0,1,0)+IF('📈 Cổ Phiếu VN 🔍'!$G$107&gt;5,1,0)+IF('📈 Cổ Phiếu VN 🔍'!$G$107&gt;10,1,0)+IF('📈 Cổ Phiếu VN 🔍'!$G$107&gt;15,1,0)+IF('📈 Cổ Phiếu VN 🔍'!$T$107&lt;3,1,0)+IF('📈 Cổ Phiếu VN 🔍'!$T$107&lt;5,1,0)+IF('📈 Cổ Phiếu VN 🔍'!$J$107&gt;0,1,0)+IF('📈 Cổ Phiếu VN 🔍'!$E$107&lt;20,1,0)+IF('📈 Cổ Phiếu VN 🔍'!$E$107&gt;0,1,0))),"")</f>
        <v/>
      </c>
      <c r="L108" s="863">
        <f>IFERROR(IF(I108="","",IF(OR(I108&lt;1.8,J108&gt;-1.78,K108&lt;5),"🔴 CỜ ĐỎ",IF(OR(I108&lt;2.99,J108&gt;-2.22,K108&lt;7),"🟡 Theo dõi","🟢 Sạch"))),"")</f>
        <v/>
      </c>
      <c r="M108" s="863">
        <f>IFERROR(IF(L108="🟢 Sạch","✅ ĐỦ ĐIỀU KIỆN MUA",IF(L108="🟡 Theo dõi","⚠️ Cần xác minh BCTC","❌ LOẠI KHỎI BỘ LỌC")),"")</f>
        <v/>
      </c>
      <c r="N108" s="863">
        <f>IFERROR(IF(M108="✅ ĐỦ ĐIỀU KIỆN MUA",ROUND((I108/3+K108/9-J108/5)*10,1),0),"")</f>
        <v/>
      </c>
    </row>
    <row r="109" ht="15" customHeight="1" s="981">
      <c r="A109" s="861" t="n">
        <v>104</v>
      </c>
      <c r="B109" s="862">
        <f>IFERROR(IF('📈 Cổ Phiếu VN 🔍'!$A$108="","",'📈 Cổ Phiếu VN 🔍'!$A$108),"")</f>
        <v/>
      </c>
      <c r="C109" s="862">
        <f>IFERROR('📈 Cổ Phiếu VN 🔍'!$B$108,"")</f>
        <v/>
      </c>
      <c r="D109" s="862">
        <f>IFERROR('📈 Cổ Phiếu VN 🔍'!$C$108,"")</f>
        <v/>
      </c>
      <c r="E109" s="862">
        <f>IFERROR('📈 Cổ Phiếu VN 🔍'!$E$108,0)</f>
        <v/>
      </c>
      <c r="F109" s="862">
        <f>IFERROR('📈 Cổ Phiếu VN 🔍'!$F$108,0)</f>
        <v/>
      </c>
      <c r="G109" s="862">
        <f>IFERROR('📈 Cổ Phiếu VN 🔍'!$G$108,0)</f>
        <v/>
      </c>
      <c r="H109" s="862">
        <f>IFERROR('📈 Cổ Phiếu VN 🔍'!$T$108,0)</f>
        <v/>
      </c>
      <c r="I109" s="863">
        <f>IFERROR(IF('📈 Cổ Phiếu VN 🔍'!$A$108="","",ROUND(3.25+6.56*0.15+3.26*('📈 Cổ Phiếu VN 🔍'!$G$108/100*0.5)+6.72*('📈 Cổ Phiếu VN 🔍'!$G$108/100)+1.05*(1/('📈 Cổ Phiếu VN 🔍'!$T$108+0.5)),2)),"")</f>
        <v/>
      </c>
      <c r="J109" s="863">
        <f>IFERROR(IF('📈 Cổ Phiếu VN 🔍'!$A$108="","",ROUND(-4.84+0.92*(1+0.5*'📈 Cổ Phiếu VN 🔍'!$J$108/100)+0.528*1.02+0.404*1.01+0.892*(1+'📈 Cổ Phiếu VN 🔍'!$J$108/100)+0.115*1.02,2)),"")</f>
        <v/>
      </c>
      <c r="K109" s="863">
        <f>IFERROR(IF('📈 Cổ Phiếu VN 🔍'!$A$108="","",(IF('📈 Cổ Phiếu VN 🔍'!$G$108&gt;0,1,0)+IF('📈 Cổ Phiếu VN 🔍'!$G$108&gt;5,1,0)+IF('📈 Cổ Phiếu VN 🔍'!$G$108&gt;10,1,0)+IF('📈 Cổ Phiếu VN 🔍'!$G$108&gt;15,1,0)+IF('📈 Cổ Phiếu VN 🔍'!$T$108&lt;3,1,0)+IF('📈 Cổ Phiếu VN 🔍'!$T$108&lt;5,1,0)+IF('📈 Cổ Phiếu VN 🔍'!$J$108&gt;0,1,0)+IF('📈 Cổ Phiếu VN 🔍'!$E$108&lt;20,1,0)+IF('📈 Cổ Phiếu VN 🔍'!$E$108&gt;0,1,0))),"")</f>
        <v/>
      </c>
      <c r="L109" s="863">
        <f>IFERROR(IF(I109="","",IF(OR(I109&lt;1.8,J109&gt;-1.78,K109&lt;5),"🔴 CỜ ĐỎ",IF(OR(I109&lt;2.99,J109&gt;-2.22,K109&lt;7),"🟡 Theo dõi","🟢 Sạch"))),"")</f>
        <v/>
      </c>
      <c r="M109" s="863">
        <f>IFERROR(IF(L109="🟢 Sạch","✅ ĐỦ ĐIỀU KIỆN MUA",IF(L109="🟡 Theo dõi","⚠️ Cần xác minh BCTC","❌ LOẠI KHỎI BỘ LỌC")),"")</f>
        <v/>
      </c>
      <c r="N109" s="863">
        <f>IFERROR(IF(M109="✅ ĐỦ ĐIỀU KIỆN MUA",ROUND((I109/3+K109/9-J109/5)*10,1),0),"")</f>
        <v/>
      </c>
    </row>
    <row r="110" ht="15" customHeight="1" s="981">
      <c r="A110" s="861" t="n">
        <v>105</v>
      </c>
      <c r="B110" s="862">
        <f>IFERROR(IF('📈 Cổ Phiếu VN 🔍'!$A$109="","",'📈 Cổ Phiếu VN 🔍'!$A$109),"")</f>
        <v/>
      </c>
      <c r="C110" s="862">
        <f>IFERROR('📈 Cổ Phiếu VN 🔍'!$B$109,"")</f>
        <v/>
      </c>
      <c r="D110" s="862">
        <f>IFERROR('📈 Cổ Phiếu VN 🔍'!$C$109,"")</f>
        <v/>
      </c>
      <c r="E110" s="862">
        <f>IFERROR('📈 Cổ Phiếu VN 🔍'!$E$109,0)</f>
        <v/>
      </c>
      <c r="F110" s="862">
        <f>IFERROR('📈 Cổ Phiếu VN 🔍'!$F$109,0)</f>
        <v/>
      </c>
      <c r="G110" s="862">
        <f>IFERROR('📈 Cổ Phiếu VN 🔍'!$G$109,0)</f>
        <v/>
      </c>
      <c r="H110" s="862">
        <f>IFERROR('📈 Cổ Phiếu VN 🔍'!$T$109,0)</f>
        <v/>
      </c>
      <c r="I110" s="863">
        <f>IFERROR(IF('📈 Cổ Phiếu VN 🔍'!$A$109="","",ROUND(3.25+6.56*0.15+3.26*('📈 Cổ Phiếu VN 🔍'!$G$109/100*0.5)+6.72*('📈 Cổ Phiếu VN 🔍'!$G$109/100)+1.05*(1/('📈 Cổ Phiếu VN 🔍'!$T$109+0.5)),2)),"")</f>
        <v/>
      </c>
      <c r="J110" s="863">
        <f>IFERROR(IF('📈 Cổ Phiếu VN 🔍'!$A$109="","",ROUND(-4.84+0.92*(1+0.5*'📈 Cổ Phiếu VN 🔍'!$J$109/100)+0.528*1.02+0.404*1.01+0.892*(1+'📈 Cổ Phiếu VN 🔍'!$J$109/100)+0.115*1.02,2)),"")</f>
        <v/>
      </c>
      <c r="K110" s="863">
        <f>IFERROR(IF('📈 Cổ Phiếu VN 🔍'!$A$109="","",(IF('📈 Cổ Phiếu VN 🔍'!$G$109&gt;0,1,0)+IF('📈 Cổ Phiếu VN 🔍'!$G$109&gt;5,1,0)+IF('📈 Cổ Phiếu VN 🔍'!$G$109&gt;10,1,0)+IF('📈 Cổ Phiếu VN 🔍'!$G$109&gt;15,1,0)+IF('📈 Cổ Phiếu VN 🔍'!$T$109&lt;3,1,0)+IF('📈 Cổ Phiếu VN 🔍'!$T$109&lt;5,1,0)+IF('📈 Cổ Phiếu VN 🔍'!$J$109&gt;0,1,0)+IF('📈 Cổ Phiếu VN 🔍'!$E$109&lt;20,1,0)+IF('📈 Cổ Phiếu VN 🔍'!$E$109&gt;0,1,0))),"")</f>
        <v/>
      </c>
      <c r="L110" s="863">
        <f>IFERROR(IF(I110="","",IF(OR(I110&lt;1.8,J110&gt;-1.78,K110&lt;5),"🔴 CỜ ĐỎ",IF(OR(I110&lt;2.99,J110&gt;-2.22,K110&lt;7),"🟡 Theo dõi","🟢 Sạch"))),"")</f>
        <v/>
      </c>
      <c r="M110" s="863">
        <f>IFERROR(IF(L110="🟢 Sạch","✅ ĐỦ ĐIỀU KIỆN MUA",IF(L110="🟡 Theo dõi","⚠️ Cần xác minh BCTC","❌ LOẠI KHỎI BỘ LỌC")),"")</f>
        <v/>
      </c>
      <c r="N110" s="863">
        <f>IFERROR(IF(M110="✅ ĐỦ ĐIỀU KIỆN MUA",ROUND((I110/3+K110/9-J110/5)*10,1),0),"")</f>
        <v/>
      </c>
    </row>
    <row r="111" ht="15" customHeight="1" s="981">
      <c r="A111" s="861" t="n">
        <v>106</v>
      </c>
      <c r="B111" s="862">
        <f>IFERROR(IF('📈 Cổ Phiếu VN 🔍'!$A$110="","",'📈 Cổ Phiếu VN 🔍'!$A$110),"")</f>
        <v/>
      </c>
      <c r="C111" s="862">
        <f>IFERROR('📈 Cổ Phiếu VN 🔍'!$B$110,"")</f>
        <v/>
      </c>
      <c r="D111" s="862">
        <f>IFERROR('📈 Cổ Phiếu VN 🔍'!$C$110,"")</f>
        <v/>
      </c>
      <c r="E111" s="862">
        <f>IFERROR('📈 Cổ Phiếu VN 🔍'!$E$110,0)</f>
        <v/>
      </c>
      <c r="F111" s="862">
        <f>IFERROR('📈 Cổ Phiếu VN 🔍'!$F$110,0)</f>
        <v/>
      </c>
      <c r="G111" s="862">
        <f>IFERROR('📈 Cổ Phiếu VN 🔍'!$G$110,0)</f>
        <v/>
      </c>
      <c r="H111" s="862">
        <f>IFERROR('📈 Cổ Phiếu VN 🔍'!$T$110,0)</f>
        <v/>
      </c>
      <c r="I111" s="863">
        <f>IFERROR(IF('📈 Cổ Phiếu VN 🔍'!$A$110="","",ROUND(3.25+6.56*0.15+3.26*('📈 Cổ Phiếu VN 🔍'!$G$110/100*0.5)+6.72*('📈 Cổ Phiếu VN 🔍'!$G$110/100)+1.05*(1/('📈 Cổ Phiếu VN 🔍'!$T$110+0.5)),2)),"")</f>
        <v/>
      </c>
      <c r="J111" s="863">
        <f>IFERROR(IF('📈 Cổ Phiếu VN 🔍'!$A$110="","",ROUND(-4.84+0.92*(1+0.5*'📈 Cổ Phiếu VN 🔍'!$J$110/100)+0.528*1.02+0.404*1.01+0.892*(1+'📈 Cổ Phiếu VN 🔍'!$J$110/100)+0.115*1.02,2)),"")</f>
        <v/>
      </c>
      <c r="K111" s="863">
        <f>IFERROR(IF('📈 Cổ Phiếu VN 🔍'!$A$110="","",(IF('📈 Cổ Phiếu VN 🔍'!$G$110&gt;0,1,0)+IF('📈 Cổ Phiếu VN 🔍'!$G$110&gt;5,1,0)+IF('📈 Cổ Phiếu VN 🔍'!$G$110&gt;10,1,0)+IF('📈 Cổ Phiếu VN 🔍'!$G$110&gt;15,1,0)+IF('📈 Cổ Phiếu VN 🔍'!$T$110&lt;3,1,0)+IF('📈 Cổ Phiếu VN 🔍'!$T$110&lt;5,1,0)+IF('📈 Cổ Phiếu VN 🔍'!$J$110&gt;0,1,0)+IF('📈 Cổ Phiếu VN 🔍'!$E$110&lt;20,1,0)+IF('📈 Cổ Phiếu VN 🔍'!$E$110&gt;0,1,0))),"")</f>
        <v/>
      </c>
      <c r="L111" s="863">
        <f>IFERROR(IF(I111="","",IF(OR(I111&lt;1.8,J111&gt;-1.78,K111&lt;5),"🔴 CỜ ĐỎ",IF(OR(I111&lt;2.99,J111&gt;-2.22,K111&lt;7),"🟡 Theo dõi","🟢 Sạch"))),"")</f>
        <v/>
      </c>
      <c r="M111" s="863">
        <f>IFERROR(IF(L111="🟢 Sạch","✅ ĐỦ ĐIỀU KIỆN MUA",IF(L111="🟡 Theo dõi","⚠️ Cần xác minh BCTC","❌ LOẠI KHỎI BỘ LỌC")),"")</f>
        <v/>
      </c>
      <c r="N111" s="863">
        <f>IFERROR(IF(M111="✅ ĐỦ ĐIỀU KIỆN MUA",ROUND((I111/3+K111/9-J111/5)*10,1),0),"")</f>
        <v/>
      </c>
    </row>
    <row r="112" ht="15" customHeight="1" s="981">
      <c r="A112" s="861" t="n">
        <v>107</v>
      </c>
      <c r="B112" s="862">
        <f>IFERROR(IF('📈 Cổ Phiếu VN 🔍'!$A$111="","",'📈 Cổ Phiếu VN 🔍'!$A$111),"")</f>
        <v/>
      </c>
      <c r="C112" s="862">
        <f>IFERROR('📈 Cổ Phiếu VN 🔍'!$B$111,"")</f>
        <v/>
      </c>
      <c r="D112" s="862">
        <f>IFERROR('📈 Cổ Phiếu VN 🔍'!$C$111,"")</f>
        <v/>
      </c>
      <c r="E112" s="862">
        <f>IFERROR('📈 Cổ Phiếu VN 🔍'!$E$111,0)</f>
        <v/>
      </c>
      <c r="F112" s="862">
        <f>IFERROR('📈 Cổ Phiếu VN 🔍'!$F$111,0)</f>
        <v/>
      </c>
      <c r="G112" s="862">
        <f>IFERROR('📈 Cổ Phiếu VN 🔍'!$G$111,0)</f>
        <v/>
      </c>
      <c r="H112" s="862">
        <f>IFERROR('📈 Cổ Phiếu VN 🔍'!$T$111,0)</f>
        <v/>
      </c>
      <c r="I112" s="863">
        <f>IFERROR(IF('📈 Cổ Phiếu VN 🔍'!$A$111="","",ROUND(3.25+6.56*0.15+3.26*('📈 Cổ Phiếu VN 🔍'!$G$111/100*0.5)+6.72*('📈 Cổ Phiếu VN 🔍'!$G$111/100)+1.05*(1/('📈 Cổ Phiếu VN 🔍'!$T$111+0.5)),2)),"")</f>
        <v/>
      </c>
      <c r="J112" s="863">
        <f>IFERROR(IF('📈 Cổ Phiếu VN 🔍'!$A$111="","",ROUND(-4.84+0.92*(1+0.5*'📈 Cổ Phiếu VN 🔍'!$J$111/100)+0.528*1.02+0.404*1.01+0.892*(1+'📈 Cổ Phiếu VN 🔍'!$J$111/100)+0.115*1.02,2)),"")</f>
        <v/>
      </c>
      <c r="K112" s="863">
        <f>IFERROR(IF('📈 Cổ Phiếu VN 🔍'!$A$111="","",(IF('📈 Cổ Phiếu VN 🔍'!$G$111&gt;0,1,0)+IF('📈 Cổ Phiếu VN 🔍'!$G$111&gt;5,1,0)+IF('📈 Cổ Phiếu VN 🔍'!$G$111&gt;10,1,0)+IF('📈 Cổ Phiếu VN 🔍'!$G$111&gt;15,1,0)+IF('📈 Cổ Phiếu VN 🔍'!$T$111&lt;3,1,0)+IF('📈 Cổ Phiếu VN 🔍'!$T$111&lt;5,1,0)+IF('📈 Cổ Phiếu VN 🔍'!$J$111&gt;0,1,0)+IF('📈 Cổ Phiếu VN 🔍'!$E$111&lt;20,1,0)+IF('📈 Cổ Phiếu VN 🔍'!$E$111&gt;0,1,0))),"")</f>
        <v/>
      </c>
      <c r="L112" s="863">
        <f>IFERROR(IF(I112="","",IF(OR(I112&lt;1.8,J112&gt;-1.78,K112&lt;5),"🔴 CỜ ĐỎ",IF(OR(I112&lt;2.99,J112&gt;-2.22,K112&lt;7),"🟡 Theo dõi","🟢 Sạch"))),"")</f>
        <v/>
      </c>
      <c r="M112" s="863">
        <f>IFERROR(IF(L112="🟢 Sạch","✅ ĐỦ ĐIỀU KIỆN MUA",IF(L112="🟡 Theo dõi","⚠️ Cần xác minh BCTC","❌ LOẠI KHỎI BỘ LỌC")),"")</f>
        <v/>
      </c>
      <c r="N112" s="863">
        <f>IFERROR(IF(M112="✅ ĐỦ ĐIỀU KIỆN MUA",ROUND((I112/3+K112/9-J112/5)*10,1),0),"")</f>
        <v/>
      </c>
    </row>
    <row r="113" ht="15" customHeight="1" s="981">
      <c r="A113" s="861" t="n">
        <v>108</v>
      </c>
      <c r="B113" s="862">
        <f>IFERROR(IF('📈 Cổ Phiếu VN 🔍'!$A$112="","",'📈 Cổ Phiếu VN 🔍'!$A$112),"")</f>
        <v/>
      </c>
      <c r="C113" s="862">
        <f>IFERROR('📈 Cổ Phiếu VN 🔍'!$B$112,"")</f>
        <v/>
      </c>
      <c r="D113" s="862">
        <f>IFERROR('📈 Cổ Phiếu VN 🔍'!$C$112,"")</f>
        <v/>
      </c>
      <c r="E113" s="862">
        <f>IFERROR('📈 Cổ Phiếu VN 🔍'!$E$112,0)</f>
        <v/>
      </c>
      <c r="F113" s="862">
        <f>IFERROR('📈 Cổ Phiếu VN 🔍'!$F$112,0)</f>
        <v/>
      </c>
      <c r="G113" s="862">
        <f>IFERROR('📈 Cổ Phiếu VN 🔍'!$G$112,0)</f>
        <v/>
      </c>
      <c r="H113" s="862">
        <f>IFERROR('📈 Cổ Phiếu VN 🔍'!$T$112,0)</f>
        <v/>
      </c>
      <c r="I113" s="863">
        <f>IFERROR(IF('📈 Cổ Phiếu VN 🔍'!$A$112="","",ROUND(3.25+6.56*0.15+3.26*('📈 Cổ Phiếu VN 🔍'!$G$112/100*0.5)+6.72*('📈 Cổ Phiếu VN 🔍'!$G$112/100)+1.05*(1/('📈 Cổ Phiếu VN 🔍'!$T$112+0.5)),2)),"")</f>
        <v/>
      </c>
      <c r="J113" s="863">
        <f>IFERROR(IF('📈 Cổ Phiếu VN 🔍'!$A$112="","",ROUND(-4.84+0.92*(1+0.5*'📈 Cổ Phiếu VN 🔍'!$J$112/100)+0.528*1.02+0.404*1.01+0.892*(1+'📈 Cổ Phiếu VN 🔍'!$J$112/100)+0.115*1.02,2)),"")</f>
        <v/>
      </c>
      <c r="K113" s="863">
        <f>IFERROR(IF('📈 Cổ Phiếu VN 🔍'!$A$112="","",(IF('📈 Cổ Phiếu VN 🔍'!$G$112&gt;0,1,0)+IF('📈 Cổ Phiếu VN 🔍'!$G$112&gt;5,1,0)+IF('📈 Cổ Phiếu VN 🔍'!$G$112&gt;10,1,0)+IF('📈 Cổ Phiếu VN 🔍'!$G$112&gt;15,1,0)+IF('📈 Cổ Phiếu VN 🔍'!$T$112&lt;3,1,0)+IF('📈 Cổ Phiếu VN 🔍'!$T$112&lt;5,1,0)+IF('📈 Cổ Phiếu VN 🔍'!$J$112&gt;0,1,0)+IF('📈 Cổ Phiếu VN 🔍'!$E$112&lt;20,1,0)+IF('📈 Cổ Phiếu VN 🔍'!$E$112&gt;0,1,0))),"")</f>
        <v/>
      </c>
      <c r="L113" s="863">
        <f>IFERROR(IF(I113="","",IF(OR(I113&lt;1.8,J113&gt;-1.78,K113&lt;5),"🔴 CỜ ĐỎ",IF(OR(I113&lt;2.99,J113&gt;-2.22,K113&lt;7),"🟡 Theo dõi","🟢 Sạch"))),"")</f>
        <v/>
      </c>
      <c r="M113" s="863">
        <f>IFERROR(IF(L113="🟢 Sạch","✅ ĐỦ ĐIỀU KIỆN MUA",IF(L113="🟡 Theo dõi","⚠️ Cần xác minh BCTC","❌ LOẠI KHỎI BỘ LỌC")),"")</f>
        <v/>
      </c>
      <c r="N113" s="863">
        <f>IFERROR(IF(M113="✅ ĐỦ ĐIỀU KIỆN MUA",ROUND((I113/3+K113/9-J113/5)*10,1),0),"")</f>
        <v/>
      </c>
    </row>
    <row r="114" ht="15" customHeight="1" s="981">
      <c r="A114" s="861" t="n">
        <v>109</v>
      </c>
      <c r="B114" s="862">
        <f>IFERROR(IF('📈 Cổ Phiếu VN 🔍'!$A$113="","",'📈 Cổ Phiếu VN 🔍'!$A$113),"")</f>
        <v/>
      </c>
      <c r="C114" s="862">
        <f>IFERROR('📈 Cổ Phiếu VN 🔍'!$B$113,"")</f>
        <v/>
      </c>
      <c r="D114" s="862">
        <f>IFERROR('📈 Cổ Phiếu VN 🔍'!$C$113,"")</f>
        <v/>
      </c>
      <c r="E114" s="862">
        <f>IFERROR('📈 Cổ Phiếu VN 🔍'!$E$113,0)</f>
        <v/>
      </c>
      <c r="F114" s="862">
        <f>IFERROR('📈 Cổ Phiếu VN 🔍'!$F$113,0)</f>
        <v/>
      </c>
      <c r="G114" s="862">
        <f>IFERROR('📈 Cổ Phiếu VN 🔍'!$G$113,0)</f>
        <v/>
      </c>
      <c r="H114" s="862">
        <f>IFERROR('📈 Cổ Phiếu VN 🔍'!$T$113,0)</f>
        <v/>
      </c>
      <c r="I114" s="863">
        <f>IFERROR(IF('📈 Cổ Phiếu VN 🔍'!$A$113="","",ROUND(3.25+6.56*0.15+3.26*('📈 Cổ Phiếu VN 🔍'!$G$113/100*0.5)+6.72*('📈 Cổ Phiếu VN 🔍'!$G$113/100)+1.05*(1/('📈 Cổ Phiếu VN 🔍'!$T$113+0.5)),2)),"")</f>
        <v/>
      </c>
      <c r="J114" s="863">
        <f>IFERROR(IF('📈 Cổ Phiếu VN 🔍'!$A$113="","",ROUND(-4.84+0.92*(1+0.5*'📈 Cổ Phiếu VN 🔍'!$J$113/100)+0.528*1.02+0.404*1.01+0.892*(1+'📈 Cổ Phiếu VN 🔍'!$J$113/100)+0.115*1.02,2)),"")</f>
        <v/>
      </c>
      <c r="K114" s="863">
        <f>IFERROR(IF('📈 Cổ Phiếu VN 🔍'!$A$113="","",(IF('📈 Cổ Phiếu VN 🔍'!$G$113&gt;0,1,0)+IF('📈 Cổ Phiếu VN 🔍'!$G$113&gt;5,1,0)+IF('📈 Cổ Phiếu VN 🔍'!$G$113&gt;10,1,0)+IF('📈 Cổ Phiếu VN 🔍'!$G$113&gt;15,1,0)+IF('📈 Cổ Phiếu VN 🔍'!$T$113&lt;3,1,0)+IF('📈 Cổ Phiếu VN 🔍'!$T$113&lt;5,1,0)+IF('📈 Cổ Phiếu VN 🔍'!$J$113&gt;0,1,0)+IF('📈 Cổ Phiếu VN 🔍'!$E$113&lt;20,1,0)+IF('📈 Cổ Phiếu VN 🔍'!$E$113&gt;0,1,0))),"")</f>
        <v/>
      </c>
      <c r="L114" s="863">
        <f>IFERROR(IF(I114="","",IF(OR(I114&lt;1.8,J114&gt;-1.78,K114&lt;5),"🔴 CỜ ĐỎ",IF(OR(I114&lt;2.99,J114&gt;-2.22,K114&lt;7),"🟡 Theo dõi","🟢 Sạch"))),"")</f>
        <v/>
      </c>
      <c r="M114" s="863">
        <f>IFERROR(IF(L114="🟢 Sạch","✅ ĐỦ ĐIỀU KIỆN MUA",IF(L114="🟡 Theo dõi","⚠️ Cần xác minh BCTC","❌ LOẠI KHỎI BỘ LỌC")),"")</f>
        <v/>
      </c>
      <c r="N114" s="863">
        <f>IFERROR(IF(M114="✅ ĐỦ ĐIỀU KIỆN MUA",ROUND((I114/3+K114/9-J114/5)*10,1),0),"")</f>
        <v/>
      </c>
    </row>
    <row r="115" ht="15" customHeight="1" s="981">
      <c r="A115" s="861" t="n">
        <v>110</v>
      </c>
      <c r="B115" s="862">
        <f>IFERROR(IF('📈 Cổ Phiếu VN 🔍'!$A$114="","",'📈 Cổ Phiếu VN 🔍'!$A$114),"")</f>
        <v/>
      </c>
      <c r="C115" s="862">
        <f>IFERROR('📈 Cổ Phiếu VN 🔍'!$B$114,"")</f>
        <v/>
      </c>
      <c r="D115" s="862">
        <f>IFERROR('📈 Cổ Phiếu VN 🔍'!$C$114,"")</f>
        <v/>
      </c>
      <c r="E115" s="862">
        <f>IFERROR('📈 Cổ Phiếu VN 🔍'!$E$114,0)</f>
        <v/>
      </c>
      <c r="F115" s="862">
        <f>IFERROR('📈 Cổ Phiếu VN 🔍'!$F$114,0)</f>
        <v/>
      </c>
      <c r="G115" s="862">
        <f>IFERROR('📈 Cổ Phiếu VN 🔍'!$G$114,0)</f>
        <v/>
      </c>
      <c r="H115" s="862">
        <f>IFERROR('📈 Cổ Phiếu VN 🔍'!$T$114,0)</f>
        <v/>
      </c>
      <c r="I115" s="863">
        <f>IFERROR(IF('📈 Cổ Phiếu VN 🔍'!$A$114="","",ROUND(3.25+6.56*0.15+3.26*('📈 Cổ Phiếu VN 🔍'!$G$114/100*0.5)+6.72*('📈 Cổ Phiếu VN 🔍'!$G$114/100)+1.05*(1/('📈 Cổ Phiếu VN 🔍'!$T$114+0.5)),2)),"")</f>
        <v/>
      </c>
      <c r="J115" s="863">
        <f>IFERROR(IF('📈 Cổ Phiếu VN 🔍'!$A$114="","",ROUND(-4.84+0.92*(1+0.5*'📈 Cổ Phiếu VN 🔍'!$J$114/100)+0.528*1.02+0.404*1.01+0.892*(1+'📈 Cổ Phiếu VN 🔍'!$J$114/100)+0.115*1.02,2)),"")</f>
        <v/>
      </c>
      <c r="K115" s="863">
        <f>IFERROR(IF('📈 Cổ Phiếu VN 🔍'!$A$114="","",(IF('📈 Cổ Phiếu VN 🔍'!$G$114&gt;0,1,0)+IF('📈 Cổ Phiếu VN 🔍'!$G$114&gt;5,1,0)+IF('📈 Cổ Phiếu VN 🔍'!$G$114&gt;10,1,0)+IF('📈 Cổ Phiếu VN 🔍'!$G$114&gt;15,1,0)+IF('📈 Cổ Phiếu VN 🔍'!$T$114&lt;3,1,0)+IF('📈 Cổ Phiếu VN 🔍'!$T$114&lt;5,1,0)+IF('📈 Cổ Phiếu VN 🔍'!$J$114&gt;0,1,0)+IF('📈 Cổ Phiếu VN 🔍'!$E$114&lt;20,1,0)+IF('📈 Cổ Phiếu VN 🔍'!$E$114&gt;0,1,0))),"")</f>
        <v/>
      </c>
      <c r="L115" s="863">
        <f>IFERROR(IF(I115="","",IF(OR(I115&lt;1.8,J115&gt;-1.78,K115&lt;5),"🔴 CỜ ĐỎ",IF(OR(I115&lt;2.99,J115&gt;-2.22,K115&lt;7),"🟡 Theo dõi","🟢 Sạch"))),"")</f>
        <v/>
      </c>
      <c r="M115" s="863">
        <f>IFERROR(IF(L115="🟢 Sạch","✅ ĐỦ ĐIỀU KIỆN MUA",IF(L115="🟡 Theo dõi","⚠️ Cần xác minh BCTC","❌ LOẠI KHỎI BỘ LỌC")),"")</f>
        <v/>
      </c>
      <c r="N115" s="863">
        <f>IFERROR(IF(M115="✅ ĐỦ ĐIỀU KIỆN MUA",ROUND((I115/3+K115/9-J115/5)*10,1),0),"")</f>
        <v/>
      </c>
    </row>
    <row r="116" ht="15" customHeight="1" s="981">
      <c r="A116" s="861" t="n">
        <v>111</v>
      </c>
      <c r="B116" s="862">
        <f>IFERROR(IF('📈 Cổ Phiếu VN 🔍'!$A$115="","",'📈 Cổ Phiếu VN 🔍'!$A$115),"")</f>
        <v/>
      </c>
      <c r="C116" s="862">
        <f>IFERROR('📈 Cổ Phiếu VN 🔍'!$B$115,"")</f>
        <v/>
      </c>
      <c r="D116" s="862">
        <f>IFERROR('📈 Cổ Phiếu VN 🔍'!$C$115,"")</f>
        <v/>
      </c>
      <c r="E116" s="862">
        <f>IFERROR('📈 Cổ Phiếu VN 🔍'!$E$115,0)</f>
        <v/>
      </c>
      <c r="F116" s="862">
        <f>IFERROR('📈 Cổ Phiếu VN 🔍'!$F$115,0)</f>
        <v/>
      </c>
      <c r="G116" s="862">
        <f>IFERROR('📈 Cổ Phiếu VN 🔍'!$G$115,0)</f>
        <v/>
      </c>
      <c r="H116" s="862">
        <f>IFERROR('📈 Cổ Phiếu VN 🔍'!$T$115,0)</f>
        <v/>
      </c>
      <c r="I116" s="863">
        <f>IFERROR(IF('📈 Cổ Phiếu VN 🔍'!$A$115="","",ROUND(3.25+6.56*0.15+3.26*('📈 Cổ Phiếu VN 🔍'!$G$115/100*0.5)+6.72*('📈 Cổ Phiếu VN 🔍'!$G$115/100)+1.05*(1/('📈 Cổ Phiếu VN 🔍'!$T$115+0.5)),2)),"")</f>
        <v/>
      </c>
      <c r="J116" s="863">
        <f>IFERROR(IF('📈 Cổ Phiếu VN 🔍'!$A$115="","",ROUND(-4.84+0.92*(1+0.5*'📈 Cổ Phiếu VN 🔍'!$J$115/100)+0.528*1.02+0.404*1.01+0.892*(1+'📈 Cổ Phiếu VN 🔍'!$J$115/100)+0.115*1.02,2)),"")</f>
        <v/>
      </c>
      <c r="K116" s="863">
        <f>IFERROR(IF('📈 Cổ Phiếu VN 🔍'!$A$115="","",(IF('📈 Cổ Phiếu VN 🔍'!$G$115&gt;0,1,0)+IF('📈 Cổ Phiếu VN 🔍'!$G$115&gt;5,1,0)+IF('📈 Cổ Phiếu VN 🔍'!$G$115&gt;10,1,0)+IF('📈 Cổ Phiếu VN 🔍'!$G$115&gt;15,1,0)+IF('📈 Cổ Phiếu VN 🔍'!$T$115&lt;3,1,0)+IF('📈 Cổ Phiếu VN 🔍'!$T$115&lt;5,1,0)+IF('📈 Cổ Phiếu VN 🔍'!$J$115&gt;0,1,0)+IF('📈 Cổ Phiếu VN 🔍'!$E$115&lt;20,1,0)+IF('📈 Cổ Phiếu VN 🔍'!$E$115&gt;0,1,0))),"")</f>
        <v/>
      </c>
      <c r="L116" s="863">
        <f>IFERROR(IF(I116="","",IF(OR(I116&lt;1.8,J116&gt;-1.78,K116&lt;5),"🔴 CỜ ĐỎ",IF(OR(I116&lt;2.99,J116&gt;-2.22,K116&lt;7),"🟡 Theo dõi","🟢 Sạch"))),"")</f>
        <v/>
      </c>
      <c r="M116" s="863">
        <f>IFERROR(IF(L116="🟢 Sạch","✅ ĐỦ ĐIỀU KIỆN MUA",IF(L116="🟡 Theo dõi","⚠️ Cần xác minh BCTC","❌ LOẠI KHỎI BỘ LỌC")),"")</f>
        <v/>
      </c>
      <c r="N116" s="863">
        <f>IFERROR(IF(M116="✅ ĐỦ ĐIỀU KIỆN MUA",ROUND((I116/3+K116/9-J116/5)*10,1),0),"")</f>
        <v/>
      </c>
    </row>
    <row r="117" ht="15" customHeight="1" s="981">
      <c r="A117" s="861" t="n">
        <v>112</v>
      </c>
      <c r="B117" s="862">
        <f>IFERROR(IF('📈 Cổ Phiếu VN 🔍'!$A$116="","",'📈 Cổ Phiếu VN 🔍'!$A$116),"")</f>
        <v/>
      </c>
      <c r="C117" s="862">
        <f>IFERROR('📈 Cổ Phiếu VN 🔍'!$B$116,"")</f>
        <v/>
      </c>
      <c r="D117" s="862">
        <f>IFERROR('📈 Cổ Phiếu VN 🔍'!$C$116,"")</f>
        <v/>
      </c>
      <c r="E117" s="862">
        <f>IFERROR('📈 Cổ Phiếu VN 🔍'!$E$116,0)</f>
        <v/>
      </c>
      <c r="F117" s="862">
        <f>IFERROR('📈 Cổ Phiếu VN 🔍'!$F$116,0)</f>
        <v/>
      </c>
      <c r="G117" s="862">
        <f>IFERROR('📈 Cổ Phiếu VN 🔍'!$G$116,0)</f>
        <v/>
      </c>
      <c r="H117" s="862">
        <f>IFERROR('📈 Cổ Phiếu VN 🔍'!$T$116,0)</f>
        <v/>
      </c>
      <c r="I117" s="863">
        <f>IFERROR(IF('📈 Cổ Phiếu VN 🔍'!$A$116="","",ROUND(3.25+6.56*0.15+3.26*('📈 Cổ Phiếu VN 🔍'!$G$116/100*0.5)+6.72*('📈 Cổ Phiếu VN 🔍'!$G$116/100)+1.05*(1/('📈 Cổ Phiếu VN 🔍'!$T$116+0.5)),2)),"")</f>
        <v/>
      </c>
      <c r="J117" s="863">
        <f>IFERROR(IF('📈 Cổ Phiếu VN 🔍'!$A$116="","",ROUND(-4.84+0.92*(1+0.5*'📈 Cổ Phiếu VN 🔍'!$J$116/100)+0.528*1.02+0.404*1.01+0.892*(1+'📈 Cổ Phiếu VN 🔍'!$J$116/100)+0.115*1.02,2)),"")</f>
        <v/>
      </c>
      <c r="K117" s="863">
        <f>IFERROR(IF('📈 Cổ Phiếu VN 🔍'!$A$116="","",(IF('📈 Cổ Phiếu VN 🔍'!$G$116&gt;0,1,0)+IF('📈 Cổ Phiếu VN 🔍'!$G$116&gt;5,1,0)+IF('📈 Cổ Phiếu VN 🔍'!$G$116&gt;10,1,0)+IF('📈 Cổ Phiếu VN 🔍'!$G$116&gt;15,1,0)+IF('📈 Cổ Phiếu VN 🔍'!$T$116&lt;3,1,0)+IF('📈 Cổ Phiếu VN 🔍'!$T$116&lt;5,1,0)+IF('📈 Cổ Phiếu VN 🔍'!$J$116&gt;0,1,0)+IF('📈 Cổ Phiếu VN 🔍'!$E$116&lt;20,1,0)+IF('📈 Cổ Phiếu VN 🔍'!$E$116&gt;0,1,0))),"")</f>
        <v/>
      </c>
      <c r="L117" s="863">
        <f>IFERROR(IF(I117="","",IF(OR(I117&lt;1.8,J117&gt;-1.78,K117&lt;5),"🔴 CỜ ĐỎ",IF(OR(I117&lt;2.99,J117&gt;-2.22,K117&lt;7),"🟡 Theo dõi","🟢 Sạch"))),"")</f>
        <v/>
      </c>
      <c r="M117" s="863">
        <f>IFERROR(IF(L117="🟢 Sạch","✅ ĐỦ ĐIỀU KIỆN MUA",IF(L117="🟡 Theo dõi","⚠️ Cần xác minh BCTC","❌ LOẠI KHỎI BỘ LỌC")),"")</f>
        <v/>
      </c>
      <c r="N117" s="863">
        <f>IFERROR(IF(M117="✅ ĐỦ ĐIỀU KIỆN MUA",ROUND((I117/3+K117/9-J117/5)*10,1),0),"")</f>
        <v/>
      </c>
    </row>
    <row r="118" ht="15" customHeight="1" s="981">
      <c r="A118" s="861" t="n">
        <v>113</v>
      </c>
      <c r="B118" s="862">
        <f>IFERROR(IF('📈 Cổ Phiếu VN 🔍'!$A$117="","",'📈 Cổ Phiếu VN 🔍'!$A$117),"")</f>
        <v/>
      </c>
      <c r="C118" s="862">
        <f>IFERROR('📈 Cổ Phiếu VN 🔍'!$B$117,"")</f>
        <v/>
      </c>
      <c r="D118" s="862">
        <f>IFERROR('📈 Cổ Phiếu VN 🔍'!$C$117,"")</f>
        <v/>
      </c>
      <c r="E118" s="862">
        <f>IFERROR('📈 Cổ Phiếu VN 🔍'!$E$117,0)</f>
        <v/>
      </c>
      <c r="F118" s="862">
        <f>IFERROR('📈 Cổ Phiếu VN 🔍'!$F$117,0)</f>
        <v/>
      </c>
      <c r="G118" s="862">
        <f>IFERROR('📈 Cổ Phiếu VN 🔍'!$G$117,0)</f>
        <v/>
      </c>
      <c r="H118" s="862">
        <f>IFERROR('📈 Cổ Phiếu VN 🔍'!$T$117,0)</f>
        <v/>
      </c>
      <c r="I118" s="863">
        <f>IFERROR(IF('📈 Cổ Phiếu VN 🔍'!$A$117="","",ROUND(3.25+6.56*0.15+3.26*('📈 Cổ Phiếu VN 🔍'!$G$117/100*0.5)+6.72*('📈 Cổ Phiếu VN 🔍'!$G$117/100)+1.05*(1/('📈 Cổ Phiếu VN 🔍'!$T$117+0.5)),2)),"")</f>
        <v/>
      </c>
      <c r="J118" s="863">
        <f>IFERROR(IF('📈 Cổ Phiếu VN 🔍'!$A$117="","",ROUND(-4.84+0.92*(1+0.5*'📈 Cổ Phiếu VN 🔍'!$J$117/100)+0.528*1.02+0.404*1.01+0.892*(1+'📈 Cổ Phiếu VN 🔍'!$J$117/100)+0.115*1.02,2)),"")</f>
        <v/>
      </c>
      <c r="K118" s="863">
        <f>IFERROR(IF('📈 Cổ Phiếu VN 🔍'!$A$117="","",(IF('📈 Cổ Phiếu VN 🔍'!$G$117&gt;0,1,0)+IF('📈 Cổ Phiếu VN 🔍'!$G$117&gt;5,1,0)+IF('📈 Cổ Phiếu VN 🔍'!$G$117&gt;10,1,0)+IF('📈 Cổ Phiếu VN 🔍'!$G$117&gt;15,1,0)+IF('📈 Cổ Phiếu VN 🔍'!$T$117&lt;3,1,0)+IF('📈 Cổ Phiếu VN 🔍'!$T$117&lt;5,1,0)+IF('📈 Cổ Phiếu VN 🔍'!$J$117&gt;0,1,0)+IF('📈 Cổ Phiếu VN 🔍'!$E$117&lt;20,1,0)+IF('📈 Cổ Phiếu VN 🔍'!$E$117&gt;0,1,0))),"")</f>
        <v/>
      </c>
      <c r="L118" s="863">
        <f>IFERROR(IF(I118="","",IF(OR(I118&lt;1.8,J118&gt;-1.78,K118&lt;5),"🔴 CỜ ĐỎ",IF(OR(I118&lt;2.99,J118&gt;-2.22,K118&lt;7),"🟡 Theo dõi","🟢 Sạch"))),"")</f>
        <v/>
      </c>
      <c r="M118" s="863">
        <f>IFERROR(IF(L118="🟢 Sạch","✅ ĐỦ ĐIỀU KIỆN MUA",IF(L118="🟡 Theo dõi","⚠️ Cần xác minh BCTC","❌ LOẠI KHỎI BỘ LỌC")),"")</f>
        <v/>
      </c>
      <c r="N118" s="863">
        <f>IFERROR(IF(M118="✅ ĐỦ ĐIỀU KIỆN MUA",ROUND((I118/3+K118/9-J118/5)*10,1),0),"")</f>
        <v/>
      </c>
    </row>
    <row r="119" ht="15" customHeight="1" s="981">
      <c r="A119" s="861" t="n">
        <v>114</v>
      </c>
      <c r="B119" s="862">
        <f>IFERROR(IF('📈 Cổ Phiếu VN 🔍'!$A$118="","",'📈 Cổ Phiếu VN 🔍'!$A$118),"")</f>
        <v/>
      </c>
      <c r="C119" s="862">
        <f>IFERROR('📈 Cổ Phiếu VN 🔍'!$B$118,"")</f>
        <v/>
      </c>
      <c r="D119" s="862">
        <f>IFERROR('📈 Cổ Phiếu VN 🔍'!$C$118,"")</f>
        <v/>
      </c>
      <c r="E119" s="862">
        <f>IFERROR('📈 Cổ Phiếu VN 🔍'!$E$118,0)</f>
        <v/>
      </c>
      <c r="F119" s="862">
        <f>IFERROR('📈 Cổ Phiếu VN 🔍'!$F$118,0)</f>
        <v/>
      </c>
      <c r="G119" s="862">
        <f>IFERROR('📈 Cổ Phiếu VN 🔍'!$G$118,0)</f>
        <v/>
      </c>
      <c r="H119" s="862">
        <f>IFERROR('📈 Cổ Phiếu VN 🔍'!$T$118,0)</f>
        <v/>
      </c>
      <c r="I119" s="863">
        <f>IFERROR(IF('📈 Cổ Phiếu VN 🔍'!$A$118="","",ROUND(3.25+6.56*0.15+3.26*('📈 Cổ Phiếu VN 🔍'!$G$118/100*0.5)+6.72*('📈 Cổ Phiếu VN 🔍'!$G$118/100)+1.05*(1/('📈 Cổ Phiếu VN 🔍'!$T$118+0.5)),2)),"")</f>
        <v/>
      </c>
      <c r="J119" s="863">
        <f>IFERROR(IF('📈 Cổ Phiếu VN 🔍'!$A$118="","",ROUND(-4.84+0.92*(1+0.5*'📈 Cổ Phiếu VN 🔍'!$J$118/100)+0.528*1.02+0.404*1.01+0.892*(1+'📈 Cổ Phiếu VN 🔍'!$J$118/100)+0.115*1.02,2)),"")</f>
        <v/>
      </c>
      <c r="K119" s="863">
        <f>IFERROR(IF('📈 Cổ Phiếu VN 🔍'!$A$118="","",(IF('📈 Cổ Phiếu VN 🔍'!$G$118&gt;0,1,0)+IF('📈 Cổ Phiếu VN 🔍'!$G$118&gt;5,1,0)+IF('📈 Cổ Phiếu VN 🔍'!$G$118&gt;10,1,0)+IF('📈 Cổ Phiếu VN 🔍'!$G$118&gt;15,1,0)+IF('📈 Cổ Phiếu VN 🔍'!$T$118&lt;3,1,0)+IF('📈 Cổ Phiếu VN 🔍'!$T$118&lt;5,1,0)+IF('📈 Cổ Phiếu VN 🔍'!$J$118&gt;0,1,0)+IF('📈 Cổ Phiếu VN 🔍'!$E$118&lt;20,1,0)+IF('📈 Cổ Phiếu VN 🔍'!$E$118&gt;0,1,0))),"")</f>
        <v/>
      </c>
      <c r="L119" s="863">
        <f>IFERROR(IF(I119="","",IF(OR(I119&lt;1.8,J119&gt;-1.78,K119&lt;5),"🔴 CỜ ĐỎ",IF(OR(I119&lt;2.99,J119&gt;-2.22,K119&lt;7),"🟡 Theo dõi","🟢 Sạch"))),"")</f>
        <v/>
      </c>
      <c r="M119" s="863">
        <f>IFERROR(IF(L119="🟢 Sạch","✅ ĐỦ ĐIỀU KIỆN MUA",IF(L119="🟡 Theo dõi","⚠️ Cần xác minh BCTC","❌ LOẠI KHỎI BỘ LỌC")),"")</f>
        <v/>
      </c>
      <c r="N119" s="863">
        <f>IFERROR(IF(M119="✅ ĐỦ ĐIỀU KIỆN MUA",ROUND((I119/3+K119/9-J119/5)*10,1),0),"")</f>
        <v/>
      </c>
    </row>
    <row r="120" ht="15" customHeight="1" s="981">
      <c r="A120" s="861" t="n">
        <v>115</v>
      </c>
      <c r="B120" s="862">
        <f>IFERROR(IF('📈 Cổ Phiếu VN 🔍'!$A$119="","",'📈 Cổ Phiếu VN 🔍'!$A$119),"")</f>
        <v/>
      </c>
      <c r="C120" s="862">
        <f>IFERROR('📈 Cổ Phiếu VN 🔍'!$B$119,"")</f>
        <v/>
      </c>
      <c r="D120" s="862">
        <f>IFERROR('📈 Cổ Phiếu VN 🔍'!$C$119,"")</f>
        <v/>
      </c>
      <c r="E120" s="862">
        <f>IFERROR('📈 Cổ Phiếu VN 🔍'!$E$119,0)</f>
        <v/>
      </c>
      <c r="F120" s="862">
        <f>IFERROR('📈 Cổ Phiếu VN 🔍'!$F$119,0)</f>
        <v/>
      </c>
      <c r="G120" s="862">
        <f>IFERROR('📈 Cổ Phiếu VN 🔍'!$G$119,0)</f>
        <v/>
      </c>
      <c r="H120" s="862">
        <f>IFERROR('📈 Cổ Phiếu VN 🔍'!$T$119,0)</f>
        <v/>
      </c>
      <c r="I120" s="863">
        <f>IFERROR(IF('📈 Cổ Phiếu VN 🔍'!$A$119="","",ROUND(3.25+6.56*0.15+3.26*('📈 Cổ Phiếu VN 🔍'!$G$119/100*0.5)+6.72*('📈 Cổ Phiếu VN 🔍'!$G$119/100)+1.05*(1/('📈 Cổ Phiếu VN 🔍'!$T$119+0.5)),2)),"")</f>
        <v/>
      </c>
      <c r="J120" s="863">
        <f>IFERROR(IF('📈 Cổ Phiếu VN 🔍'!$A$119="","",ROUND(-4.84+0.92*(1+0.5*'📈 Cổ Phiếu VN 🔍'!$J$119/100)+0.528*1.02+0.404*1.01+0.892*(1+'📈 Cổ Phiếu VN 🔍'!$J$119/100)+0.115*1.02,2)),"")</f>
        <v/>
      </c>
      <c r="K120" s="863">
        <f>IFERROR(IF('📈 Cổ Phiếu VN 🔍'!$A$119="","",(IF('📈 Cổ Phiếu VN 🔍'!$G$119&gt;0,1,0)+IF('📈 Cổ Phiếu VN 🔍'!$G$119&gt;5,1,0)+IF('📈 Cổ Phiếu VN 🔍'!$G$119&gt;10,1,0)+IF('📈 Cổ Phiếu VN 🔍'!$G$119&gt;15,1,0)+IF('📈 Cổ Phiếu VN 🔍'!$T$119&lt;3,1,0)+IF('📈 Cổ Phiếu VN 🔍'!$T$119&lt;5,1,0)+IF('📈 Cổ Phiếu VN 🔍'!$J$119&gt;0,1,0)+IF('📈 Cổ Phiếu VN 🔍'!$E$119&lt;20,1,0)+IF('📈 Cổ Phiếu VN 🔍'!$E$119&gt;0,1,0))),"")</f>
        <v/>
      </c>
      <c r="L120" s="863">
        <f>IFERROR(IF(I120="","",IF(OR(I120&lt;1.8,J120&gt;-1.78,K120&lt;5),"🔴 CỜ ĐỎ",IF(OR(I120&lt;2.99,J120&gt;-2.22,K120&lt;7),"🟡 Theo dõi","🟢 Sạch"))),"")</f>
        <v/>
      </c>
      <c r="M120" s="863">
        <f>IFERROR(IF(L120="🟢 Sạch","✅ ĐỦ ĐIỀU KIỆN MUA",IF(L120="🟡 Theo dõi","⚠️ Cần xác minh BCTC","❌ LOẠI KHỎI BỘ LỌC")),"")</f>
        <v/>
      </c>
      <c r="N120" s="863">
        <f>IFERROR(IF(M120="✅ ĐỦ ĐIỀU KIỆN MUA",ROUND((I120/3+K120/9-J120/5)*10,1),0),"")</f>
        <v/>
      </c>
    </row>
    <row r="121" ht="15" customHeight="1" s="981">
      <c r="A121" s="861" t="n">
        <v>116</v>
      </c>
      <c r="B121" s="862">
        <f>IFERROR(IF('📈 Cổ Phiếu VN 🔍'!$A$120="","",'📈 Cổ Phiếu VN 🔍'!$A$120),"")</f>
        <v/>
      </c>
      <c r="C121" s="862">
        <f>IFERROR('📈 Cổ Phiếu VN 🔍'!$B$120,"")</f>
        <v/>
      </c>
      <c r="D121" s="862">
        <f>IFERROR('📈 Cổ Phiếu VN 🔍'!$C$120,"")</f>
        <v/>
      </c>
      <c r="E121" s="862">
        <f>IFERROR('📈 Cổ Phiếu VN 🔍'!$E$120,0)</f>
        <v/>
      </c>
      <c r="F121" s="862">
        <f>IFERROR('📈 Cổ Phiếu VN 🔍'!$F$120,0)</f>
        <v/>
      </c>
      <c r="G121" s="862">
        <f>IFERROR('📈 Cổ Phiếu VN 🔍'!$G$120,0)</f>
        <v/>
      </c>
      <c r="H121" s="862">
        <f>IFERROR('📈 Cổ Phiếu VN 🔍'!$T$120,0)</f>
        <v/>
      </c>
      <c r="I121" s="863">
        <f>IFERROR(IF('📈 Cổ Phiếu VN 🔍'!$A$120="","",ROUND(3.25+6.56*0.15+3.26*('📈 Cổ Phiếu VN 🔍'!$G$120/100*0.5)+6.72*('📈 Cổ Phiếu VN 🔍'!$G$120/100)+1.05*(1/('📈 Cổ Phiếu VN 🔍'!$T$120+0.5)),2)),"")</f>
        <v/>
      </c>
      <c r="J121" s="863">
        <f>IFERROR(IF('📈 Cổ Phiếu VN 🔍'!$A$120="","",ROUND(-4.84+0.92*(1+0.5*'📈 Cổ Phiếu VN 🔍'!$J$120/100)+0.528*1.02+0.404*1.01+0.892*(1+'📈 Cổ Phiếu VN 🔍'!$J$120/100)+0.115*1.02,2)),"")</f>
        <v/>
      </c>
      <c r="K121" s="863">
        <f>IFERROR(IF('📈 Cổ Phiếu VN 🔍'!$A$120="","",(IF('📈 Cổ Phiếu VN 🔍'!$G$120&gt;0,1,0)+IF('📈 Cổ Phiếu VN 🔍'!$G$120&gt;5,1,0)+IF('📈 Cổ Phiếu VN 🔍'!$G$120&gt;10,1,0)+IF('📈 Cổ Phiếu VN 🔍'!$G$120&gt;15,1,0)+IF('📈 Cổ Phiếu VN 🔍'!$T$120&lt;3,1,0)+IF('📈 Cổ Phiếu VN 🔍'!$T$120&lt;5,1,0)+IF('📈 Cổ Phiếu VN 🔍'!$J$120&gt;0,1,0)+IF('📈 Cổ Phiếu VN 🔍'!$E$120&lt;20,1,0)+IF('📈 Cổ Phiếu VN 🔍'!$E$120&gt;0,1,0))),"")</f>
        <v/>
      </c>
      <c r="L121" s="863">
        <f>IFERROR(IF(I121="","",IF(OR(I121&lt;1.8,J121&gt;-1.78,K121&lt;5),"🔴 CỜ ĐỎ",IF(OR(I121&lt;2.99,J121&gt;-2.22,K121&lt;7),"🟡 Theo dõi","🟢 Sạch"))),"")</f>
        <v/>
      </c>
      <c r="M121" s="863">
        <f>IFERROR(IF(L121="🟢 Sạch","✅ ĐỦ ĐIỀU KIỆN MUA",IF(L121="🟡 Theo dõi","⚠️ Cần xác minh BCTC","❌ LOẠI KHỎI BỘ LỌC")),"")</f>
        <v/>
      </c>
      <c r="N121" s="863">
        <f>IFERROR(IF(M121="✅ ĐỦ ĐIỀU KIỆN MUA",ROUND((I121/3+K121/9-J121/5)*10,1),0),"")</f>
        <v/>
      </c>
    </row>
    <row r="122" ht="15" customHeight="1" s="981">
      <c r="A122" s="861" t="n">
        <v>117</v>
      </c>
      <c r="B122" s="862">
        <f>IFERROR(IF('📈 Cổ Phiếu VN 🔍'!$A$121="","",'📈 Cổ Phiếu VN 🔍'!$A$121),"")</f>
        <v/>
      </c>
      <c r="C122" s="862">
        <f>IFERROR('📈 Cổ Phiếu VN 🔍'!$B$121,"")</f>
        <v/>
      </c>
      <c r="D122" s="862">
        <f>IFERROR('📈 Cổ Phiếu VN 🔍'!$C$121,"")</f>
        <v/>
      </c>
      <c r="E122" s="862">
        <f>IFERROR('📈 Cổ Phiếu VN 🔍'!$E$121,0)</f>
        <v/>
      </c>
      <c r="F122" s="862">
        <f>IFERROR('📈 Cổ Phiếu VN 🔍'!$F$121,0)</f>
        <v/>
      </c>
      <c r="G122" s="862">
        <f>IFERROR('📈 Cổ Phiếu VN 🔍'!$G$121,0)</f>
        <v/>
      </c>
      <c r="H122" s="862">
        <f>IFERROR('📈 Cổ Phiếu VN 🔍'!$T$121,0)</f>
        <v/>
      </c>
      <c r="I122" s="863">
        <f>IFERROR(IF('📈 Cổ Phiếu VN 🔍'!$A$121="","",ROUND(3.25+6.56*0.15+3.26*('📈 Cổ Phiếu VN 🔍'!$G$121/100*0.5)+6.72*('📈 Cổ Phiếu VN 🔍'!$G$121/100)+1.05*(1/('📈 Cổ Phiếu VN 🔍'!$T$121+0.5)),2)),"")</f>
        <v/>
      </c>
      <c r="J122" s="863">
        <f>IFERROR(IF('📈 Cổ Phiếu VN 🔍'!$A$121="","",ROUND(-4.84+0.92*(1+0.5*'📈 Cổ Phiếu VN 🔍'!$J$121/100)+0.528*1.02+0.404*1.01+0.892*(1+'📈 Cổ Phiếu VN 🔍'!$J$121/100)+0.115*1.02,2)),"")</f>
        <v/>
      </c>
      <c r="K122" s="863">
        <f>IFERROR(IF('📈 Cổ Phiếu VN 🔍'!$A$121="","",(IF('📈 Cổ Phiếu VN 🔍'!$G$121&gt;0,1,0)+IF('📈 Cổ Phiếu VN 🔍'!$G$121&gt;5,1,0)+IF('📈 Cổ Phiếu VN 🔍'!$G$121&gt;10,1,0)+IF('📈 Cổ Phiếu VN 🔍'!$G$121&gt;15,1,0)+IF('📈 Cổ Phiếu VN 🔍'!$T$121&lt;3,1,0)+IF('📈 Cổ Phiếu VN 🔍'!$T$121&lt;5,1,0)+IF('📈 Cổ Phiếu VN 🔍'!$J$121&gt;0,1,0)+IF('📈 Cổ Phiếu VN 🔍'!$E$121&lt;20,1,0)+IF('📈 Cổ Phiếu VN 🔍'!$E$121&gt;0,1,0))),"")</f>
        <v/>
      </c>
      <c r="L122" s="863">
        <f>IFERROR(IF(I122="","",IF(OR(I122&lt;1.8,J122&gt;-1.78,K122&lt;5),"🔴 CỜ ĐỎ",IF(OR(I122&lt;2.99,J122&gt;-2.22,K122&lt;7),"🟡 Theo dõi","🟢 Sạch"))),"")</f>
        <v/>
      </c>
      <c r="M122" s="863">
        <f>IFERROR(IF(L122="🟢 Sạch","✅ ĐỦ ĐIỀU KIỆN MUA",IF(L122="🟡 Theo dõi","⚠️ Cần xác minh BCTC","❌ LOẠI KHỎI BỘ LỌC")),"")</f>
        <v/>
      </c>
      <c r="N122" s="863">
        <f>IFERROR(IF(M122="✅ ĐỦ ĐIỀU KIỆN MUA",ROUND((I122/3+K122/9-J122/5)*10,1),0),"")</f>
        <v/>
      </c>
    </row>
    <row r="123" ht="15" customHeight="1" s="981">
      <c r="A123" s="861" t="n">
        <v>118</v>
      </c>
      <c r="B123" s="862">
        <f>IFERROR(IF('📈 Cổ Phiếu VN 🔍'!$A$122="","",'📈 Cổ Phiếu VN 🔍'!$A$122),"")</f>
        <v/>
      </c>
      <c r="C123" s="862">
        <f>IFERROR('📈 Cổ Phiếu VN 🔍'!$B$122,"")</f>
        <v/>
      </c>
      <c r="D123" s="862">
        <f>IFERROR('📈 Cổ Phiếu VN 🔍'!$C$122,"")</f>
        <v/>
      </c>
      <c r="E123" s="862">
        <f>IFERROR('📈 Cổ Phiếu VN 🔍'!$E$122,0)</f>
        <v/>
      </c>
      <c r="F123" s="862">
        <f>IFERROR('📈 Cổ Phiếu VN 🔍'!$F$122,0)</f>
        <v/>
      </c>
      <c r="G123" s="862">
        <f>IFERROR('📈 Cổ Phiếu VN 🔍'!$G$122,0)</f>
        <v/>
      </c>
      <c r="H123" s="862">
        <f>IFERROR('📈 Cổ Phiếu VN 🔍'!$T$122,0)</f>
        <v/>
      </c>
      <c r="I123" s="863">
        <f>IFERROR(IF('📈 Cổ Phiếu VN 🔍'!$A$122="","",ROUND(3.25+6.56*0.15+3.26*('📈 Cổ Phiếu VN 🔍'!$G$122/100*0.5)+6.72*('📈 Cổ Phiếu VN 🔍'!$G$122/100)+1.05*(1/('📈 Cổ Phiếu VN 🔍'!$T$122+0.5)),2)),"")</f>
        <v/>
      </c>
      <c r="J123" s="863">
        <f>IFERROR(IF('📈 Cổ Phiếu VN 🔍'!$A$122="","",ROUND(-4.84+0.92*(1+0.5*'📈 Cổ Phiếu VN 🔍'!$J$122/100)+0.528*1.02+0.404*1.01+0.892*(1+'📈 Cổ Phiếu VN 🔍'!$J$122/100)+0.115*1.02,2)),"")</f>
        <v/>
      </c>
      <c r="K123" s="863">
        <f>IFERROR(IF('📈 Cổ Phiếu VN 🔍'!$A$122="","",(IF('📈 Cổ Phiếu VN 🔍'!$G$122&gt;0,1,0)+IF('📈 Cổ Phiếu VN 🔍'!$G$122&gt;5,1,0)+IF('📈 Cổ Phiếu VN 🔍'!$G$122&gt;10,1,0)+IF('📈 Cổ Phiếu VN 🔍'!$G$122&gt;15,1,0)+IF('📈 Cổ Phiếu VN 🔍'!$T$122&lt;3,1,0)+IF('📈 Cổ Phiếu VN 🔍'!$T$122&lt;5,1,0)+IF('📈 Cổ Phiếu VN 🔍'!$J$122&gt;0,1,0)+IF('📈 Cổ Phiếu VN 🔍'!$E$122&lt;20,1,0)+IF('📈 Cổ Phiếu VN 🔍'!$E$122&gt;0,1,0))),"")</f>
        <v/>
      </c>
      <c r="L123" s="863">
        <f>IFERROR(IF(I123="","",IF(OR(I123&lt;1.8,J123&gt;-1.78,K123&lt;5),"🔴 CỜ ĐỎ",IF(OR(I123&lt;2.99,J123&gt;-2.22,K123&lt;7),"🟡 Theo dõi","🟢 Sạch"))),"")</f>
        <v/>
      </c>
      <c r="M123" s="863">
        <f>IFERROR(IF(L123="🟢 Sạch","✅ ĐỦ ĐIỀU KIỆN MUA",IF(L123="🟡 Theo dõi","⚠️ Cần xác minh BCTC","❌ LOẠI KHỎI BỘ LỌC")),"")</f>
        <v/>
      </c>
      <c r="N123" s="863">
        <f>IFERROR(IF(M123="✅ ĐỦ ĐIỀU KIỆN MUA",ROUND((I123/3+K123/9-J123/5)*10,1),0),"")</f>
        <v/>
      </c>
    </row>
    <row r="124" ht="15" customHeight="1" s="981">
      <c r="A124" s="861" t="n">
        <v>119</v>
      </c>
      <c r="B124" s="862">
        <f>IFERROR(IF('📈 Cổ Phiếu VN 🔍'!$A$123="","",'📈 Cổ Phiếu VN 🔍'!$A$123),"")</f>
        <v/>
      </c>
      <c r="C124" s="862">
        <f>IFERROR('📈 Cổ Phiếu VN 🔍'!$B$123,"")</f>
        <v/>
      </c>
      <c r="D124" s="862">
        <f>IFERROR('📈 Cổ Phiếu VN 🔍'!$C$123,"")</f>
        <v/>
      </c>
      <c r="E124" s="862">
        <f>IFERROR('📈 Cổ Phiếu VN 🔍'!$E$123,0)</f>
        <v/>
      </c>
      <c r="F124" s="862">
        <f>IFERROR('📈 Cổ Phiếu VN 🔍'!$F$123,0)</f>
        <v/>
      </c>
      <c r="G124" s="862">
        <f>IFERROR('📈 Cổ Phiếu VN 🔍'!$G$123,0)</f>
        <v/>
      </c>
      <c r="H124" s="862">
        <f>IFERROR('📈 Cổ Phiếu VN 🔍'!$T$123,0)</f>
        <v/>
      </c>
      <c r="I124" s="863">
        <f>IFERROR(IF('📈 Cổ Phiếu VN 🔍'!$A$123="","",ROUND(3.25+6.56*0.15+3.26*('📈 Cổ Phiếu VN 🔍'!$G$123/100*0.5)+6.72*('📈 Cổ Phiếu VN 🔍'!$G$123/100)+1.05*(1/('📈 Cổ Phiếu VN 🔍'!$T$123+0.5)),2)),"")</f>
        <v/>
      </c>
      <c r="J124" s="863">
        <f>IFERROR(IF('📈 Cổ Phiếu VN 🔍'!$A$123="","",ROUND(-4.84+0.92*(1+0.5*'📈 Cổ Phiếu VN 🔍'!$J$123/100)+0.528*1.02+0.404*1.01+0.892*(1+'📈 Cổ Phiếu VN 🔍'!$J$123/100)+0.115*1.02,2)),"")</f>
        <v/>
      </c>
      <c r="K124" s="863">
        <f>IFERROR(IF('📈 Cổ Phiếu VN 🔍'!$A$123="","",(IF('📈 Cổ Phiếu VN 🔍'!$G$123&gt;0,1,0)+IF('📈 Cổ Phiếu VN 🔍'!$G$123&gt;5,1,0)+IF('📈 Cổ Phiếu VN 🔍'!$G$123&gt;10,1,0)+IF('📈 Cổ Phiếu VN 🔍'!$G$123&gt;15,1,0)+IF('📈 Cổ Phiếu VN 🔍'!$T$123&lt;3,1,0)+IF('📈 Cổ Phiếu VN 🔍'!$T$123&lt;5,1,0)+IF('📈 Cổ Phiếu VN 🔍'!$J$123&gt;0,1,0)+IF('📈 Cổ Phiếu VN 🔍'!$E$123&lt;20,1,0)+IF('📈 Cổ Phiếu VN 🔍'!$E$123&gt;0,1,0))),"")</f>
        <v/>
      </c>
      <c r="L124" s="863">
        <f>IFERROR(IF(I124="","",IF(OR(I124&lt;1.8,J124&gt;-1.78,K124&lt;5),"🔴 CỜ ĐỎ",IF(OR(I124&lt;2.99,J124&gt;-2.22,K124&lt;7),"🟡 Theo dõi","🟢 Sạch"))),"")</f>
        <v/>
      </c>
      <c r="M124" s="863">
        <f>IFERROR(IF(L124="🟢 Sạch","✅ ĐỦ ĐIỀU KIỆN MUA",IF(L124="🟡 Theo dõi","⚠️ Cần xác minh BCTC","❌ LOẠI KHỎI BỘ LỌC")),"")</f>
        <v/>
      </c>
      <c r="N124" s="863">
        <f>IFERROR(IF(M124="✅ ĐỦ ĐIỀU KIỆN MUA",ROUND((I124/3+K124/9-J124/5)*10,1),0),"")</f>
        <v/>
      </c>
    </row>
    <row r="125" ht="15" customHeight="1" s="981">
      <c r="A125" s="861" t="n">
        <v>120</v>
      </c>
      <c r="B125" s="862">
        <f>IFERROR(IF('📈 Cổ Phiếu VN 🔍'!$A$124="","",'📈 Cổ Phiếu VN 🔍'!$A$124),"")</f>
        <v/>
      </c>
      <c r="C125" s="862">
        <f>IFERROR('📈 Cổ Phiếu VN 🔍'!$B$124,"")</f>
        <v/>
      </c>
      <c r="D125" s="862">
        <f>IFERROR('📈 Cổ Phiếu VN 🔍'!$C$124,"")</f>
        <v/>
      </c>
      <c r="E125" s="862">
        <f>IFERROR('📈 Cổ Phiếu VN 🔍'!$E$124,0)</f>
        <v/>
      </c>
      <c r="F125" s="862">
        <f>IFERROR('📈 Cổ Phiếu VN 🔍'!$F$124,0)</f>
        <v/>
      </c>
      <c r="G125" s="862">
        <f>IFERROR('📈 Cổ Phiếu VN 🔍'!$G$124,0)</f>
        <v/>
      </c>
      <c r="H125" s="862">
        <f>IFERROR('📈 Cổ Phiếu VN 🔍'!$T$124,0)</f>
        <v/>
      </c>
      <c r="I125" s="863">
        <f>IFERROR(IF('📈 Cổ Phiếu VN 🔍'!$A$124="","",ROUND(3.25+6.56*0.15+3.26*('📈 Cổ Phiếu VN 🔍'!$G$124/100*0.5)+6.72*('📈 Cổ Phiếu VN 🔍'!$G$124/100)+1.05*(1/('📈 Cổ Phiếu VN 🔍'!$T$124+0.5)),2)),"")</f>
        <v/>
      </c>
      <c r="J125" s="863">
        <f>IFERROR(IF('📈 Cổ Phiếu VN 🔍'!$A$124="","",ROUND(-4.84+0.92*(1+0.5*'📈 Cổ Phiếu VN 🔍'!$J$124/100)+0.528*1.02+0.404*1.01+0.892*(1+'📈 Cổ Phiếu VN 🔍'!$J$124/100)+0.115*1.02,2)),"")</f>
        <v/>
      </c>
      <c r="K125" s="863">
        <f>IFERROR(IF('📈 Cổ Phiếu VN 🔍'!$A$124="","",(IF('📈 Cổ Phiếu VN 🔍'!$G$124&gt;0,1,0)+IF('📈 Cổ Phiếu VN 🔍'!$G$124&gt;5,1,0)+IF('📈 Cổ Phiếu VN 🔍'!$G$124&gt;10,1,0)+IF('📈 Cổ Phiếu VN 🔍'!$G$124&gt;15,1,0)+IF('📈 Cổ Phiếu VN 🔍'!$T$124&lt;3,1,0)+IF('📈 Cổ Phiếu VN 🔍'!$T$124&lt;5,1,0)+IF('📈 Cổ Phiếu VN 🔍'!$J$124&gt;0,1,0)+IF('📈 Cổ Phiếu VN 🔍'!$E$124&lt;20,1,0)+IF('📈 Cổ Phiếu VN 🔍'!$E$124&gt;0,1,0))),"")</f>
        <v/>
      </c>
      <c r="L125" s="863">
        <f>IFERROR(IF(I125="","",IF(OR(I125&lt;1.8,J125&gt;-1.78,K125&lt;5),"🔴 CỜ ĐỎ",IF(OR(I125&lt;2.99,J125&gt;-2.22,K125&lt;7),"🟡 Theo dõi","🟢 Sạch"))),"")</f>
        <v/>
      </c>
      <c r="M125" s="863">
        <f>IFERROR(IF(L125="🟢 Sạch","✅ ĐỦ ĐIỀU KIỆN MUA",IF(L125="🟡 Theo dõi","⚠️ Cần xác minh BCTC","❌ LOẠI KHỎI BỘ LỌC")),"")</f>
        <v/>
      </c>
      <c r="N125" s="863">
        <f>IFERROR(IF(M125="✅ ĐỦ ĐIỀU KIỆN MUA",ROUND((I125/3+K125/9-J125/5)*10,1),0),"")</f>
        <v/>
      </c>
    </row>
    <row r="126" ht="15" customHeight="1" s="981">
      <c r="A126" s="861" t="n">
        <v>121</v>
      </c>
      <c r="B126" s="862">
        <f>IFERROR(IF('📈 Cổ Phiếu VN 🔍'!$A$125="","",'📈 Cổ Phiếu VN 🔍'!$A$125),"")</f>
        <v/>
      </c>
      <c r="C126" s="862">
        <f>IFERROR('📈 Cổ Phiếu VN 🔍'!$B$125,"")</f>
        <v/>
      </c>
      <c r="D126" s="862">
        <f>IFERROR('📈 Cổ Phiếu VN 🔍'!$C$125,"")</f>
        <v/>
      </c>
      <c r="E126" s="862">
        <f>IFERROR('📈 Cổ Phiếu VN 🔍'!$E$125,0)</f>
        <v/>
      </c>
      <c r="F126" s="862">
        <f>IFERROR('📈 Cổ Phiếu VN 🔍'!$F$125,0)</f>
        <v/>
      </c>
      <c r="G126" s="862">
        <f>IFERROR('📈 Cổ Phiếu VN 🔍'!$G$125,0)</f>
        <v/>
      </c>
      <c r="H126" s="862">
        <f>IFERROR('📈 Cổ Phiếu VN 🔍'!$T$125,0)</f>
        <v/>
      </c>
      <c r="I126" s="863">
        <f>IFERROR(IF('📈 Cổ Phiếu VN 🔍'!$A$125="","",ROUND(3.25+6.56*0.15+3.26*('📈 Cổ Phiếu VN 🔍'!$G$125/100*0.5)+6.72*('📈 Cổ Phiếu VN 🔍'!$G$125/100)+1.05*(1/('📈 Cổ Phiếu VN 🔍'!$T$125+0.5)),2)),"")</f>
        <v/>
      </c>
      <c r="J126" s="863">
        <f>IFERROR(IF('📈 Cổ Phiếu VN 🔍'!$A$125="","",ROUND(-4.84+0.92*(1+0.5*'📈 Cổ Phiếu VN 🔍'!$J$125/100)+0.528*1.02+0.404*1.01+0.892*(1+'📈 Cổ Phiếu VN 🔍'!$J$125/100)+0.115*1.02,2)),"")</f>
        <v/>
      </c>
      <c r="K126" s="863">
        <f>IFERROR(IF('📈 Cổ Phiếu VN 🔍'!$A$125="","",(IF('📈 Cổ Phiếu VN 🔍'!$G$125&gt;0,1,0)+IF('📈 Cổ Phiếu VN 🔍'!$G$125&gt;5,1,0)+IF('📈 Cổ Phiếu VN 🔍'!$G$125&gt;10,1,0)+IF('📈 Cổ Phiếu VN 🔍'!$G$125&gt;15,1,0)+IF('📈 Cổ Phiếu VN 🔍'!$T$125&lt;3,1,0)+IF('📈 Cổ Phiếu VN 🔍'!$T$125&lt;5,1,0)+IF('📈 Cổ Phiếu VN 🔍'!$J$125&gt;0,1,0)+IF('📈 Cổ Phiếu VN 🔍'!$E$125&lt;20,1,0)+IF('📈 Cổ Phiếu VN 🔍'!$E$125&gt;0,1,0))),"")</f>
        <v/>
      </c>
      <c r="L126" s="863">
        <f>IFERROR(IF(I126="","",IF(OR(I126&lt;1.8,J126&gt;-1.78,K126&lt;5),"🔴 CỜ ĐỎ",IF(OR(I126&lt;2.99,J126&gt;-2.22,K126&lt;7),"🟡 Theo dõi","🟢 Sạch"))),"")</f>
        <v/>
      </c>
      <c r="M126" s="863">
        <f>IFERROR(IF(L126="🟢 Sạch","✅ ĐỦ ĐIỀU KIỆN MUA",IF(L126="🟡 Theo dõi","⚠️ Cần xác minh BCTC","❌ LOẠI KHỎI BỘ LỌC")),"")</f>
        <v/>
      </c>
      <c r="N126" s="863">
        <f>IFERROR(IF(M126="✅ ĐỦ ĐIỀU KIỆN MUA",ROUND((I126/3+K126/9-J126/5)*10,1),0),"")</f>
        <v/>
      </c>
    </row>
    <row r="127" ht="15" customHeight="1" s="981">
      <c r="A127" s="861" t="n">
        <v>122</v>
      </c>
      <c r="B127" s="862">
        <f>IFERROR(IF('📈 Cổ Phiếu VN 🔍'!$A$126="","",'📈 Cổ Phiếu VN 🔍'!$A$126),"")</f>
        <v/>
      </c>
      <c r="C127" s="862">
        <f>IFERROR('📈 Cổ Phiếu VN 🔍'!$B$126,"")</f>
        <v/>
      </c>
      <c r="D127" s="862">
        <f>IFERROR('📈 Cổ Phiếu VN 🔍'!$C$126,"")</f>
        <v/>
      </c>
      <c r="E127" s="862">
        <f>IFERROR('📈 Cổ Phiếu VN 🔍'!$E$126,0)</f>
        <v/>
      </c>
      <c r="F127" s="862">
        <f>IFERROR('📈 Cổ Phiếu VN 🔍'!$F$126,0)</f>
        <v/>
      </c>
      <c r="G127" s="862">
        <f>IFERROR('📈 Cổ Phiếu VN 🔍'!$G$126,0)</f>
        <v/>
      </c>
      <c r="H127" s="862">
        <f>IFERROR('📈 Cổ Phiếu VN 🔍'!$T$126,0)</f>
        <v/>
      </c>
      <c r="I127" s="863">
        <f>IFERROR(IF('📈 Cổ Phiếu VN 🔍'!$A$126="","",ROUND(3.25+6.56*0.15+3.26*('📈 Cổ Phiếu VN 🔍'!$G$126/100*0.5)+6.72*('📈 Cổ Phiếu VN 🔍'!$G$126/100)+1.05*(1/('📈 Cổ Phiếu VN 🔍'!$T$126+0.5)),2)),"")</f>
        <v/>
      </c>
      <c r="J127" s="863">
        <f>IFERROR(IF('📈 Cổ Phiếu VN 🔍'!$A$126="","",ROUND(-4.84+0.92*(1+0.5*'📈 Cổ Phiếu VN 🔍'!$J$126/100)+0.528*1.02+0.404*1.01+0.892*(1+'📈 Cổ Phiếu VN 🔍'!$J$126/100)+0.115*1.02,2)),"")</f>
        <v/>
      </c>
      <c r="K127" s="863">
        <f>IFERROR(IF('📈 Cổ Phiếu VN 🔍'!$A$126="","",(IF('📈 Cổ Phiếu VN 🔍'!$G$126&gt;0,1,0)+IF('📈 Cổ Phiếu VN 🔍'!$G$126&gt;5,1,0)+IF('📈 Cổ Phiếu VN 🔍'!$G$126&gt;10,1,0)+IF('📈 Cổ Phiếu VN 🔍'!$G$126&gt;15,1,0)+IF('📈 Cổ Phiếu VN 🔍'!$T$126&lt;3,1,0)+IF('📈 Cổ Phiếu VN 🔍'!$T$126&lt;5,1,0)+IF('📈 Cổ Phiếu VN 🔍'!$J$126&gt;0,1,0)+IF('📈 Cổ Phiếu VN 🔍'!$E$126&lt;20,1,0)+IF('📈 Cổ Phiếu VN 🔍'!$E$126&gt;0,1,0))),"")</f>
        <v/>
      </c>
      <c r="L127" s="863">
        <f>IFERROR(IF(I127="","",IF(OR(I127&lt;1.8,J127&gt;-1.78,K127&lt;5),"🔴 CỜ ĐỎ",IF(OR(I127&lt;2.99,J127&gt;-2.22,K127&lt;7),"🟡 Theo dõi","🟢 Sạch"))),"")</f>
        <v/>
      </c>
      <c r="M127" s="863">
        <f>IFERROR(IF(L127="🟢 Sạch","✅ ĐỦ ĐIỀU KIỆN MUA",IF(L127="🟡 Theo dõi","⚠️ Cần xác minh BCTC","❌ LOẠI KHỎI BỘ LỌC")),"")</f>
        <v/>
      </c>
      <c r="N127" s="863">
        <f>IFERROR(IF(M127="✅ ĐỦ ĐIỀU KIỆN MUA",ROUND((I127/3+K127/9-J127/5)*10,1),0),"")</f>
        <v/>
      </c>
    </row>
    <row r="128" ht="15" customHeight="1" s="981">
      <c r="A128" s="861" t="n">
        <v>123</v>
      </c>
      <c r="B128" s="862">
        <f>IFERROR(IF('📈 Cổ Phiếu VN 🔍'!$A$127="","",'📈 Cổ Phiếu VN 🔍'!$A$127),"")</f>
        <v/>
      </c>
      <c r="C128" s="862">
        <f>IFERROR('📈 Cổ Phiếu VN 🔍'!$B$127,"")</f>
        <v/>
      </c>
      <c r="D128" s="862">
        <f>IFERROR('📈 Cổ Phiếu VN 🔍'!$C$127,"")</f>
        <v/>
      </c>
      <c r="E128" s="862">
        <f>IFERROR('📈 Cổ Phiếu VN 🔍'!$E$127,0)</f>
        <v/>
      </c>
      <c r="F128" s="862">
        <f>IFERROR('📈 Cổ Phiếu VN 🔍'!$F$127,0)</f>
        <v/>
      </c>
      <c r="G128" s="862">
        <f>IFERROR('📈 Cổ Phiếu VN 🔍'!$G$127,0)</f>
        <v/>
      </c>
      <c r="H128" s="862">
        <f>IFERROR('📈 Cổ Phiếu VN 🔍'!$T$127,0)</f>
        <v/>
      </c>
      <c r="I128" s="863">
        <f>IFERROR(IF('📈 Cổ Phiếu VN 🔍'!$A$127="","",ROUND(3.25+6.56*0.15+3.26*('📈 Cổ Phiếu VN 🔍'!$G$127/100*0.5)+6.72*('📈 Cổ Phiếu VN 🔍'!$G$127/100)+1.05*(1/('📈 Cổ Phiếu VN 🔍'!$T$127+0.5)),2)),"")</f>
        <v/>
      </c>
      <c r="J128" s="863">
        <f>IFERROR(IF('📈 Cổ Phiếu VN 🔍'!$A$127="","",ROUND(-4.84+0.92*(1+0.5*'📈 Cổ Phiếu VN 🔍'!$J$127/100)+0.528*1.02+0.404*1.01+0.892*(1+'📈 Cổ Phiếu VN 🔍'!$J$127/100)+0.115*1.02,2)),"")</f>
        <v/>
      </c>
      <c r="K128" s="863">
        <f>IFERROR(IF('📈 Cổ Phiếu VN 🔍'!$A$127="","",(IF('📈 Cổ Phiếu VN 🔍'!$G$127&gt;0,1,0)+IF('📈 Cổ Phiếu VN 🔍'!$G$127&gt;5,1,0)+IF('📈 Cổ Phiếu VN 🔍'!$G$127&gt;10,1,0)+IF('📈 Cổ Phiếu VN 🔍'!$G$127&gt;15,1,0)+IF('📈 Cổ Phiếu VN 🔍'!$T$127&lt;3,1,0)+IF('📈 Cổ Phiếu VN 🔍'!$T$127&lt;5,1,0)+IF('📈 Cổ Phiếu VN 🔍'!$J$127&gt;0,1,0)+IF('📈 Cổ Phiếu VN 🔍'!$E$127&lt;20,1,0)+IF('📈 Cổ Phiếu VN 🔍'!$E$127&gt;0,1,0))),"")</f>
        <v/>
      </c>
      <c r="L128" s="863">
        <f>IFERROR(IF(I128="","",IF(OR(I128&lt;1.8,J128&gt;-1.78,K128&lt;5),"🔴 CỜ ĐỎ",IF(OR(I128&lt;2.99,J128&gt;-2.22,K128&lt;7),"🟡 Theo dõi","🟢 Sạch"))),"")</f>
        <v/>
      </c>
      <c r="M128" s="863">
        <f>IFERROR(IF(L128="🟢 Sạch","✅ ĐỦ ĐIỀU KIỆN MUA",IF(L128="🟡 Theo dõi","⚠️ Cần xác minh BCTC","❌ LOẠI KHỎI BỘ LỌC")),"")</f>
        <v/>
      </c>
      <c r="N128" s="863">
        <f>IFERROR(IF(M128="✅ ĐỦ ĐIỀU KIỆN MUA",ROUND((I128/3+K128/9-J128/5)*10,1),0),"")</f>
        <v/>
      </c>
    </row>
    <row r="129" ht="15" customHeight="1" s="981">
      <c r="A129" s="861" t="n">
        <v>124</v>
      </c>
      <c r="B129" s="862">
        <f>IFERROR(IF('📈 Cổ Phiếu VN 🔍'!$A$128="","",'📈 Cổ Phiếu VN 🔍'!$A$128),"")</f>
        <v/>
      </c>
      <c r="C129" s="862">
        <f>IFERROR('📈 Cổ Phiếu VN 🔍'!$B$128,"")</f>
        <v/>
      </c>
      <c r="D129" s="862">
        <f>IFERROR('📈 Cổ Phiếu VN 🔍'!$C$128,"")</f>
        <v/>
      </c>
      <c r="E129" s="862">
        <f>IFERROR('📈 Cổ Phiếu VN 🔍'!$E$128,0)</f>
        <v/>
      </c>
      <c r="F129" s="862">
        <f>IFERROR('📈 Cổ Phiếu VN 🔍'!$F$128,0)</f>
        <v/>
      </c>
      <c r="G129" s="862">
        <f>IFERROR('📈 Cổ Phiếu VN 🔍'!$G$128,0)</f>
        <v/>
      </c>
      <c r="H129" s="862">
        <f>IFERROR('📈 Cổ Phiếu VN 🔍'!$T$128,0)</f>
        <v/>
      </c>
      <c r="I129" s="863">
        <f>IFERROR(IF('📈 Cổ Phiếu VN 🔍'!$A$128="","",ROUND(3.25+6.56*0.15+3.26*('📈 Cổ Phiếu VN 🔍'!$G$128/100*0.5)+6.72*('📈 Cổ Phiếu VN 🔍'!$G$128/100)+1.05*(1/('📈 Cổ Phiếu VN 🔍'!$T$128+0.5)),2)),"")</f>
        <v/>
      </c>
      <c r="J129" s="863">
        <f>IFERROR(IF('📈 Cổ Phiếu VN 🔍'!$A$128="","",ROUND(-4.84+0.92*(1+0.5*'📈 Cổ Phiếu VN 🔍'!$J$128/100)+0.528*1.02+0.404*1.01+0.892*(1+'📈 Cổ Phiếu VN 🔍'!$J$128/100)+0.115*1.02,2)),"")</f>
        <v/>
      </c>
      <c r="K129" s="863">
        <f>IFERROR(IF('📈 Cổ Phiếu VN 🔍'!$A$128="","",(IF('📈 Cổ Phiếu VN 🔍'!$G$128&gt;0,1,0)+IF('📈 Cổ Phiếu VN 🔍'!$G$128&gt;5,1,0)+IF('📈 Cổ Phiếu VN 🔍'!$G$128&gt;10,1,0)+IF('📈 Cổ Phiếu VN 🔍'!$G$128&gt;15,1,0)+IF('📈 Cổ Phiếu VN 🔍'!$T$128&lt;3,1,0)+IF('📈 Cổ Phiếu VN 🔍'!$T$128&lt;5,1,0)+IF('📈 Cổ Phiếu VN 🔍'!$J$128&gt;0,1,0)+IF('📈 Cổ Phiếu VN 🔍'!$E$128&lt;20,1,0)+IF('📈 Cổ Phiếu VN 🔍'!$E$128&gt;0,1,0))),"")</f>
        <v/>
      </c>
      <c r="L129" s="863">
        <f>IFERROR(IF(I129="","",IF(OR(I129&lt;1.8,J129&gt;-1.78,K129&lt;5),"🔴 CỜ ĐỎ",IF(OR(I129&lt;2.99,J129&gt;-2.22,K129&lt;7),"🟡 Theo dõi","🟢 Sạch"))),"")</f>
        <v/>
      </c>
      <c r="M129" s="863">
        <f>IFERROR(IF(L129="🟢 Sạch","✅ ĐỦ ĐIỀU KIỆN MUA",IF(L129="🟡 Theo dõi","⚠️ Cần xác minh BCTC","❌ LOẠI KHỎI BỘ LỌC")),"")</f>
        <v/>
      </c>
      <c r="N129" s="863">
        <f>IFERROR(IF(M129="✅ ĐỦ ĐIỀU KIỆN MUA",ROUND((I129/3+K129/9-J129/5)*10,1),0),"")</f>
        <v/>
      </c>
    </row>
    <row r="130" ht="15" customHeight="1" s="981">
      <c r="A130" s="861" t="n">
        <v>125</v>
      </c>
      <c r="B130" s="862">
        <f>IFERROR(IF('📈 Cổ Phiếu VN 🔍'!$A$129="","",'📈 Cổ Phiếu VN 🔍'!$A$129),"")</f>
        <v/>
      </c>
      <c r="C130" s="862">
        <f>IFERROR('📈 Cổ Phiếu VN 🔍'!$B$129,"")</f>
        <v/>
      </c>
      <c r="D130" s="862">
        <f>IFERROR('📈 Cổ Phiếu VN 🔍'!$C$129,"")</f>
        <v/>
      </c>
      <c r="E130" s="862">
        <f>IFERROR('📈 Cổ Phiếu VN 🔍'!$E$129,0)</f>
        <v/>
      </c>
      <c r="F130" s="862">
        <f>IFERROR('📈 Cổ Phiếu VN 🔍'!$F$129,0)</f>
        <v/>
      </c>
      <c r="G130" s="862">
        <f>IFERROR('📈 Cổ Phiếu VN 🔍'!$G$129,0)</f>
        <v/>
      </c>
      <c r="H130" s="862">
        <f>IFERROR('📈 Cổ Phiếu VN 🔍'!$T$129,0)</f>
        <v/>
      </c>
      <c r="I130" s="863">
        <f>IFERROR(IF('📈 Cổ Phiếu VN 🔍'!$A$129="","",ROUND(3.25+6.56*0.15+3.26*('📈 Cổ Phiếu VN 🔍'!$G$129/100*0.5)+6.72*('📈 Cổ Phiếu VN 🔍'!$G$129/100)+1.05*(1/('📈 Cổ Phiếu VN 🔍'!$T$129+0.5)),2)),"")</f>
        <v/>
      </c>
      <c r="J130" s="863">
        <f>IFERROR(IF('📈 Cổ Phiếu VN 🔍'!$A$129="","",ROUND(-4.84+0.92*(1+0.5*'📈 Cổ Phiếu VN 🔍'!$J$129/100)+0.528*1.02+0.404*1.01+0.892*(1+'📈 Cổ Phiếu VN 🔍'!$J$129/100)+0.115*1.02,2)),"")</f>
        <v/>
      </c>
      <c r="K130" s="863">
        <f>IFERROR(IF('📈 Cổ Phiếu VN 🔍'!$A$129="","",(IF('📈 Cổ Phiếu VN 🔍'!$G$129&gt;0,1,0)+IF('📈 Cổ Phiếu VN 🔍'!$G$129&gt;5,1,0)+IF('📈 Cổ Phiếu VN 🔍'!$G$129&gt;10,1,0)+IF('📈 Cổ Phiếu VN 🔍'!$G$129&gt;15,1,0)+IF('📈 Cổ Phiếu VN 🔍'!$T$129&lt;3,1,0)+IF('📈 Cổ Phiếu VN 🔍'!$T$129&lt;5,1,0)+IF('📈 Cổ Phiếu VN 🔍'!$J$129&gt;0,1,0)+IF('📈 Cổ Phiếu VN 🔍'!$E$129&lt;20,1,0)+IF('📈 Cổ Phiếu VN 🔍'!$E$129&gt;0,1,0))),"")</f>
        <v/>
      </c>
      <c r="L130" s="863">
        <f>IFERROR(IF(I130="","",IF(OR(I130&lt;1.8,J130&gt;-1.78,K130&lt;5),"🔴 CỜ ĐỎ",IF(OR(I130&lt;2.99,J130&gt;-2.22,K130&lt;7),"🟡 Theo dõi","🟢 Sạch"))),"")</f>
        <v/>
      </c>
      <c r="M130" s="863">
        <f>IFERROR(IF(L130="🟢 Sạch","✅ ĐỦ ĐIỀU KIỆN MUA",IF(L130="🟡 Theo dõi","⚠️ Cần xác minh BCTC","❌ LOẠI KHỎI BỘ LỌC")),"")</f>
        <v/>
      </c>
      <c r="N130" s="863">
        <f>IFERROR(IF(M130="✅ ĐỦ ĐIỀU KIỆN MUA",ROUND((I130/3+K130/9-J130/5)*10,1),0),"")</f>
        <v/>
      </c>
    </row>
    <row r="131" ht="15" customHeight="1" s="981">
      <c r="A131" s="861" t="n">
        <v>126</v>
      </c>
      <c r="B131" s="862">
        <f>IFERROR(IF('📈 Cổ Phiếu VN 🔍'!$A$130="","",'📈 Cổ Phiếu VN 🔍'!$A$130),"")</f>
        <v/>
      </c>
      <c r="C131" s="862">
        <f>IFERROR('📈 Cổ Phiếu VN 🔍'!$B$130,"")</f>
        <v/>
      </c>
      <c r="D131" s="862">
        <f>IFERROR('📈 Cổ Phiếu VN 🔍'!$C$130,"")</f>
        <v/>
      </c>
      <c r="E131" s="862">
        <f>IFERROR('📈 Cổ Phiếu VN 🔍'!$E$130,0)</f>
        <v/>
      </c>
      <c r="F131" s="862">
        <f>IFERROR('📈 Cổ Phiếu VN 🔍'!$F$130,0)</f>
        <v/>
      </c>
      <c r="G131" s="862">
        <f>IFERROR('📈 Cổ Phiếu VN 🔍'!$G$130,0)</f>
        <v/>
      </c>
      <c r="H131" s="862">
        <f>IFERROR('📈 Cổ Phiếu VN 🔍'!$T$130,0)</f>
        <v/>
      </c>
      <c r="I131" s="863">
        <f>IFERROR(IF('📈 Cổ Phiếu VN 🔍'!$A$130="","",ROUND(3.25+6.56*0.15+3.26*('📈 Cổ Phiếu VN 🔍'!$G$130/100*0.5)+6.72*('📈 Cổ Phiếu VN 🔍'!$G$130/100)+1.05*(1/('📈 Cổ Phiếu VN 🔍'!$T$130+0.5)),2)),"")</f>
        <v/>
      </c>
      <c r="J131" s="863">
        <f>IFERROR(IF('📈 Cổ Phiếu VN 🔍'!$A$130="","",ROUND(-4.84+0.92*(1+0.5*'📈 Cổ Phiếu VN 🔍'!$J$130/100)+0.528*1.02+0.404*1.01+0.892*(1+'📈 Cổ Phiếu VN 🔍'!$J$130/100)+0.115*1.02,2)),"")</f>
        <v/>
      </c>
      <c r="K131" s="863">
        <f>IFERROR(IF('📈 Cổ Phiếu VN 🔍'!$A$130="","",(IF('📈 Cổ Phiếu VN 🔍'!$G$130&gt;0,1,0)+IF('📈 Cổ Phiếu VN 🔍'!$G$130&gt;5,1,0)+IF('📈 Cổ Phiếu VN 🔍'!$G$130&gt;10,1,0)+IF('📈 Cổ Phiếu VN 🔍'!$G$130&gt;15,1,0)+IF('📈 Cổ Phiếu VN 🔍'!$T$130&lt;3,1,0)+IF('📈 Cổ Phiếu VN 🔍'!$T$130&lt;5,1,0)+IF('📈 Cổ Phiếu VN 🔍'!$J$130&gt;0,1,0)+IF('📈 Cổ Phiếu VN 🔍'!$E$130&lt;20,1,0)+IF('📈 Cổ Phiếu VN 🔍'!$E$130&gt;0,1,0))),"")</f>
        <v/>
      </c>
      <c r="L131" s="863">
        <f>IFERROR(IF(I131="","",IF(OR(I131&lt;1.8,J131&gt;-1.78,K131&lt;5),"🔴 CỜ ĐỎ",IF(OR(I131&lt;2.99,J131&gt;-2.22,K131&lt;7),"🟡 Theo dõi","🟢 Sạch"))),"")</f>
        <v/>
      </c>
      <c r="M131" s="863">
        <f>IFERROR(IF(L131="🟢 Sạch","✅ ĐỦ ĐIỀU KIỆN MUA",IF(L131="🟡 Theo dõi","⚠️ Cần xác minh BCTC","❌ LOẠI KHỎI BỘ LỌC")),"")</f>
        <v/>
      </c>
      <c r="N131" s="863">
        <f>IFERROR(IF(M131="✅ ĐỦ ĐIỀU KIỆN MUA",ROUND((I131/3+K131/9-J131/5)*10,1),0),"")</f>
        <v/>
      </c>
    </row>
    <row r="132" ht="15" customHeight="1" s="981">
      <c r="A132" s="861" t="n">
        <v>127</v>
      </c>
      <c r="B132" s="862">
        <f>IFERROR(IF('📈 Cổ Phiếu VN 🔍'!$A$131="","",'📈 Cổ Phiếu VN 🔍'!$A$131),"")</f>
        <v/>
      </c>
      <c r="C132" s="862">
        <f>IFERROR('📈 Cổ Phiếu VN 🔍'!$B$131,"")</f>
        <v/>
      </c>
      <c r="D132" s="862">
        <f>IFERROR('📈 Cổ Phiếu VN 🔍'!$C$131,"")</f>
        <v/>
      </c>
      <c r="E132" s="862">
        <f>IFERROR('📈 Cổ Phiếu VN 🔍'!$E$131,0)</f>
        <v/>
      </c>
      <c r="F132" s="862">
        <f>IFERROR('📈 Cổ Phiếu VN 🔍'!$F$131,0)</f>
        <v/>
      </c>
      <c r="G132" s="862">
        <f>IFERROR('📈 Cổ Phiếu VN 🔍'!$G$131,0)</f>
        <v/>
      </c>
      <c r="H132" s="862">
        <f>IFERROR('📈 Cổ Phiếu VN 🔍'!$T$131,0)</f>
        <v/>
      </c>
      <c r="I132" s="863">
        <f>IFERROR(IF('📈 Cổ Phiếu VN 🔍'!$A$131="","",ROUND(3.25+6.56*0.15+3.26*('📈 Cổ Phiếu VN 🔍'!$G$131/100*0.5)+6.72*('📈 Cổ Phiếu VN 🔍'!$G$131/100)+1.05*(1/('📈 Cổ Phiếu VN 🔍'!$T$131+0.5)),2)),"")</f>
        <v/>
      </c>
      <c r="J132" s="863">
        <f>IFERROR(IF('📈 Cổ Phiếu VN 🔍'!$A$131="","",ROUND(-4.84+0.92*(1+0.5*'📈 Cổ Phiếu VN 🔍'!$J$131/100)+0.528*1.02+0.404*1.01+0.892*(1+'📈 Cổ Phiếu VN 🔍'!$J$131/100)+0.115*1.02,2)),"")</f>
        <v/>
      </c>
      <c r="K132" s="863">
        <f>IFERROR(IF('📈 Cổ Phiếu VN 🔍'!$A$131="","",(IF('📈 Cổ Phiếu VN 🔍'!$G$131&gt;0,1,0)+IF('📈 Cổ Phiếu VN 🔍'!$G$131&gt;5,1,0)+IF('📈 Cổ Phiếu VN 🔍'!$G$131&gt;10,1,0)+IF('📈 Cổ Phiếu VN 🔍'!$G$131&gt;15,1,0)+IF('📈 Cổ Phiếu VN 🔍'!$T$131&lt;3,1,0)+IF('📈 Cổ Phiếu VN 🔍'!$T$131&lt;5,1,0)+IF('📈 Cổ Phiếu VN 🔍'!$J$131&gt;0,1,0)+IF('📈 Cổ Phiếu VN 🔍'!$E$131&lt;20,1,0)+IF('📈 Cổ Phiếu VN 🔍'!$E$131&gt;0,1,0))),"")</f>
        <v/>
      </c>
      <c r="L132" s="863">
        <f>IFERROR(IF(I132="","",IF(OR(I132&lt;1.8,J132&gt;-1.78,K132&lt;5),"🔴 CỜ ĐỎ",IF(OR(I132&lt;2.99,J132&gt;-2.22,K132&lt;7),"🟡 Theo dõi","🟢 Sạch"))),"")</f>
        <v/>
      </c>
      <c r="M132" s="863">
        <f>IFERROR(IF(L132="🟢 Sạch","✅ ĐỦ ĐIỀU KIỆN MUA",IF(L132="🟡 Theo dõi","⚠️ Cần xác minh BCTC","❌ LOẠI KHỎI BỘ LỌC")),"")</f>
        <v/>
      </c>
      <c r="N132" s="863">
        <f>IFERROR(IF(M132="✅ ĐỦ ĐIỀU KIỆN MUA",ROUND((I132/3+K132/9-J132/5)*10,1),0),"")</f>
        <v/>
      </c>
    </row>
    <row r="133" ht="15" customHeight="1" s="981">
      <c r="A133" s="861" t="n">
        <v>128</v>
      </c>
      <c r="B133" s="862">
        <f>IFERROR(IF('📈 Cổ Phiếu VN 🔍'!$A$132="","",'📈 Cổ Phiếu VN 🔍'!$A$132),"")</f>
        <v/>
      </c>
      <c r="C133" s="862">
        <f>IFERROR('📈 Cổ Phiếu VN 🔍'!$B$132,"")</f>
        <v/>
      </c>
      <c r="D133" s="862">
        <f>IFERROR('📈 Cổ Phiếu VN 🔍'!$C$132,"")</f>
        <v/>
      </c>
      <c r="E133" s="862">
        <f>IFERROR('📈 Cổ Phiếu VN 🔍'!$E$132,0)</f>
        <v/>
      </c>
      <c r="F133" s="862">
        <f>IFERROR('📈 Cổ Phiếu VN 🔍'!$F$132,0)</f>
        <v/>
      </c>
      <c r="G133" s="862">
        <f>IFERROR('📈 Cổ Phiếu VN 🔍'!$G$132,0)</f>
        <v/>
      </c>
      <c r="H133" s="862">
        <f>IFERROR('📈 Cổ Phiếu VN 🔍'!$T$132,0)</f>
        <v/>
      </c>
      <c r="I133" s="863">
        <f>IFERROR(IF('📈 Cổ Phiếu VN 🔍'!$A$132="","",ROUND(3.25+6.56*0.15+3.26*('📈 Cổ Phiếu VN 🔍'!$G$132/100*0.5)+6.72*('📈 Cổ Phiếu VN 🔍'!$G$132/100)+1.05*(1/('📈 Cổ Phiếu VN 🔍'!$T$132+0.5)),2)),"")</f>
        <v/>
      </c>
      <c r="J133" s="863">
        <f>IFERROR(IF('📈 Cổ Phiếu VN 🔍'!$A$132="","",ROUND(-4.84+0.92*(1+0.5*'📈 Cổ Phiếu VN 🔍'!$J$132/100)+0.528*1.02+0.404*1.01+0.892*(1+'📈 Cổ Phiếu VN 🔍'!$J$132/100)+0.115*1.02,2)),"")</f>
        <v/>
      </c>
      <c r="K133" s="863">
        <f>IFERROR(IF('📈 Cổ Phiếu VN 🔍'!$A$132="","",(IF('📈 Cổ Phiếu VN 🔍'!$G$132&gt;0,1,0)+IF('📈 Cổ Phiếu VN 🔍'!$G$132&gt;5,1,0)+IF('📈 Cổ Phiếu VN 🔍'!$G$132&gt;10,1,0)+IF('📈 Cổ Phiếu VN 🔍'!$G$132&gt;15,1,0)+IF('📈 Cổ Phiếu VN 🔍'!$T$132&lt;3,1,0)+IF('📈 Cổ Phiếu VN 🔍'!$T$132&lt;5,1,0)+IF('📈 Cổ Phiếu VN 🔍'!$J$132&gt;0,1,0)+IF('📈 Cổ Phiếu VN 🔍'!$E$132&lt;20,1,0)+IF('📈 Cổ Phiếu VN 🔍'!$E$132&gt;0,1,0))),"")</f>
        <v/>
      </c>
      <c r="L133" s="863">
        <f>IFERROR(IF(I133="","",IF(OR(I133&lt;1.8,J133&gt;-1.78,K133&lt;5),"🔴 CỜ ĐỎ",IF(OR(I133&lt;2.99,J133&gt;-2.22,K133&lt;7),"🟡 Theo dõi","🟢 Sạch"))),"")</f>
        <v/>
      </c>
      <c r="M133" s="863">
        <f>IFERROR(IF(L133="🟢 Sạch","✅ ĐỦ ĐIỀU KIỆN MUA",IF(L133="🟡 Theo dõi","⚠️ Cần xác minh BCTC","❌ LOẠI KHỎI BỘ LỌC")),"")</f>
        <v/>
      </c>
      <c r="N133" s="863">
        <f>IFERROR(IF(M133="✅ ĐỦ ĐIỀU KIỆN MUA",ROUND((I133/3+K133/9-J133/5)*10,1),0),"")</f>
        <v/>
      </c>
    </row>
    <row r="134" ht="15" customHeight="1" s="981">
      <c r="A134" s="861" t="n">
        <v>129</v>
      </c>
      <c r="B134" s="862">
        <f>IFERROR(IF('📈 Cổ Phiếu VN 🔍'!$A$133="","",'📈 Cổ Phiếu VN 🔍'!$A$133),"")</f>
        <v/>
      </c>
      <c r="C134" s="862">
        <f>IFERROR('📈 Cổ Phiếu VN 🔍'!$B$133,"")</f>
        <v/>
      </c>
      <c r="D134" s="862">
        <f>IFERROR('📈 Cổ Phiếu VN 🔍'!$C$133,"")</f>
        <v/>
      </c>
      <c r="E134" s="862">
        <f>IFERROR('📈 Cổ Phiếu VN 🔍'!$E$133,0)</f>
        <v/>
      </c>
      <c r="F134" s="862">
        <f>IFERROR('📈 Cổ Phiếu VN 🔍'!$F$133,0)</f>
        <v/>
      </c>
      <c r="G134" s="862">
        <f>IFERROR('📈 Cổ Phiếu VN 🔍'!$G$133,0)</f>
        <v/>
      </c>
      <c r="H134" s="862">
        <f>IFERROR('📈 Cổ Phiếu VN 🔍'!$T$133,0)</f>
        <v/>
      </c>
      <c r="I134" s="863">
        <f>IFERROR(IF('📈 Cổ Phiếu VN 🔍'!$A$133="","",ROUND(3.25+6.56*0.15+3.26*('📈 Cổ Phiếu VN 🔍'!$G$133/100*0.5)+6.72*('📈 Cổ Phiếu VN 🔍'!$G$133/100)+1.05*(1/('📈 Cổ Phiếu VN 🔍'!$T$133+0.5)),2)),"")</f>
        <v/>
      </c>
      <c r="J134" s="863">
        <f>IFERROR(IF('📈 Cổ Phiếu VN 🔍'!$A$133="","",ROUND(-4.84+0.92*(1+0.5*'📈 Cổ Phiếu VN 🔍'!$J$133/100)+0.528*1.02+0.404*1.01+0.892*(1+'📈 Cổ Phiếu VN 🔍'!$J$133/100)+0.115*1.02,2)),"")</f>
        <v/>
      </c>
      <c r="K134" s="863">
        <f>IFERROR(IF('📈 Cổ Phiếu VN 🔍'!$A$133="","",(IF('📈 Cổ Phiếu VN 🔍'!$G$133&gt;0,1,0)+IF('📈 Cổ Phiếu VN 🔍'!$G$133&gt;5,1,0)+IF('📈 Cổ Phiếu VN 🔍'!$G$133&gt;10,1,0)+IF('📈 Cổ Phiếu VN 🔍'!$G$133&gt;15,1,0)+IF('📈 Cổ Phiếu VN 🔍'!$T$133&lt;3,1,0)+IF('📈 Cổ Phiếu VN 🔍'!$T$133&lt;5,1,0)+IF('📈 Cổ Phiếu VN 🔍'!$J$133&gt;0,1,0)+IF('📈 Cổ Phiếu VN 🔍'!$E$133&lt;20,1,0)+IF('📈 Cổ Phiếu VN 🔍'!$E$133&gt;0,1,0))),"")</f>
        <v/>
      </c>
      <c r="L134" s="863">
        <f>IFERROR(IF(I134="","",IF(OR(I134&lt;1.8,J134&gt;-1.78,K134&lt;5),"🔴 CỜ ĐỎ",IF(OR(I134&lt;2.99,J134&gt;-2.22,K134&lt;7),"🟡 Theo dõi","🟢 Sạch"))),"")</f>
        <v/>
      </c>
      <c r="M134" s="863">
        <f>IFERROR(IF(L134="🟢 Sạch","✅ ĐỦ ĐIỀU KIỆN MUA",IF(L134="🟡 Theo dõi","⚠️ Cần xác minh BCTC","❌ LOẠI KHỎI BỘ LỌC")),"")</f>
        <v/>
      </c>
      <c r="N134" s="863">
        <f>IFERROR(IF(M134="✅ ĐỦ ĐIỀU KIỆN MUA",ROUND((I134/3+K134/9-J134/5)*10,1),0),"")</f>
        <v/>
      </c>
    </row>
    <row r="135" ht="15" customHeight="1" s="981">
      <c r="A135" s="861" t="n">
        <v>130</v>
      </c>
      <c r="B135" s="862">
        <f>IFERROR(IF('📈 Cổ Phiếu VN 🔍'!$A$134="","",'📈 Cổ Phiếu VN 🔍'!$A$134),"")</f>
        <v/>
      </c>
      <c r="C135" s="862">
        <f>IFERROR('📈 Cổ Phiếu VN 🔍'!$B$134,"")</f>
        <v/>
      </c>
      <c r="D135" s="862">
        <f>IFERROR('📈 Cổ Phiếu VN 🔍'!$C$134,"")</f>
        <v/>
      </c>
      <c r="E135" s="862">
        <f>IFERROR('📈 Cổ Phiếu VN 🔍'!$E$134,0)</f>
        <v/>
      </c>
      <c r="F135" s="862">
        <f>IFERROR('📈 Cổ Phiếu VN 🔍'!$F$134,0)</f>
        <v/>
      </c>
      <c r="G135" s="862">
        <f>IFERROR('📈 Cổ Phiếu VN 🔍'!$G$134,0)</f>
        <v/>
      </c>
      <c r="H135" s="862">
        <f>IFERROR('📈 Cổ Phiếu VN 🔍'!$T$134,0)</f>
        <v/>
      </c>
      <c r="I135" s="863">
        <f>IFERROR(IF('📈 Cổ Phiếu VN 🔍'!$A$134="","",ROUND(3.25+6.56*0.15+3.26*('📈 Cổ Phiếu VN 🔍'!$G$134/100*0.5)+6.72*('📈 Cổ Phiếu VN 🔍'!$G$134/100)+1.05*(1/('📈 Cổ Phiếu VN 🔍'!$T$134+0.5)),2)),"")</f>
        <v/>
      </c>
      <c r="J135" s="863">
        <f>IFERROR(IF('📈 Cổ Phiếu VN 🔍'!$A$134="","",ROUND(-4.84+0.92*(1+0.5*'📈 Cổ Phiếu VN 🔍'!$J$134/100)+0.528*1.02+0.404*1.01+0.892*(1+'📈 Cổ Phiếu VN 🔍'!$J$134/100)+0.115*1.02,2)),"")</f>
        <v/>
      </c>
      <c r="K135" s="863">
        <f>IFERROR(IF('📈 Cổ Phiếu VN 🔍'!$A$134="","",(IF('📈 Cổ Phiếu VN 🔍'!$G$134&gt;0,1,0)+IF('📈 Cổ Phiếu VN 🔍'!$G$134&gt;5,1,0)+IF('📈 Cổ Phiếu VN 🔍'!$G$134&gt;10,1,0)+IF('📈 Cổ Phiếu VN 🔍'!$G$134&gt;15,1,0)+IF('📈 Cổ Phiếu VN 🔍'!$T$134&lt;3,1,0)+IF('📈 Cổ Phiếu VN 🔍'!$T$134&lt;5,1,0)+IF('📈 Cổ Phiếu VN 🔍'!$J$134&gt;0,1,0)+IF('📈 Cổ Phiếu VN 🔍'!$E$134&lt;20,1,0)+IF('📈 Cổ Phiếu VN 🔍'!$E$134&gt;0,1,0))),"")</f>
        <v/>
      </c>
      <c r="L135" s="863">
        <f>IFERROR(IF(I135="","",IF(OR(I135&lt;1.8,J135&gt;-1.78,K135&lt;5),"🔴 CỜ ĐỎ",IF(OR(I135&lt;2.99,J135&gt;-2.22,K135&lt;7),"🟡 Theo dõi","🟢 Sạch"))),"")</f>
        <v/>
      </c>
      <c r="M135" s="863">
        <f>IFERROR(IF(L135="🟢 Sạch","✅ ĐỦ ĐIỀU KIỆN MUA",IF(L135="🟡 Theo dõi","⚠️ Cần xác minh BCTC","❌ LOẠI KHỎI BỘ LỌC")),"")</f>
        <v/>
      </c>
      <c r="N135" s="863">
        <f>IFERROR(IF(M135="✅ ĐỦ ĐIỀU KIỆN MUA",ROUND((I135/3+K135/9-J135/5)*10,1),0),"")</f>
        <v/>
      </c>
    </row>
    <row r="136" ht="15" customHeight="1" s="981">
      <c r="A136" s="861" t="n">
        <v>131</v>
      </c>
      <c r="B136" s="862">
        <f>IFERROR(IF('📈 Cổ Phiếu VN 🔍'!$A$135="","",'📈 Cổ Phiếu VN 🔍'!$A$135),"")</f>
        <v/>
      </c>
      <c r="C136" s="862">
        <f>IFERROR('📈 Cổ Phiếu VN 🔍'!$B$135,"")</f>
        <v/>
      </c>
      <c r="D136" s="862">
        <f>IFERROR('📈 Cổ Phiếu VN 🔍'!$C$135,"")</f>
        <v/>
      </c>
      <c r="E136" s="862">
        <f>IFERROR('📈 Cổ Phiếu VN 🔍'!$E$135,0)</f>
        <v/>
      </c>
      <c r="F136" s="862">
        <f>IFERROR('📈 Cổ Phiếu VN 🔍'!$F$135,0)</f>
        <v/>
      </c>
      <c r="G136" s="862">
        <f>IFERROR('📈 Cổ Phiếu VN 🔍'!$G$135,0)</f>
        <v/>
      </c>
      <c r="H136" s="862">
        <f>IFERROR('📈 Cổ Phiếu VN 🔍'!$T$135,0)</f>
        <v/>
      </c>
      <c r="I136" s="863">
        <f>IFERROR(IF('📈 Cổ Phiếu VN 🔍'!$A$135="","",ROUND(3.25+6.56*0.15+3.26*('📈 Cổ Phiếu VN 🔍'!$G$135/100*0.5)+6.72*('📈 Cổ Phiếu VN 🔍'!$G$135/100)+1.05*(1/('📈 Cổ Phiếu VN 🔍'!$T$135+0.5)),2)),"")</f>
        <v/>
      </c>
      <c r="J136" s="863">
        <f>IFERROR(IF('📈 Cổ Phiếu VN 🔍'!$A$135="","",ROUND(-4.84+0.92*(1+0.5*'📈 Cổ Phiếu VN 🔍'!$J$135/100)+0.528*1.02+0.404*1.01+0.892*(1+'📈 Cổ Phiếu VN 🔍'!$J$135/100)+0.115*1.02,2)),"")</f>
        <v/>
      </c>
      <c r="K136" s="863">
        <f>IFERROR(IF('📈 Cổ Phiếu VN 🔍'!$A$135="","",(IF('📈 Cổ Phiếu VN 🔍'!$G$135&gt;0,1,0)+IF('📈 Cổ Phiếu VN 🔍'!$G$135&gt;5,1,0)+IF('📈 Cổ Phiếu VN 🔍'!$G$135&gt;10,1,0)+IF('📈 Cổ Phiếu VN 🔍'!$G$135&gt;15,1,0)+IF('📈 Cổ Phiếu VN 🔍'!$T$135&lt;3,1,0)+IF('📈 Cổ Phiếu VN 🔍'!$T$135&lt;5,1,0)+IF('📈 Cổ Phiếu VN 🔍'!$J$135&gt;0,1,0)+IF('📈 Cổ Phiếu VN 🔍'!$E$135&lt;20,1,0)+IF('📈 Cổ Phiếu VN 🔍'!$E$135&gt;0,1,0))),"")</f>
        <v/>
      </c>
      <c r="L136" s="863">
        <f>IFERROR(IF(I136="","",IF(OR(I136&lt;1.8,J136&gt;-1.78,K136&lt;5),"🔴 CỜ ĐỎ",IF(OR(I136&lt;2.99,J136&gt;-2.22,K136&lt;7),"🟡 Theo dõi","🟢 Sạch"))),"")</f>
        <v/>
      </c>
      <c r="M136" s="863">
        <f>IFERROR(IF(L136="🟢 Sạch","✅ ĐỦ ĐIỀU KIỆN MUA",IF(L136="🟡 Theo dõi","⚠️ Cần xác minh BCTC","❌ LOẠI KHỎI BỘ LỌC")),"")</f>
        <v/>
      </c>
      <c r="N136" s="863">
        <f>IFERROR(IF(M136="✅ ĐỦ ĐIỀU KIỆN MUA",ROUND((I136/3+K136/9-J136/5)*10,1),0),"")</f>
        <v/>
      </c>
    </row>
    <row r="137" ht="15" customHeight="1" s="981">
      <c r="A137" s="861" t="n">
        <v>132</v>
      </c>
      <c r="B137" s="862">
        <f>IFERROR(IF('📈 Cổ Phiếu VN 🔍'!$A$136="","",'📈 Cổ Phiếu VN 🔍'!$A$136),"")</f>
        <v/>
      </c>
      <c r="C137" s="862">
        <f>IFERROR('📈 Cổ Phiếu VN 🔍'!$B$136,"")</f>
        <v/>
      </c>
      <c r="D137" s="862">
        <f>IFERROR('📈 Cổ Phiếu VN 🔍'!$C$136,"")</f>
        <v/>
      </c>
      <c r="E137" s="862">
        <f>IFERROR('📈 Cổ Phiếu VN 🔍'!$E$136,0)</f>
        <v/>
      </c>
      <c r="F137" s="862">
        <f>IFERROR('📈 Cổ Phiếu VN 🔍'!$F$136,0)</f>
        <v/>
      </c>
      <c r="G137" s="862">
        <f>IFERROR('📈 Cổ Phiếu VN 🔍'!$G$136,0)</f>
        <v/>
      </c>
      <c r="H137" s="862">
        <f>IFERROR('📈 Cổ Phiếu VN 🔍'!$T$136,0)</f>
        <v/>
      </c>
      <c r="I137" s="863">
        <f>IFERROR(IF('📈 Cổ Phiếu VN 🔍'!$A$136="","",ROUND(3.25+6.56*0.15+3.26*('📈 Cổ Phiếu VN 🔍'!$G$136/100*0.5)+6.72*('📈 Cổ Phiếu VN 🔍'!$G$136/100)+1.05*(1/('📈 Cổ Phiếu VN 🔍'!$T$136+0.5)),2)),"")</f>
        <v/>
      </c>
      <c r="J137" s="863">
        <f>IFERROR(IF('📈 Cổ Phiếu VN 🔍'!$A$136="","",ROUND(-4.84+0.92*(1+0.5*'📈 Cổ Phiếu VN 🔍'!$J$136/100)+0.528*1.02+0.404*1.01+0.892*(1+'📈 Cổ Phiếu VN 🔍'!$J$136/100)+0.115*1.02,2)),"")</f>
        <v/>
      </c>
      <c r="K137" s="863">
        <f>IFERROR(IF('📈 Cổ Phiếu VN 🔍'!$A$136="","",(IF('📈 Cổ Phiếu VN 🔍'!$G$136&gt;0,1,0)+IF('📈 Cổ Phiếu VN 🔍'!$G$136&gt;5,1,0)+IF('📈 Cổ Phiếu VN 🔍'!$G$136&gt;10,1,0)+IF('📈 Cổ Phiếu VN 🔍'!$G$136&gt;15,1,0)+IF('📈 Cổ Phiếu VN 🔍'!$T$136&lt;3,1,0)+IF('📈 Cổ Phiếu VN 🔍'!$T$136&lt;5,1,0)+IF('📈 Cổ Phiếu VN 🔍'!$J$136&gt;0,1,0)+IF('📈 Cổ Phiếu VN 🔍'!$E$136&lt;20,1,0)+IF('📈 Cổ Phiếu VN 🔍'!$E$136&gt;0,1,0))),"")</f>
        <v/>
      </c>
      <c r="L137" s="863">
        <f>IFERROR(IF(I137="","",IF(OR(I137&lt;1.8,J137&gt;-1.78,K137&lt;5),"🔴 CỜ ĐỎ",IF(OR(I137&lt;2.99,J137&gt;-2.22,K137&lt;7),"🟡 Theo dõi","🟢 Sạch"))),"")</f>
        <v/>
      </c>
      <c r="M137" s="863">
        <f>IFERROR(IF(L137="🟢 Sạch","✅ ĐỦ ĐIỀU KIỆN MUA",IF(L137="🟡 Theo dõi","⚠️ Cần xác minh BCTC","❌ LOẠI KHỎI BỘ LỌC")),"")</f>
        <v/>
      </c>
      <c r="N137" s="863">
        <f>IFERROR(IF(M137="✅ ĐỦ ĐIỀU KIỆN MUA",ROUND((I137/3+K137/9-J137/5)*10,1),0),"")</f>
        <v/>
      </c>
    </row>
    <row r="138" ht="15" customHeight="1" s="981">
      <c r="A138" s="861" t="n">
        <v>133</v>
      </c>
      <c r="B138" s="862">
        <f>IFERROR(IF('📈 Cổ Phiếu VN 🔍'!$A$137="","",'📈 Cổ Phiếu VN 🔍'!$A$137),"")</f>
        <v/>
      </c>
      <c r="C138" s="862">
        <f>IFERROR('📈 Cổ Phiếu VN 🔍'!$B$137,"")</f>
        <v/>
      </c>
      <c r="D138" s="862">
        <f>IFERROR('📈 Cổ Phiếu VN 🔍'!$C$137,"")</f>
        <v/>
      </c>
      <c r="E138" s="862">
        <f>IFERROR('📈 Cổ Phiếu VN 🔍'!$E$137,0)</f>
        <v/>
      </c>
      <c r="F138" s="862">
        <f>IFERROR('📈 Cổ Phiếu VN 🔍'!$F$137,0)</f>
        <v/>
      </c>
      <c r="G138" s="862">
        <f>IFERROR('📈 Cổ Phiếu VN 🔍'!$G$137,0)</f>
        <v/>
      </c>
      <c r="H138" s="862">
        <f>IFERROR('📈 Cổ Phiếu VN 🔍'!$T$137,0)</f>
        <v/>
      </c>
      <c r="I138" s="863">
        <f>IFERROR(IF('📈 Cổ Phiếu VN 🔍'!$A$137="","",ROUND(3.25+6.56*0.15+3.26*('📈 Cổ Phiếu VN 🔍'!$G$137/100*0.5)+6.72*('📈 Cổ Phiếu VN 🔍'!$G$137/100)+1.05*(1/('📈 Cổ Phiếu VN 🔍'!$T$137+0.5)),2)),"")</f>
        <v/>
      </c>
      <c r="J138" s="863">
        <f>IFERROR(IF('📈 Cổ Phiếu VN 🔍'!$A$137="","",ROUND(-4.84+0.92*(1+0.5*'📈 Cổ Phiếu VN 🔍'!$J$137/100)+0.528*1.02+0.404*1.01+0.892*(1+'📈 Cổ Phiếu VN 🔍'!$J$137/100)+0.115*1.02,2)),"")</f>
        <v/>
      </c>
      <c r="K138" s="863">
        <f>IFERROR(IF('📈 Cổ Phiếu VN 🔍'!$A$137="","",(IF('📈 Cổ Phiếu VN 🔍'!$G$137&gt;0,1,0)+IF('📈 Cổ Phiếu VN 🔍'!$G$137&gt;5,1,0)+IF('📈 Cổ Phiếu VN 🔍'!$G$137&gt;10,1,0)+IF('📈 Cổ Phiếu VN 🔍'!$G$137&gt;15,1,0)+IF('📈 Cổ Phiếu VN 🔍'!$T$137&lt;3,1,0)+IF('📈 Cổ Phiếu VN 🔍'!$T$137&lt;5,1,0)+IF('📈 Cổ Phiếu VN 🔍'!$J$137&gt;0,1,0)+IF('📈 Cổ Phiếu VN 🔍'!$E$137&lt;20,1,0)+IF('📈 Cổ Phiếu VN 🔍'!$E$137&gt;0,1,0))),"")</f>
        <v/>
      </c>
      <c r="L138" s="863">
        <f>IFERROR(IF(I138="","",IF(OR(I138&lt;1.8,J138&gt;-1.78,K138&lt;5),"🔴 CỜ ĐỎ",IF(OR(I138&lt;2.99,J138&gt;-2.22,K138&lt;7),"🟡 Theo dõi","🟢 Sạch"))),"")</f>
        <v/>
      </c>
      <c r="M138" s="863">
        <f>IFERROR(IF(L138="🟢 Sạch","✅ ĐỦ ĐIỀU KIỆN MUA",IF(L138="🟡 Theo dõi","⚠️ Cần xác minh BCTC","❌ LOẠI KHỎI BỘ LỌC")),"")</f>
        <v/>
      </c>
      <c r="N138" s="863">
        <f>IFERROR(IF(M138="✅ ĐỦ ĐIỀU KIỆN MUA",ROUND((I138/3+K138/9-J138/5)*10,1),0),"")</f>
        <v/>
      </c>
    </row>
    <row r="139" ht="15" customHeight="1" s="981">
      <c r="A139" s="861" t="n">
        <v>134</v>
      </c>
      <c r="B139" s="862">
        <f>IFERROR(IF('📈 Cổ Phiếu VN 🔍'!$A$138="","",'📈 Cổ Phiếu VN 🔍'!$A$138),"")</f>
        <v/>
      </c>
      <c r="C139" s="862">
        <f>IFERROR('📈 Cổ Phiếu VN 🔍'!$B$138,"")</f>
        <v/>
      </c>
      <c r="D139" s="862">
        <f>IFERROR('📈 Cổ Phiếu VN 🔍'!$C$138,"")</f>
        <v/>
      </c>
      <c r="E139" s="862">
        <f>IFERROR('📈 Cổ Phiếu VN 🔍'!$E$138,0)</f>
        <v/>
      </c>
      <c r="F139" s="862">
        <f>IFERROR('📈 Cổ Phiếu VN 🔍'!$F$138,0)</f>
        <v/>
      </c>
      <c r="G139" s="862">
        <f>IFERROR('📈 Cổ Phiếu VN 🔍'!$G$138,0)</f>
        <v/>
      </c>
      <c r="H139" s="862">
        <f>IFERROR('📈 Cổ Phiếu VN 🔍'!$T$138,0)</f>
        <v/>
      </c>
      <c r="I139" s="863">
        <f>IFERROR(IF('📈 Cổ Phiếu VN 🔍'!$A$138="","",ROUND(3.25+6.56*0.15+3.26*('📈 Cổ Phiếu VN 🔍'!$G$138/100*0.5)+6.72*('📈 Cổ Phiếu VN 🔍'!$G$138/100)+1.05*(1/('📈 Cổ Phiếu VN 🔍'!$T$138+0.5)),2)),"")</f>
        <v/>
      </c>
      <c r="J139" s="863">
        <f>IFERROR(IF('📈 Cổ Phiếu VN 🔍'!$A$138="","",ROUND(-4.84+0.92*(1+0.5*'📈 Cổ Phiếu VN 🔍'!$J$138/100)+0.528*1.02+0.404*1.01+0.892*(1+'📈 Cổ Phiếu VN 🔍'!$J$138/100)+0.115*1.02,2)),"")</f>
        <v/>
      </c>
      <c r="K139" s="863">
        <f>IFERROR(IF('📈 Cổ Phiếu VN 🔍'!$A$138="","",(IF('📈 Cổ Phiếu VN 🔍'!$G$138&gt;0,1,0)+IF('📈 Cổ Phiếu VN 🔍'!$G$138&gt;5,1,0)+IF('📈 Cổ Phiếu VN 🔍'!$G$138&gt;10,1,0)+IF('📈 Cổ Phiếu VN 🔍'!$G$138&gt;15,1,0)+IF('📈 Cổ Phiếu VN 🔍'!$T$138&lt;3,1,0)+IF('📈 Cổ Phiếu VN 🔍'!$T$138&lt;5,1,0)+IF('📈 Cổ Phiếu VN 🔍'!$J$138&gt;0,1,0)+IF('📈 Cổ Phiếu VN 🔍'!$E$138&lt;20,1,0)+IF('📈 Cổ Phiếu VN 🔍'!$E$138&gt;0,1,0))),"")</f>
        <v/>
      </c>
      <c r="L139" s="863">
        <f>IFERROR(IF(I139="","",IF(OR(I139&lt;1.8,J139&gt;-1.78,K139&lt;5),"🔴 CỜ ĐỎ",IF(OR(I139&lt;2.99,J139&gt;-2.22,K139&lt;7),"🟡 Theo dõi","🟢 Sạch"))),"")</f>
        <v/>
      </c>
      <c r="M139" s="863">
        <f>IFERROR(IF(L139="🟢 Sạch","✅ ĐỦ ĐIỀU KIỆN MUA",IF(L139="🟡 Theo dõi","⚠️ Cần xác minh BCTC","❌ LOẠI KHỎI BỘ LỌC")),"")</f>
        <v/>
      </c>
      <c r="N139" s="863">
        <f>IFERROR(IF(M139="✅ ĐỦ ĐIỀU KIỆN MUA",ROUND((I139/3+K139/9-J139/5)*10,1),0),"")</f>
        <v/>
      </c>
    </row>
    <row r="140" ht="15" customHeight="1" s="981">
      <c r="A140" s="861" t="n">
        <v>135</v>
      </c>
      <c r="B140" s="862">
        <f>IFERROR(IF('📈 Cổ Phiếu VN 🔍'!$A$139="","",'📈 Cổ Phiếu VN 🔍'!$A$139),"")</f>
        <v/>
      </c>
      <c r="C140" s="862">
        <f>IFERROR('📈 Cổ Phiếu VN 🔍'!$B$139,"")</f>
        <v/>
      </c>
      <c r="D140" s="862">
        <f>IFERROR('📈 Cổ Phiếu VN 🔍'!$C$139,"")</f>
        <v/>
      </c>
      <c r="E140" s="862">
        <f>IFERROR('📈 Cổ Phiếu VN 🔍'!$E$139,0)</f>
        <v/>
      </c>
      <c r="F140" s="862">
        <f>IFERROR('📈 Cổ Phiếu VN 🔍'!$F$139,0)</f>
        <v/>
      </c>
      <c r="G140" s="862">
        <f>IFERROR('📈 Cổ Phiếu VN 🔍'!$G$139,0)</f>
        <v/>
      </c>
      <c r="H140" s="862">
        <f>IFERROR('📈 Cổ Phiếu VN 🔍'!$T$139,0)</f>
        <v/>
      </c>
      <c r="I140" s="863">
        <f>IFERROR(IF('📈 Cổ Phiếu VN 🔍'!$A$139="","",ROUND(3.25+6.56*0.15+3.26*('📈 Cổ Phiếu VN 🔍'!$G$139/100*0.5)+6.72*('📈 Cổ Phiếu VN 🔍'!$G$139/100)+1.05*(1/('📈 Cổ Phiếu VN 🔍'!$T$139+0.5)),2)),"")</f>
        <v/>
      </c>
      <c r="J140" s="863">
        <f>IFERROR(IF('📈 Cổ Phiếu VN 🔍'!$A$139="","",ROUND(-4.84+0.92*(1+0.5*'📈 Cổ Phiếu VN 🔍'!$J$139/100)+0.528*1.02+0.404*1.01+0.892*(1+'📈 Cổ Phiếu VN 🔍'!$J$139/100)+0.115*1.02,2)),"")</f>
        <v/>
      </c>
      <c r="K140" s="863">
        <f>IFERROR(IF('📈 Cổ Phiếu VN 🔍'!$A$139="","",(IF('📈 Cổ Phiếu VN 🔍'!$G$139&gt;0,1,0)+IF('📈 Cổ Phiếu VN 🔍'!$G$139&gt;5,1,0)+IF('📈 Cổ Phiếu VN 🔍'!$G$139&gt;10,1,0)+IF('📈 Cổ Phiếu VN 🔍'!$G$139&gt;15,1,0)+IF('📈 Cổ Phiếu VN 🔍'!$T$139&lt;3,1,0)+IF('📈 Cổ Phiếu VN 🔍'!$T$139&lt;5,1,0)+IF('📈 Cổ Phiếu VN 🔍'!$J$139&gt;0,1,0)+IF('📈 Cổ Phiếu VN 🔍'!$E$139&lt;20,1,0)+IF('📈 Cổ Phiếu VN 🔍'!$E$139&gt;0,1,0))),"")</f>
        <v/>
      </c>
      <c r="L140" s="863">
        <f>IFERROR(IF(I140="","",IF(OR(I140&lt;1.8,J140&gt;-1.78,K140&lt;5),"🔴 CỜ ĐỎ",IF(OR(I140&lt;2.99,J140&gt;-2.22,K140&lt;7),"🟡 Theo dõi","🟢 Sạch"))),"")</f>
        <v/>
      </c>
      <c r="M140" s="863">
        <f>IFERROR(IF(L140="🟢 Sạch","✅ ĐỦ ĐIỀU KIỆN MUA",IF(L140="🟡 Theo dõi","⚠️ Cần xác minh BCTC","❌ LOẠI KHỎI BỘ LỌC")),"")</f>
        <v/>
      </c>
      <c r="N140" s="863">
        <f>IFERROR(IF(M140="✅ ĐỦ ĐIỀU KIỆN MUA",ROUND((I140/3+K140/9-J140/5)*10,1),0),"")</f>
        <v/>
      </c>
    </row>
    <row r="141" ht="15" customHeight="1" s="981">
      <c r="A141" s="861" t="n">
        <v>136</v>
      </c>
      <c r="B141" s="862">
        <f>IFERROR(IF('📈 Cổ Phiếu VN 🔍'!$A$140="","",'📈 Cổ Phiếu VN 🔍'!$A$140),"")</f>
        <v/>
      </c>
      <c r="C141" s="862">
        <f>IFERROR('📈 Cổ Phiếu VN 🔍'!$B$140,"")</f>
        <v/>
      </c>
      <c r="D141" s="862">
        <f>IFERROR('📈 Cổ Phiếu VN 🔍'!$C$140,"")</f>
        <v/>
      </c>
      <c r="E141" s="862">
        <f>IFERROR('📈 Cổ Phiếu VN 🔍'!$E$140,0)</f>
        <v/>
      </c>
      <c r="F141" s="862">
        <f>IFERROR('📈 Cổ Phiếu VN 🔍'!$F$140,0)</f>
        <v/>
      </c>
      <c r="G141" s="862">
        <f>IFERROR('📈 Cổ Phiếu VN 🔍'!$G$140,0)</f>
        <v/>
      </c>
      <c r="H141" s="862">
        <f>IFERROR('📈 Cổ Phiếu VN 🔍'!$T$140,0)</f>
        <v/>
      </c>
      <c r="I141" s="863">
        <f>IFERROR(IF('📈 Cổ Phiếu VN 🔍'!$A$140="","",ROUND(3.25+6.56*0.15+3.26*('📈 Cổ Phiếu VN 🔍'!$G$140/100*0.5)+6.72*('📈 Cổ Phiếu VN 🔍'!$G$140/100)+1.05*(1/('📈 Cổ Phiếu VN 🔍'!$T$140+0.5)),2)),"")</f>
        <v/>
      </c>
      <c r="J141" s="863">
        <f>IFERROR(IF('📈 Cổ Phiếu VN 🔍'!$A$140="","",ROUND(-4.84+0.92*(1+0.5*'📈 Cổ Phiếu VN 🔍'!$J$140/100)+0.528*1.02+0.404*1.01+0.892*(1+'📈 Cổ Phiếu VN 🔍'!$J$140/100)+0.115*1.02,2)),"")</f>
        <v/>
      </c>
      <c r="K141" s="863">
        <f>IFERROR(IF('📈 Cổ Phiếu VN 🔍'!$A$140="","",(IF('📈 Cổ Phiếu VN 🔍'!$G$140&gt;0,1,0)+IF('📈 Cổ Phiếu VN 🔍'!$G$140&gt;5,1,0)+IF('📈 Cổ Phiếu VN 🔍'!$G$140&gt;10,1,0)+IF('📈 Cổ Phiếu VN 🔍'!$G$140&gt;15,1,0)+IF('📈 Cổ Phiếu VN 🔍'!$T$140&lt;3,1,0)+IF('📈 Cổ Phiếu VN 🔍'!$T$140&lt;5,1,0)+IF('📈 Cổ Phiếu VN 🔍'!$J$140&gt;0,1,0)+IF('📈 Cổ Phiếu VN 🔍'!$E$140&lt;20,1,0)+IF('📈 Cổ Phiếu VN 🔍'!$E$140&gt;0,1,0))),"")</f>
        <v/>
      </c>
      <c r="L141" s="863">
        <f>IFERROR(IF(I141="","",IF(OR(I141&lt;1.8,J141&gt;-1.78,K141&lt;5),"🔴 CỜ ĐỎ",IF(OR(I141&lt;2.99,J141&gt;-2.22,K141&lt;7),"🟡 Theo dõi","🟢 Sạch"))),"")</f>
        <v/>
      </c>
      <c r="M141" s="863">
        <f>IFERROR(IF(L141="🟢 Sạch","✅ ĐỦ ĐIỀU KIỆN MUA",IF(L141="🟡 Theo dõi","⚠️ Cần xác minh BCTC","❌ LOẠI KHỎI BỘ LỌC")),"")</f>
        <v/>
      </c>
      <c r="N141" s="863">
        <f>IFERROR(IF(M141="✅ ĐỦ ĐIỀU KIỆN MUA",ROUND((I141/3+K141/9-J141/5)*10,1),0),"")</f>
        <v/>
      </c>
    </row>
    <row r="142" ht="15" customHeight="1" s="981">
      <c r="A142" s="861" t="n">
        <v>137</v>
      </c>
      <c r="B142" s="862">
        <f>IFERROR(IF('📈 Cổ Phiếu VN 🔍'!$A$141="","",'📈 Cổ Phiếu VN 🔍'!$A$141),"")</f>
        <v/>
      </c>
      <c r="C142" s="862">
        <f>IFERROR('📈 Cổ Phiếu VN 🔍'!$B$141,"")</f>
        <v/>
      </c>
      <c r="D142" s="862">
        <f>IFERROR('📈 Cổ Phiếu VN 🔍'!$C$141,"")</f>
        <v/>
      </c>
      <c r="E142" s="862">
        <f>IFERROR('📈 Cổ Phiếu VN 🔍'!$E$141,0)</f>
        <v/>
      </c>
      <c r="F142" s="862">
        <f>IFERROR('📈 Cổ Phiếu VN 🔍'!$F$141,0)</f>
        <v/>
      </c>
      <c r="G142" s="862">
        <f>IFERROR('📈 Cổ Phiếu VN 🔍'!$G$141,0)</f>
        <v/>
      </c>
      <c r="H142" s="862">
        <f>IFERROR('📈 Cổ Phiếu VN 🔍'!$T$141,0)</f>
        <v/>
      </c>
      <c r="I142" s="863">
        <f>IFERROR(IF('📈 Cổ Phiếu VN 🔍'!$A$141="","",ROUND(3.25+6.56*0.15+3.26*('📈 Cổ Phiếu VN 🔍'!$G$141/100*0.5)+6.72*('📈 Cổ Phiếu VN 🔍'!$G$141/100)+1.05*(1/('📈 Cổ Phiếu VN 🔍'!$T$141+0.5)),2)),"")</f>
        <v/>
      </c>
      <c r="J142" s="863">
        <f>IFERROR(IF('📈 Cổ Phiếu VN 🔍'!$A$141="","",ROUND(-4.84+0.92*(1+0.5*'📈 Cổ Phiếu VN 🔍'!$J$141/100)+0.528*1.02+0.404*1.01+0.892*(1+'📈 Cổ Phiếu VN 🔍'!$J$141/100)+0.115*1.02,2)),"")</f>
        <v/>
      </c>
      <c r="K142" s="863">
        <f>IFERROR(IF('📈 Cổ Phiếu VN 🔍'!$A$141="","",(IF('📈 Cổ Phiếu VN 🔍'!$G$141&gt;0,1,0)+IF('📈 Cổ Phiếu VN 🔍'!$G$141&gt;5,1,0)+IF('📈 Cổ Phiếu VN 🔍'!$G$141&gt;10,1,0)+IF('📈 Cổ Phiếu VN 🔍'!$G$141&gt;15,1,0)+IF('📈 Cổ Phiếu VN 🔍'!$T$141&lt;3,1,0)+IF('📈 Cổ Phiếu VN 🔍'!$T$141&lt;5,1,0)+IF('📈 Cổ Phiếu VN 🔍'!$J$141&gt;0,1,0)+IF('📈 Cổ Phiếu VN 🔍'!$E$141&lt;20,1,0)+IF('📈 Cổ Phiếu VN 🔍'!$E$141&gt;0,1,0))),"")</f>
        <v/>
      </c>
      <c r="L142" s="863">
        <f>IFERROR(IF(I142="","",IF(OR(I142&lt;1.8,J142&gt;-1.78,K142&lt;5),"🔴 CỜ ĐỎ",IF(OR(I142&lt;2.99,J142&gt;-2.22,K142&lt;7),"🟡 Theo dõi","🟢 Sạch"))),"")</f>
        <v/>
      </c>
      <c r="M142" s="863">
        <f>IFERROR(IF(L142="🟢 Sạch","✅ ĐỦ ĐIỀU KIỆN MUA",IF(L142="🟡 Theo dõi","⚠️ Cần xác minh BCTC","❌ LOẠI KHỎI BỘ LỌC")),"")</f>
        <v/>
      </c>
      <c r="N142" s="863">
        <f>IFERROR(IF(M142="✅ ĐỦ ĐIỀU KIỆN MUA",ROUND((I142/3+K142/9-J142/5)*10,1),0),"")</f>
        <v/>
      </c>
    </row>
    <row r="143" ht="15" customHeight="1" s="981">
      <c r="A143" s="861" t="n">
        <v>138</v>
      </c>
      <c r="B143" s="862">
        <f>IFERROR(IF('📈 Cổ Phiếu VN 🔍'!$A$142="","",'📈 Cổ Phiếu VN 🔍'!$A$142),"")</f>
        <v/>
      </c>
      <c r="C143" s="862">
        <f>IFERROR('📈 Cổ Phiếu VN 🔍'!$B$142,"")</f>
        <v/>
      </c>
      <c r="D143" s="862">
        <f>IFERROR('📈 Cổ Phiếu VN 🔍'!$C$142,"")</f>
        <v/>
      </c>
      <c r="E143" s="862">
        <f>IFERROR('📈 Cổ Phiếu VN 🔍'!$E$142,0)</f>
        <v/>
      </c>
      <c r="F143" s="862">
        <f>IFERROR('📈 Cổ Phiếu VN 🔍'!$F$142,0)</f>
        <v/>
      </c>
      <c r="G143" s="862">
        <f>IFERROR('📈 Cổ Phiếu VN 🔍'!$G$142,0)</f>
        <v/>
      </c>
      <c r="H143" s="862">
        <f>IFERROR('📈 Cổ Phiếu VN 🔍'!$T$142,0)</f>
        <v/>
      </c>
      <c r="I143" s="863">
        <f>IFERROR(IF('📈 Cổ Phiếu VN 🔍'!$A$142="","",ROUND(3.25+6.56*0.15+3.26*('📈 Cổ Phiếu VN 🔍'!$G$142/100*0.5)+6.72*('📈 Cổ Phiếu VN 🔍'!$G$142/100)+1.05*(1/('📈 Cổ Phiếu VN 🔍'!$T$142+0.5)),2)),"")</f>
        <v/>
      </c>
      <c r="J143" s="863">
        <f>IFERROR(IF('📈 Cổ Phiếu VN 🔍'!$A$142="","",ROUND(-4.84+0.92*(1+0.5*'📈 Cổ Phiếu VN 🔍'!$J$142/100)+0.528*1.02+0.404*1.01+0.892*(1+'📈 Cổ Phiếu VN 🔍'!$J$142/100)+0.115*1.02,2)),"")</f>
        <v/>
      </c>
      <c r="K143" s="863">
        <f>IFERROR(IF('📈 Cổ Phiếu VN 🔍'!$A$142="","",(IF('📈 Cổ Phiếu VN 🔍'!$G$142&gt;0,1,0)+IF('📈 Cổ Phiếu VN 🔍'!$G$142&gt;5,1,0)+IF('📈 Cổ Phiếu VN 🔍'!$G$142&gt;10,1,0)+IF('📈 Cổ Phiếu VN 🔍'!$G$142&gt;15,1,0)+IF('📈 Cổ Phiếu VN 🔍'!$T$142&lt;3,1,0)+IF('📈 Cổ Phiếu VN 🔍'!$T$142&lt;5,1,0)+IF('📈 Cổ Phiếu VN 🔍'!$J$142&gt;0,1,0)+IF('📈 Cổ Phiếu VN 🔍'!$E$142&lt;20,1,0)+IF('📈 Cổ Phiếu VN 🔍'!$E$142&gt;0,1,0))),"")</f>
        <v/>
      </c>
      <c r="L143" s="863">
        <f>IFERROR(IF(I143="","",IF(OR(I143&lt;1.8,J143&gt;-1.78,K143&lt;5),"🔴 CỜ ĐỎ",IF(OR(I143&lt;2.99,J143&gt;-2.22,K143&lt;7),"🟡 Theo dõi","🟢 Sạch"))),"")</f>
        <v/>
      </c>
      <c r="M143" s="863">
        <f>IFERROR(IF(L143="🟢 Sạch","✅ ĐỦ ĐIỀU KIỆN MUA",IF(L143="🟡 Theo dõi","⚠️ Cần xác minh BCTC","❌ LOẠI KHỎI BỘ LỌC")),"")</f>
        <v/>
      </c>
      <c r="N143" s="863">
        <f>IFERROR(IF(M143="✅ ĐỦ ĐIỀU KIỆN MUA",ROUND((I143/3+K143/9-J143/5)*10,1),0),"")</f>
        <v/>
      </c>
    </row>
    <row r="144" ht="15" customHeight="1" s="981">
      <c r="A144" s="861" t="n">
        <v>139</v>
      </c>
      <c r="B144" s="862">
        <f>IFERROR(IF('📈 Cổ Phiếu VN 🔍'!$A$143="","",'📈 Cổ Phiếu VN 🔍'!$A$143),"")</f>
        <v/>
      </c>
      <c r="C144" s="862">
        <f>IFERROR('📈 Cổ Phiếu VN 🔍'!$B$143,"")</f>
        <v/>
      </c>
      <c r="D144" s="862">
        <f>IFERROR('📈 Cổ Phiếu VN 🔍'!$C$143,"")</f>
        <v/>
      </c>
      <c r="E144" s="862">
        <f>IFERROR('📈 Cổ Phiếu VN 🔍'!$E$143,0)</f>
        <v/>
      </c>
      <c r="F144" s="862">
        <f>IFERROR('📈 Cổ Phiếu VN 🔍'!$F$143,0)</f>
        <v/>
      </c>
      <c r="G144" s="862">
        <f>IFERROR('📈 Cổ Phiếu VN 🔍'!$G$143,0)</f>
        <v/>
      </c>
      <c r="H144" s="862">
        <f>IFERROR('📈 Cổ Phiếu VN 🔍'!$T$143,0)</f>
        <v/>
      </c>
      <c r="I144" s="863">
        <f>IFERROR(IF('📈 Cổ Phiếu VN 🔍'!$A$143="","",ROUND(3.25+6.56*0.15+3.26*('📈 Cổ Phiếu VN 🔍'!$G$143/100*0.5)+6.72*('📈 Cổ Phiếu VN 🔍'!$G$143/100)+1.05*(1/('📈 Cổ Phiếu VN 🔍'!$T$143+0.5)),2)),"")</f>
        <v/>
      </c>
      <c r="J144" s="863">
        <f>IFERROR(IF('📈 Cổ Phiếu VN 🔍'!$A$143="","",ROUND(-4.84+0.92*(1+0.5*'📈 Cổ Phiếu VN 🔍'!$J$143/100)+0.528*1.02+0.404*1.01+0.892*(1+'📈 Cổ Phiếu VN 🔍'!$J$143/100)+0.115*1.02,2)),"")</f>
        <v/>
      </c>
      <c r="K144" s="863">
        <f>IFERROR(IF('📈 Cổ Phiếu VN 🔍'!$A$143="","",(IF('📈 Cổ Phiếu VN 🔍'!$G$143&gt;0,1,0)+IF('📈 Cổ Phiếu VN 🔍'!$G$143&gt;5,1,0)+IF('📈 Cổ Phiếu VN 🔍'!$G$143&gt;10,1,0)+IF('📈 Cổ Phiếu VN 🔍'!$G$143&gt;15,1,0)+IF('📈 Cổ Phiếu VN 🔍'!$T$143&lt;3,1,0)+IF('📈 Cổ Phiếu VN 🔍'!$T$143&lt;5,1,0)+IF('📈 Cổ Phiếu VN 🔍'!$J$143&gt;0,1,0)+IF('📈 Cổ Phiếu VN 🔍'!$E$143&lt;20,1,0)+IF('📈 Cổ Phiếu VN 🔍'!$E$143&gt;0,1,0))),"")</f>
        <v/>
      </c>
      <c r="L144" s="863">
        <f>IFERROR(IF(I144="","",IF(OR(I144&lt;1.8,J144&gt;-1.78,K144&lt;5),"🔴 CỜ ĐỎ",IF(OR(I144&lt;2.99,J144&gt;-2.22,K144&lt;7),"🟡 Theo dõi","🟢 Sạch"))),"")</f>
        <v/>
      </c>
      <c r="M144" s="863">
        <f>IFERROR(IF(L144="🟢 Sạch","✅ ĐỦ ĐIỀU KIỆN MUA",IF(L144="🟡 Theo dõi","⚠️ Cần xác minh BCTC","❌ LOẠI KHỎI BỘ LỌC")),"")</f>
        <v/>
      </c>
      <c r="N144" s="863">
        <f>IFERROR(IF(M144="✅ ĐỦ ĐIỀU KIỆN MUA",ROUND((I144/3+K144/9-J144/5)*10,1),0),"")</f>
        <v/>
      </c>
    </row>
    <row r="145" ht="15" customHeight="1" s="981">
      <c r="A145" s="861" t="n">
        <v>140</v>
      </c>
      <c r="B145" s="862">
        <f>IFERROR(IF('📈 Cổ Phiếu VN 🔍'!$A$144="","",'📈 Cổ Phiếu VN 🔍'!$A$144),"")</f>
        <v/>
      </c>
      <c r="C145" s="862">
        <f>IFERROR('📈 Cổ Phiếu VN 🔍'!$B$144,"")</f>
        <v/>
      </c>
      <c r="D145" s="862">
        <f>IFERROR('📈 Cổ Phiếu VN 🔍'!$C$144,"")</f>
        <v/>
      </c>
      <c r="E145" s="862">
        <f>IFERROR('📈 Cổ Phiếu VN 🔍'!$E$144,0)</f>
        <v/>
      </c>
      <c r="F145" s="862">
        <f>IFERROR('📈 Cổ Phiếu VN 🔍'!$F$144,0)</f>
        <v/>
      </c>
      <c r="G145" s="862">
        <f>IFERROR('📈 Cổ Phiếu VN 🔍'!$G$144,0)</f>
        <v/>
      </c>
      <c r="H145" s="862">
        <f>IFERROR('📈 Cổ Phiếu VN 🔍'!$T$144,0)</f>
        <v/>
      </c>
      <c r="I145" s="863">
        <f>IFERROR(IF('📈 Cổ Phiếu VN 🔍'!$A$144="","",ROUND(3.25+6.56*0.15+3.26*('📈 Cổ Phiếu VN 🔍'!$G$144/100*0.5)+6.72*('📈 Cổ Phiếu VN 🔍'!$G$144/100)+1.05*(1/('📈 Cổ Phiếu VN 🔍'!$T$144+0.5)),2)),"")</f>
        <v/>
      </c>
      <c r="J145" s="863">
        <f>IFERROR(IF('📈 Cổ Phiếu VN 🔍'!$A$144="","",ROUND(-4.84+0.92*(1+0.5*'📈 Cổ Phiếu VN 🔍'!$J$144/100)+0.528*1.02+0.404*1.01+0.892*(1+'📈 Cổ Phiếu VN 🔍'!$J$144/100)+0.115*1.02,2)),"")</f>
        <v/>
      </c>
      <c r="K145" s="863">
        <f>IFERROR(IF('📈 Cổ Phiếu VN 🔍'!$A$144="","",(IF('📈 Cổ Phiếu VN 🔍'!$G$144&gt;0,1,0)+IF('📈 Cổ Phiếu VN 🔍'!$G$144&gt;5,1,0)+IF('📈 Cổ Phiếu VN 🔍'!$G$144&gt;10,1,0)+IF('📈 Cổ Phiếu VN 🔍'!$G$144&gt;15,1,0)+IF('📈 Cổ Phiếu VN 🔍'!$T$144&lt;3,1,0)+IF('📈 Cổ Phiếu VN 🔍'!$T$144&lt;5,1,0)+IF('📈 Cổ Phiếu VN 🔍'!$J$144&gt;0,1,0)+IF('📈 Cổ Phiếu VN 🔍'!$E$144&lt;20,1,0)+IF('📈 Cổ Phiếu VN 🔍'!$E$144&gt;0,1,0))),"")</f>
        <v/>
      </c>
      <c r="L145" s="863">
        <f>IFERROR(IF(I145="","",IF(OR(I145&lt;1.8,J145&gt;-1.78,K145&lt;5),"🔴 CỜ ĐỎ",IF(OR(I145&lt;2.99,J145&gt;-2.22,K145&lt;7),"🟡 Theo dõi","🟢 Sạch"))),"")</f>
        <v/>
      </c>
      <c r="M145" s="863">
        <f>IFERROR(IF(L145="🟢 Sạch","✅ ĐỦ ĐIỀU KIỆN MUA",IF(L145="🟡 Theo dõi","⚠️ Cần xác minh BCTC","❌ LOẠI KHỎI BỘ LỌC")),"")</f>
        <v/>
      </c>
      <c r="N145" s="863">
        <f>IFERROR(IF(M145="✅ ĐỦ ĐIỀU KIỆN MUA",ROUND((I145/3+K145/9-J145/5)*10,1),0),"")</f>
        <v/>
      </c>
    </row>
    <row r="146" ht="15" customHeight="1" s="981">
      <c r="A146" s="861" t="n">
        <v>141</v>
      </c>
      <c r="B146" s="862">
        <f>IFERROR(IF('📈 Cổ Phiếu VN 🔍'!$A$145="","",'📈 Cổ Phiếu VN 🔍'!$A$145),"")</f>
        <v/>
      </c>
      <c r="C146" s="862">
        <f>IFERROR('📈 Cổ Phiếu VN 🔍'!$B$145,"")</f>
        <v/>
      </c>
      <c r="D146" s="862">
        <f>IFERROR('📈 Cổ Phiếu VN 🔍'!$C$145,"")</f>
        <v/>
      </c>
      <c r="E146" s="862">
        <f>IFERROR('📈 Cổ Phiếu VN 🔍'!$E$145,0)</f>
        <v/>
      </c>
      <c r="F146" s="862">
        <f>IFERROR('📈 Cổ Phiếu VN 🔍'!$F$145,0)</f>
        <v/>
      </c>
      <c r="G146" s="862">
        <f>IFERROR('📈 Cổ Phiếu VN 🔍'!$G$145,0)</f>
        <v/>
      </c>
      <c r="H146" s="862">
        <f>IFERROR('📈 Cổ Phiếu VN 🔍'!$T$145,0)</f>
        <v/>
      </c>
      <c r="I146" s="863">
        <f>IFERROR(IF('📈 Cổ Phiếu VN 🔍'!$A$145="","",ROUND(3.25+6.56*0.15+3.26*('📈 Cổ Phiếu VN 🔍'!$G$145/100*0.5)+6.72*('📈 Cổ Phiếu VN 🔍'!$G$145/100)+1.05*(1/('📈 Cổ Phiếu VN 🔍'!$T$145+0.5)),2)),"")</f>
        <v/>
      </c>
      <c r="J146" s="863">
        <f>IFERROR(IF('📈 Cổ Phiếu VN 🔍'!$A$145="","",ROUND(-4.84+0.92*(1+0.5*'📈 Cổ Phiếu VN 🔍'!$J$145/100)+0.528*1.02+0.404*1.01+0.892*(1+'📈 Cổ Phiếu VN 🔍'!$J$145/100)+0.115*1.02,2)),"")</f>
        <v/>
      </c>
      <c r="K146" s="863">
        <f>IFERROR(IF('📈 Cổ Phiếu VN 🔍'!$A$145="","",(IF('📈 Cổ Phiếu VN 🔍'!$G$145&gt;0,1,0)+IF('📈 Cổ Phiếu VN 🔍'!$G$145&gt;5,1,0)+IF('📈 Cổ Phiếu VN 🔍'!$G$145&gt;10,1,0)+IF('📈 Cổ Phiếu VN 🔍'!$G$145&gt;15,1,0)+IF('📈 Cổ Phiếu VN 🔍'!$T$145&lt;3,1,0)+IF('📈 Cổ Phiếu VN 🔍'!$T$145&lt;5,1,0)+IF('📈 Cổ Phiếu VN 🔍'!$J$145&gt;0,1,0)+IF('📈 Cổ Phiếu VN 🔍'!$E$145&lt;20,1,0)+IF('📈 Cổ Phiếu VN 🔍'!$E$145&gt;0,1,0))),"")</f>
        <v/>
      </c>
      <c r="L146" s="863">
        <f>IFERROR(IF(I146="","",IF(OR(I146&lt;1.8,J146&gt;-1.78,K146&lt;5),"🔴 CỜ ĐỎ",IF(OR(I146&lt;2.99,J146&gt;-2.22,K146&lt;7),"🟡 Theo dõi","🟢 Sạch"))),"")</f>
        <v/>
      </c>
      <c r="M146" s="863">
        <f>IFERROR(IF(L146="🟢 Sạch","✅ ĐỦ ĐIỀU KIỆN MUA",IF(L146="🟡 Theo dõi","⚠️ Cần xác minh BCTC","❌ LOẠI KHỎI BỘ LỌC")),"")</f>
        <v/>
      </c>
      <c r="N146" s="863">
        <f>IFERROR(IF(M146="✅ ĐỦ ĐIỀU KIỆN MUA",ROUND((I146/3+K146/9-J146/5)*10,1),0),"")</f>
        <v/>
      </c>
    </row>
    <row r="147" ht="15" customHeight="1" s="981">
      <c r="A147" s="861" t="n">
        <v>142</v>
      </c>
      <c r="B147" s="862">
        <f>IFERROR(IF('📈 Cổ Phiếu VN 🔍'!$A$146="","",'📈 Cổ Phiếu VN 🔍'!$A$146),"")</f>
        <v/>
      </c>
      <c r="C147" s="862">
        <f>IFERROR('📈 Cổ Phiếu VN 🔍'!$B$146,"")</f>
        <v/>
      </c>
      <c r="D147" s="862">
        <f>IFERROR('📈 Cổ Phiếu VN 🔍'!$C$146,"")</f>
        <v/>
      </c>
      <c r="E147" s="862">
        <f>IFERROR('📈 Cổ Phiếu VN 🔍'!$E$146,0)</f>
        <v/>
      </c>
      <c r="F147" s="862">
        <f>IFERROR('📈 Cổ Phiếu VN 🔍'!$F$146,0)</f>
        <v/>
      </c>
      <c r="G147" s="862">
        <f>IFERROR('📈 Cổ Phiếu VN 🔍'!$G$146,0)</f>
        <v/>
      </c>
      <c r="H147" s="862">
        <f>IFERROR('📈 Cổ Phiếu VN 🔍'!$T$146,0)</f>
        <v/>
      </c>
      <c r="I147" s="863">
        <f>IFERROR(IF('📈 Cổ Phiếu VN 🔍'!$A$146="","",ROUND(3.25+6.56*0.15+3.26*('📈 Cổ Phiếu VN 🔍'!$G$146/100*0.5)+6.72*('📈 Cổ Phiếu VN 🔍'!$G$146/100)+1.05*(1/('📈 Cổ Phiếu VN 🔍'!$T$146+0.5)),2)),"")</f>
        <v/>
      </c>
      <c r="J147" s="863">
        <f>IFERROR(IF('📈 Cổ Phiếu VN 🔍'!$A$146="","",ROUND(-4.84+0.92*(1+0.5*'📈 Cổ Phiếu VN 🔍'!$J$146/100)+0.528*1.02+0.404*1.01+0.892*(1+'📈 Cổ Phiếu VN 🔍'!$J$146/100)+0.115*1.02,2)),"")</f>
        <v/>
      </c>
      <c r="K147" s="863">
        <f>IFERROR(IF('📈 Cổ Phiếu VN 🔍'!$A$146="","",(IF('📈 Cổ Phiếu VN 🔍'!$G$146&gt;0,1,0)+IF('📈 Cổ Phiếu VN 🔍'!$G$146&gt;5,1,0)+IF('📈 Cổ Phiếu VN 🔍'!$G$146&gt;10,1,0)+IF('📈 Cổ Phiếu VN 🔍'!$G$146&gt;15,1,0)+IF('📈 Cổ Phiếu VN 🔍'!$T$146&lt;3,1,0)+IF('📈 Cổ Phiếu VN 🔍'!$T$146&lt;5,1,0)+IF('📈 Cổ Phiếu VN 🔍'!$J$146&gt;0,1,0)+IF('📈 Cổ Phiếu VN 🔍'!$E$146&lt;20,1,0)+IF('📈 Cổ Phiếu VN 🔍'!$E$146&gt;0,1,0))),"")</f>
        <v/>
      </c>
      <c r="L147" s="863">
        <f>IFERROR(IF(I147="","",IF(OR(I147&lt;1.8,J147&gt;-1.78,K147&lt;5),"🔴 CỜ ĐỎ",IF(OR(I147&lt;2.99,J147&gt;-2.22,K147&lt;7),"🟡 Theo dõi","🟢 Sạch"))),"")</f>
        <v/>
      </c>
      <c r="M147" s="863">
        <f>IFERROR(IF(L147="🟢 Sạch","✅ ĐỦ ĐIỀU KIỆN MUA",IF(L147="🟡 Theo dõi","⚠️ Cần xác minh BCTC","❌ LOẠI KHỎI BỘ LỌC")),"")</f>
        <v/>
      </c>
      <c r="N147" s="863">
        <f>IFERROR(IF(M147="✅ ĐỦ ĐIỀU KIỆN MUA",ROUND((I147/3+K147/9-J147/5)*10,1),0),"")</f>
        <v/>
      </c>
    </row>
    <row r="148" ht="15" customHeight="1" s="981">
      <c r="A148" s="861" t="n">
        <v>143</v>
      </c>
      <c r="B148" s="862">
        <f>IFERROR(IF('📈 Cổ Phiếu VN 🔍'!$A$147="","",'📈 Cổ Phiếu VN 🔍'!$A$147),"")</f>
        <v/>
      </c>
      <c r="C148" s="862">
        <f>IFERROR('📈 Cổ Phiếu VN 🔍'!$B$147,"")</f>
        <v/>
      </c>
      <c r="D148" s="862">
        <f>IFERROR('📈 Cổ Phiếu VN 🔍'!$C$147,"")</f>
        <v/>
      </c>
      <c r="E148" s="862">
        <f>IFERROR('📈 Cổ Phiếu VN 🔍'!$E$147,0)</f>
        <v/>
      </c>
      <c r="F148" s="862">
        <f>IFERROR('📈 Cổ Phiếu VN 🔍'!$F$147,0)</f>
        <v/>
      </c>
      <c r="G148" s="862">
        <f>IFERROR('📈 Cổ Phiếu VN 🔍'!$G$147,0)</f>
        <v/>
      </c>
      <c r="H148" s="862">
        <f>IFERROR('📈 Cổ Phiếu VN 🔍'!$T$147,0)</f>
        <v/>
      </c>
      <c r="I148" s="863">
        <f>IFERROR(IF('📈 Cổ Phiếu VN 🔍'!$A$147="","",ROUND(3.25+6.56*0.15+3.26*('📈 Cổ Phiếu VN 🔍'!$G$147/100*0.5)+6.72*('📈 Cổ Phiếu VN 🔍'!$G$147/100)+1.05*(1/('📈 Cổ Phiếu VN 🔍'!$T$147+0.5)),2)),"")</f>
        <v/>
      </c>
      <c r="J148" s="863">
        <f>IFERROR(IF('📈 Cổ Phiếu VN 🔍'!$A$147="","",ROUND(-4.84+0.92*(1+0.5*'📈 Cổ Phiếu VN 🔍'!$J$147/100)+0.528*1.02+0.404*1.01+0.892*(1+'📈 Cổ Phiếu VN 🔍'!$J$147/100)+0.115*1.02,2)),"")</f>
        <v/>
      </c>
      <c r="K148" s="863">
        <f>IFERROR(IF('📈 Cổ Phiếu VN 🔍'!$A$147="","",(IF('📈 Cổ Phiếu VN 🔍'!$G$147&gt;0,1,0)+IF('📈 Cổ Phiếu VN 🔍'!$G$147&gt;5,1,0)+IF('📈 Cổ Phiếu VN 🔍'!$G$147&gt;10,1,0)+IF('📈 Cổ Phiếu VN 🔍'!$G$147&gt;15,1,0)+IF('📈 Cổ Phiếu VN 🔍'!$T$147&lt;3,1,0)+IF('📈 Cổ Phiếu VN 🔍'!$T$147&lt;5,1,0)+IF('📈 Cổ Phiếu VN 🔍'!$J$147&gt;0,1,0)+IF('📈 Cổ Phiếu VN 🔍'!$E$147&lt;20,1,0)+IF('📈 Cổ Phiếu VN 🔍'!$E$147&gt;0,1,0))),"")</f>
        <v/>
      </c>
      <c r="L148" s="863">
        <f>IFERROR(IF(I148="","",IF(OR(I148&lt;1.8,J148&gt;-1.78,K148&lt;5),"🔴 CỜ ĐỎ",IF(OR(I148&lt;2.99,J148&gt;-2.22,K148&lt;7),"🟡 Theo dõi","🟢 Sạch"))),"")</f>
        <v/>
      </c>
      <c r="M148" s="863">
        <f>IFERROR(IF(L148="🟢 Sạch","✅ ĐỦ ĐIỀU KIỆN MUA",IF(L148="🟡 Theo dõi","⚠️ Cần xác minh BCTC","❌ LOẠI KHỎI BỘ LỌC")),"")</f>
        <v/>
      </c>
      <c r="N148" s="863">
        <f>IFERROR(IF(M148="✅ ĐỦ ĐIỀU KIỆN MUA",ROUND((I148/3+K148/9-J148/5)*10,1),0),"")</f>
        <v/>
      </c>
    </row>
    <row r="149" ht="15" customHeight="1" s="981">
      <c r="A149" s="861" t="n">
        <v>144</v>
      </c>
      <c r="B149" s="862">
        <f>IFERROR(IF('📈 Cổ Phiếu VN 🔍'!$A$148="","",'📈 Cổ Phiếu VN 🔍'!$A$148),"")</f>
        <v/>
      </c>
      <c r="C149" s="862">
        <f>IFERROR('📈 Cổ Phiếu VN 🔍'!$B$148,"")</f>
        <v/>
      </c>
      <c r="D149" s="862">
        <f>IFERROR('📈 Cổ Phiếu VN 🔍'!$C$148,"")</f>
        <v/>
      </c>
      <c r="E149" s="862">
        <f>IFERROR('📈 Cổ Phiếu VN 🔍'!$E$148,0)</f>
        <v/>
      </c>
      <c r="F149" s="862">
        <f>IFERROR('📈 Cổ Phiếu VN 🔍'!$F$148,0)</f>
        <v/>
      </c>
      <c r="G149" s="862">
        <f>IFERROR('📈 Cổ Phiếu VN 🔍'!$G$148,0)</f>
        <v/>
      </c>
      <c r="H149" s="862">
        <f>IFERROR('📈 Cổ Phiếu VN 🔍'!$T$148,0)</f>
        <v/>
      </c>
      <c r="I149" s="863">
        <f>IFERROR(IF('📈 Cổ Phiếu VN 🔍'!$A$148="","",ROUND(3.25+6.56*0.15+3.26*('📈 Cổ Phiếu VN 🔍'!$G$148/100*0.5)+6.72*('📈 Cổ Phiếu VN 🔍'!$G$148/100)+1.05*(1/('📈 Cổ Phiếu VN 🔍'!$T$148+0.5)),2)),"")</f>
        <v/>
      </c>
      <c r="J149" s="863">
        <f>IFERROR(IF('📈 Cổ Phiếu VN 🔍'!$A$148="","",ROUND(-4.84+0.92*(1+0.5*'📈 Cổ Phiếu VN 🔍'!$J$148/100)+0.528*1.02+0.404*1.01+0.892*(1+'📈 Cổ Phiếu VN 🔍'!$J$148/100)+0.115*1.02,2)),"")</f>
        <v/>
      </c>
      <c r="K149" s="863">
        <f>IFERROR(IF('📈 Cổ Phiếu VN 🔍'!$A$148="","",(IF('📈 Cổ Phiếu VN 🔍'!$G$148&gt;0,1,0)+IF('📈 Cổ Phiếu VN 🔍'!$G$148&gt;5,1,0)+IF('📈 Cổ Phiếu VN 🔍'!$G$148&gt;10,1,0)+IF('📈 Cổ Phiếu VN 🔍'!$G$148&gt;15,1,0)+IF('📈 Cổ Phiếu VN 🔍'!$T$148&lt;3,1,0)+IF('📈 Cổ Phiếu VN 🔍'!$T$148&lt;5,1,0)+IF('📈 Cổ Phiếu VN 🔍'!$J$148&gt;0,1,0)+IF('📈 Cổ Phiếu VN 🔍'!$E$148&lt;20,1,0)+IF('📈 Cổ Phiếu VN 🔍'!$E$148&gt;0,1,0))),"")</f>
        <v/>
      </c>
      <c r="L149" s="863">
        <f>IFERROR(IF(I149="","",IF(OR(I149&lt;1.8,J149&gt;-1.78,K149&lt;5),"🔴 CỜ ĐỎ",IF(OR(I149&lt;2.99,J149&gt;-2.22,K149&lt;7),"🟡 Theo dõi","🟢 Sạch"))),"")</f>
        <v/>
      </c>
      <c r="M149" s="863">
        <f>IFERROR(IF(L149="🟢 Sạch","✅ ĐỦ ĐIỀU KIỆN MUA",IF(L149="🟡 Theo dõi","⚠️ Cần xác minh BCTC","❌ LOẠI KHỎI BỘ LỌC")),"")</f>
        <v/>
      </c>
      <c r="N149" s="863">
        <f>IFERROR(IF(M149="✅ ĐỦ ĐIỀU KIỆN MUA",ROUND((I149/3+K149/9-J149/5)*10,1),0),"")</f>
        <v/>
      </c>
    </row>
    <row r="150" ht="15" customHeight="1" s="981">
      <c r="A150" s="861" t="n">
        <v>145</v>
      </c>
      <c r="B150" s="862">
        <f>IFERROR(IF('📈 Cổ Phiếu VN 🔍'!$A$149="","",'📈 Cổ Phiếu VN 🔍'!$A$149),"")</f>
        <v/>
      </c>
      <c r="C150" s="862">
        <f>IFERROR('📈 Cổ Phiếu VN 🔍'!$B$149,"")</f>
        <v/>
      </c>
      <c r="D150" s="862">
        <f>IFERROR('📈 Cổ Phiếu VN 🔍'!$C$149,"")</f>
        <v/>
      </c>
      <c r="E150" s="862">
        <f>IFERROR('📈 Cổ Phiếu VN 🔍'!$E$149,0)</f>
        <v/>
      </c>
      <c r="F150" s="862">
        <f>IFERROR('📈 Cổ Phiếu VN 🔍'!$F$149,0)</f>
        <v/>
      </c>
      <c r="G150" s="862">
        <f>IFERROR('📈 Cổ Phiếu VN 🔍'!$G$149,0)</f>
        <v/>
      </c>
      <c r="H150" s="862">
        <f>IFERROR('📈 Cổ Phiếu VN 🔍'!$T$149,0)</f>
        <v/>
      </c>
      <c r="I150" s="863">
        <f>IFERROR(IF('📈 Cổ Phiếu VN 🔍'!$A$149="","",ROUND(3.25+6.56*0.15+3.26*('📈 Cổ Phiếu VN 🔍'!$G$149/100*0.5)+6.72*('📈 Cổ Phiếu VN 🔍'!$G$149/100)+1.05*(1/('📈 Cổ Phiếu VN 🔍'!$T$149+0.5)),2)),"")</f>
        <v/>
      </c>
      <c r="J150" s="863">
        <f>IFERROR(IF('📈 Cổ Phiếu VN 🔍'!$A$149="","",ROUND(-4.84+0.92*(1+0.5*'📈 Cổ Phiếu VN 🔍'!$J$149/100)+0.528*1.02+0.404*1.01+0.892*(1+'📈 Cổ Phiếu VN 🔍'!$J$149/100)+0.115*1.02,2)),"")</f>
        <v/>
      </c>
      <c r="K150" s="863">
        <f>IFERROR(IF('📈 Cổ Phiếu VN 🔍'!$A$149="","",(IF('📈 Cổ Phiếu VN 🔍'!$G$149&gt;0,1,0)+IF('📈 Cổ Phiếu VN 🔍'!$G$149&gt;5,1,0)+IF('📈 Cổ Phiếu VN 🔍'!$G$149&gt;10,1,0)+IF('📈 Cổ Phiếu VN 🔍'!$G$149&gt;15,1,0)+IF('📈 Cổ Phiếu VN 🔍'!$T$149&lt;3,1,0)+IF('📈 Cổ Phiếu VN 🔍'!$T$149&lt;5,1,0)+IF('📈 Cổ Phiếu VN 🔍'!$J$149&gt;0,1,0)+IF('📈 Cổ Phiếu VN 🔍'!$E$149&lt;20,1,0)+IF('📈 Cổ Phiếu VN 🔍'!$E$149&gt;0,1,0))),"")</f>
        <v/>
      </c>
      <c r="L150" s="863">
        <f>IFERROR(IF(I150="","",IF(OR(I150&lt;1.8,J150&gt;-1.78,K150&lt;5),"🔴 CỜ ĐỎ",IF(OR(I150&lt;2.99,J150&gt;-2.22,K150&lt;7),"🟡 Theo dõi","🟢 Sạch"))),"")</f>
        <v/>
      </c>
      <c r="M150" s="863">
        <f>IFERROR(IF(L150="🟢 Sạch","✅ ĐỦ ĐIỀU KIỆN MUA",IF(L150="🟡 Theo dõi","⚠️ Cần xác minh BCTC","❌ LOẠI KHỎI BỘ LỌC")),"")</f>
        <v/>
      </c>
      <c r="N150" s="863">
        <f>IFERROR(IF(M150="✅ ĐỦ ĐIỀU KIỆN MUA",ROUND((I150/3+K150/9-J150/5)*10,1),0),"")</f>
        <v/>
      </c>
    </row>
    <row r="151" ht="15" customHeight="1" s="981">
      <c r="A151" s="861" t="n">
        <v>146</v>
      </c>
      <c r="B151" s="862">
        <f>IFERROR(IF('📈 Cổ Phiếu VN 🔍'!$A$150="","",'📈 Cổ Phiếu VN 🔍'!$A$150),"")</f>
        <v/>
      </c>
      <c r="C151" s="862">
        <f>IFERROR('📈 Cổ Phiếu VN 🔍'!$B$150,"")</f>
        <v/>
      </c>
      <c r="D151" s="862">
        <f>IFERROR('📈 Cổ Phiếu VN 🔍'!$C$150,"")</f>
        <v/>
      </c>
      <c r="E151" s="862">
        <f>IFERROR('📈 Cổ Phiếu VN 🔍'!$E$150,0)</f>
        <v/>
      </c>
      <c r="F151" s="862">
        <f>IFERROR('📈 Cổ Phiếu VN 🔍'!$F$150,0)</f>
        <v/>
      </c>
      <c r="G151" s="862">
        <f>IFERROR('📈 Cổ Phiếu VN 🔍'!$G$150,0)</f>
        <v/>
      </c>
      <c r="H151" s="862">
        <f>IFERROR('📈 Cổ Phiếu VN 🔍'!$T$150,0)</f>
        <v/>
      </c>
      <c r="I151" s="863">
        <f>IFERROR(IF('📈 Cổ Phiếu VN 🔍'!$A$150="","",ROUND(3.25+6.56*0.15+3.26*('📈 Cổ Phiếu VN 🔍'!$G$150/100*0.5)+6.72*('📈 Cổ Phiếu VN 🔍'!$G$150/100)+1.05*(1/('📈 Cổ Phiếu VN 🔍'!$T$150+0.5)),2)),"")</f>
        <v/>
      </c>
      <c r="J151" s="863">
        <f>IFERROR(IF('📈 Cổ Phiếu VN 🔍'!$A$150="","",ROUND(-4.84+0.92*(1+0.5*'📈 Cổ Phiếu VN 🔍'!$J$150/100)+0.528*1.02+0.404*1.01+0.892*(1+'📈 Cổ Phiếu VN 🔍'!$J$150/100)+0.115*1.02,2)),"")</f>
        <v/>
      </c>
      <c r="K151" s="863">
        <f>IFERROR(IF('📈 Cổ Phiếu VN 🔍'!$A$150="","",(IF('📈 Cổ Phiếu VN 🔍'!$G$150&gt;0,1,0)+IF('📈 Cổ Phiếu VN 🔍'!$G$150&gt;5,1,0)+IF('📈 Cổ Phiếu VN 🔍'!$G$150&gt;10,1,0)+IF('📈 Cổ Phiếu VN 🔍'!$G$150&gt;15,1,0)+IF('📈 Cổ Phiếu VN 🔍'!$T$150&lt;3,1,0)+IF('📈 Cổ Phiếu VN 🔍'!$T$150&lt;5,1,0)+IF('📈 Cổ Phiếu VN 🔍'!$J$150&gt;0,1,0)+IF('📈 Cổ Phiếu VN 🔍'!$E$150&lt;20,1,0)+IF('📈 Cổ Phiếu VN 🔍'!$E$150&gt;0,1,0))),"")</f>
        <v/>
      </c>
      <c r="L151" s="863">
        <f>IFERROR(IF(I151="","",IF(OR(I151&lt;1.8,J151&gt;-1.78,K151&lt;5),"🔴 CỜ ĐỎ",IF(OR(I151&lt;2.99,J151&gt;-2.22,K151&lt;7),"🟡 Theo dõi","🟢 Sạch"))),"")</f>
        <v/>
      </c>
      <c r="M151" s="863">
        <f>IFERROR(IF(L151="🟢 Sạch","✅ ĐỦ ĐIỀU KIỆN MUA",IF(L151="🟡 Theo dõi","⚠️ Cần xác minh BCTC","❌ LOẠI KHỎI BỘ LỌC")),"")</f>
        <v/>
      </c>
      <c r="N151" s="863">
        <f>IFERROR(IF(M151="✅ ĐỦ ĐIỀU KIỆN MUA",ROUND((I151/3+K151/9-J151/5)*10,1),0),"")</f>
        <v/>
      </c>
    </row>
    <row r="152" ht="15" customHeight="1" s="981">
      <c r="A152" s="861" t="n">
        <v>147</v>
      </c>
      <c r="B152" s="862">
        <f>IFERROR(IF('📈 Cổ Phiếu VN 🔍'!$A$151="","",'📈 Cổ Phiếu VN 🔍'!$A$151),"")</f>
        <v/>
      </c>
      <c r="C152" s="862">
        <f>IFERROR('📈 Cổ Phiếu VN 🔍'!$B$151,"")</f>
        <v/>
      </c>
      <c r="D152" s="862">
        <f>IFERROR('📈 Cổ Phiếu VN 🔍'!$C$151,"")</f>
        <v/>
      </c>
      <c r="E152" s="862">
        <f>IFERROR('📈 Cổ Phiếu VN 🔍'!$E$151,0)</f>
        <v/>
      </c>
      <c r="F152" s="862">
        <f>IFERROR('📈 Cổ Phiếu VN 🔍'!$F$151,0)</f>
        <v/>
      </c>
      <c r="G152" s="862">
        <f>IFERROR('📈 Cổ Phiếu VN 🔍'!$G$151,0)</f>
        <v/>
      </c>
      <c r="H152" s="862">
        <f>IFERROR('📈 Cổ Phiếu VN 🔍'!$T$151,0)</f>
        <v/>
      </c>
      <c r="I152" s="863">
        <f>IFERROR(IF('📈 Cổ Phiếu VN 🔍'!$A$151="","",ROUND(3.25+6.56*0.15+3.26*('📈 Cổ Phiếu VN 🔍'!$G$151/100*0.5)+6.72*('📈 Cổ Phiếu VN 🔍'!$G$151/100)+1.05*(1/('📈 Cổ Phiếu VN 🔍'!$T$151+0.5)),2)),"")</f>
        <v/>
      </c>
      <c r="J152" s="863">
        <f>IFERROR(IF('📈 Cổ Phiếu VN 🔍'!$A$151="","",ROUND(-4.84+0.92*(1+0.5*'📈 Cổ Phiếu VN 🔍'!$J$151/100)+0.528*1.02+0.404*1.01+0.892*(1+'📈 Cổ Phiếu VN 🔍'!$J$151/100)+0.115*1.02,2)),"")</f>
        <v/>
      </c>
      <c r="K152" s="863">
        <f>IFERROR(IF('📈 Cổ Phiếu VN 🔍'!$A$151="","",(IF('📈 Cổ Phiếu VN 🔍'!$G$151&gt;0,1,0)+IF('📈 Cổ Phiếu VN 🔍'!$G$151&gt;5,1,0)+IF('📈 Cổ Phiếu VN 🔍'!$G$151&gt;10,1,0)+IF('📈 Cổ Phiếu VN 🔍'!$G$151&gt;15,1,0)+IF('📈 Cổ Phiếu VN 🔍'!$T$151&lt;3,1,0)+IF('📈 Cổ Phiếu VN 🔍'!$T$151&lt;5,1,0)+IF('📈 Cổ Phiếu VN 🔍'!$J$151&gt;0,1,0)+IF('📈 Cổ Phiếu VN 🔍'!$E$151&lt;20,1,0)+IF('📈 Cổ Phiếu VN 🔍'!$E$151&gt;0,1,0))),"")</f>
        <v/>
      </c>
      <c r="L152" s="863">
        <f>IFERROR(IF(I152="","",IF(OR(I152&lt;1.8,J152&gt;-1.78,K152&lt;5),"🔴 CỜ ĐỎ",IF(OR(I152&lt;2.99,J152&gt;-2.22,K152&lt;7),"🟡 Theo dõi","🟢 Sạch"))),"")</f>
        <v/>
      </c>
      <c r="M152" s="863">
        <f>IFERROR(IF(L152="🟢 Sạch","✅ ĐỦ ĐIỀU KIỆN MUA",IF(L152="🟡 Theo dõi","⚠️ Cần xác minh BCTC","❌ LOẠI KHỎI BỘ LỌC")),"")</f>
        <v/>
      </c>
      <c r="N152" s="863">
        <f>IFERROR(IF(M152="✅ ĐỦ ĐIỀU KIỆN MUA",ROUND((I152/3+K152/9-J152/5)*10,1),0),"")</f>
        <v/>
      </c>
    </row>
    <row r="153" ht="15" customHeight="1" s="981">
      <c r="A153" s="861" t="n">
        <v>148</v>
      </c>
      <c r="B153" s="862">
        <f>IFERROR(IF('📈 Cổ Phiếu VN 🔍'!$A$152="","",'📈 Cổ Phiếu VN 🔍'!$A$152),"")</f>
        <v/>
      </c>
      <c r="C153" s="862">
        <f>IFERROR('📈 Cổ Phiếu VN 🔍'!$B$152,"")</f>
        <v/>
      </c>
      <c r="D153" s="862">
        <f>IFERROR('📈 Cổ Phiếu VN 🔍'!$C$152,"")</f>
        <v/>
      </c>
      <c r="E153" s="862">
        <f>IFERROR('📈 Cổ Phiếu VN 🔍'!$E$152,0)</f>
        <v/>
      </c>
      <c r="F153" s="862">
        <f>IFERROR('📈 Cổ Phiếu VN 🔍'!$F$152,0)</f>
        <v/>
      </c>
      <c r="G153" s="862">
        <f>IFERROR('📈 Cổ Phiếu VN 🔍'!$G$152,0)</f>
        <v/>
      </c>
      <c r="H153" s="862">
        <f>IFERROR('📈 Cổ Phiếu VN 🔍'!$T$152,0)</f>
        <v/>
      </c>
      <c r="I153" s="863">
        <f>IFERROR(IF('📈 Cổ Phiếu VN 🔍'!$A$152="","",ROUND(3.25+6.56*0.15+3.26*('📈 Cổ Phiếu VN 🔍'!$G$152/100*0.5)+6.72*('📈 Cổ Phiếu VN 🔍'!$G$152/100)+1.05*(1/('📈 Cổ Phiếu VN 🔍'!$T$152+0.5)),2)),"")</f>
        <v/>
      </c>
      <c r="J153" s="863">
        <f>IFERROR(IF('📈 Cổ Phiếu VN 🔍'!$A$152="","",ROUND(-4.84+0.92*(1+0.5*'📈 Cổ Phiếu VN 🔍'!$J$152/100)+0.528*1.02+0.404*1.01+0.892*(1+'📈 Cổ Phiếu VN 🔍'!$J$152/100)+0.115*1.02,2)),"")</f>
        <v/>
      </c>
      <c r="K153" s="863">
        <f>IFERROR(IF('📈 Cổ Phiếu VN 🔍'!$A$152="","",(IF('📈 Cổ Phiếu VN 🔍'!$G$152&gt;0,1,0)+IF('📈 Cổ Phiếu VN 🔍'!$G$152&gt;5,1,0)+IF('📈 Cổ Phiếu VN 🔍'!$G$152&gt;10,1,0)+IF('📈 Cổ Phiếu VN 🔍'!$G$152&gt;15,1,0)+IF('📈 Cổ Phiếu VN 🔍'!$T$152&lt;3,1,0)+IF('📈 Cổ Phiếu VN 🔍'!$T$152&lt;5,1,0)+IF('📈 Cổ Phiếu VN 🔍'!$J$152&gt;0,1,0)+IF('📈 Cổ Phiếu VN 🔍'!$E$152&lt;20,1,0)+IF('📈 Cổ Phiếu VN 🔍'!$E$152&gt;0,1,0))),"")</f>
        <v/>
      </c>
      <c r="L153" s="863">
        <f>IFERROR(IF(I153="","",IF(OR(I153&lt;1.8,J153&gt;-1.78,K153&lt;5),"🔴 CỜ ĐỎ",IF(OR(I153&lt;2.99,J153&gt;-2.22,K153&lt;7),"🟡 Theo dõi","🟢 Sạch"))),"")</f>
        <v/>
      </c>
      <c r="M153" s="863">
        <f>IFERROR(IF(L153="🟢 Sạch","✅ ĐỦ ĐIỀU KIỆN MUA",IF(L153="🟡 Theo dõi","⚠️ Cần xác minh BCTC","❌ LOẠI KHỎI BỘ LỌC")),"")</f>
        <v/>
      </c>
      <c r="N153" s="863">
        <f>IFERROR(IF(M153="✅ ĐỦ ĐIỀU KIỆN MUA",ROUND((I153/3+K153/9-J153/5)*10,1),0),"")</f>
        <v/>
      </c>
    </row>
    <row r="154" ht="15" customHeight="1" s="981">
      <c r="A154" s="861" t="n">
        <v>149</v>
      </c>
      <c r="B154" s="862">
        <f>IFERROR(IF('📈 Cổ Phiếu VN 🔍'!$A$153="","",'📈 Cổ Phiếu VN 🔍'!$A$153),"")</f>
        <v/>
      </c>
      <c r="C154" s="862">
        <f>IFERROR('📈 Cổ Phiếu VN 🔍'!$B$153,"")</f>
        <v/>
      </c>
      <c r="D154" s="862">
        <f>IFERROR('📈 Cổ Phiếu VN 🔍'!$C$153,"")</f>
        <v/>
      </c>
      <c r="E154" s="862">
        <f>IFERROR('📈 Cổ Phiếu VN 🔍'!$E$153,0)</f>
        <v/>
      </c>
      <c r="F154" s="862">
        <f>IFERROR('📈 Cổ Phiếu VN 🔍'!$F$153,0)</f>
        <v/>
      </c>
      <c r="G154" s="862">
        <f>IFERROR('📈 Cổ Phiếu VN 🔍'!$G$153,0)</f>
        <v/>
      </c>
      <c r="H154" s="862">
        <f>IFERROR('📈 Cổ Phiếu VN 🔍'!$T$153,0)</f>
        <v/>
      </c>
      <c r="I154" s="863">
        <f>IFERROR(IF('📈 Cổ Phiếu VN 🔍'!$A$153="","",ROUND(3.25+6.56*0.15+3.26*('📈 Cổ Phiếu VN 🔍'!$G$153/100*0.5)+6.72*('📈 Cổ Phiếu VN 🔍'!$G$153/100)+1.05*(1/('📈 Cổ Phiếu VN 🔍'!$T$153+0.5)),2)),"")</f>
        <v/>
      </c>
      <c r="J154" s="863">
        <f>IFERROR(IF('📈 Cổ Phiếu VN 🔍'!$A$153="","",ROUND(-4.84+0.92*(1+0.5*'📈 Cổ Phiếu VN 🔍'!$J$153/100)+0.528*1.02+0.404*1.01+0.892*(1+'📈 Cổ Phiếu VN 🔍'!$J$153/100)+0.115*1.02,2)),"")</f>
        <v/>
      </c>
      <c r="K154" s="863">
        <f>IFERROR(IF('📈 Cổ Phiếu VN 🔍'!$A$153="","",(IF('📈 Cổ Phiếu VN 🔍'!$G$153&gt;0,1,0)+IF('📈 Cổ Phiếu VN 🔍'!$G$153&gt;5,1,0)+IF('📈 Cổ Phiếu VN 🔍'!$G$153&gt;10,1,0)+IF('📈 Cổ Phiếu VN 🔍'!$G$153&gt;15,1,0)+IF('📈 Cổ Phiếu VN 🔍'!$T$153&lt;3,1,0)+IF('📈 Cổ Phiếu VN 🔍'!$T$153&lt;5,1,0)+IF('📈 Cổ Phiếu VN 🔍'!$J$153&gt;0,1,0)+IF('📈 Cổ Phiếu VN 🔍'!$E$153&lt;20,1,0)+IF('📈 Cổ Phiếu VN 🔍'!$E$153&gt;0,1,0))),"")</f>
        <v/>
      </c>
      <c r="L154" s="863">
        <f>IFERROR(IF(I154="","",IF(OR(I154&lt;1.8,J154&gt;-1.78,K154&lt;5),"🔴 CỜ ĐỎ",IF(OR(I154&lt;2.99,J154&gt;-2.22,K154&lt;7),"🟡 Theo dõi","🟢 Sạch"))),"")</f>
        <v/>
      </c>
      <c r="M154" s="863">
        <f>IFERROR(IF(L154="🟢 Sạch","✅ ĐỦ ĐIỀU KIỆN MUA",IF(L154="🟡 Theo dõi","⚠️ Cần xác minh BCTC","❌ LOẠI KHỎI BỘ LỌC")),"")</f>
        <v/>
      </c>
      <c r="N154" s="863">
        <f>IFERROR(IF(M154="✅ ĐỦ ĐIỀU KIỆN MUA",ROUND((I154/3+K154/9-J154/5)*10,1),0),"")</f>
        <v/>
      </c>
    </row>
    <row r="155" ht="15" customHeight="1" s="981">
      <c r="A155" s="861" t="n">
        <v>150</v>
      </c>
      <c r="B155" s="862">
        <f>IFERROR(IF('📈 Cổ Phiếu VN 🔍'!$A$154="","",'📈 Cổ Phiếu VN 🔍'!$A$154),"")</f>
        <v/>
      </c>
      <c r="C155" s="862">
        <f>IFERROR('📈 Cổ Phiếu VN 🔍'!$B$154,"")</f>
        <v/>
      </c>
      <c r="D155" s="862">
        <f>IFERROR('📈 Cổ Phiếu VN 🔍'!$C$154,"")</f>
        <v/>
      </c>
      <c r="E155" s="862">
        <f>IFERROR('📈 Cổ Phiếu VN 🔍'!$E$154,0)</f>
        <v/>
      </c>
      <c r="F155" s="862">
        <f>IFERROR('📈 Cổ Phiếu VN 🔍'!$F$154,0)</f>
        <v/>
      </c>
      <c r="G155" s="862">
        <f>IFERROR('📈 Cổ Phiếu VN 🔍'!$G$154,0)</f>
        <v/>
      </c>
      <c r="H155" s="862">
        <f>IFERROR('📈 Cổ Phiếu VN 🔍'!$T$154,0)</f>
        <v/>
      </c>
      <c r="I155" s="863">
        <f>IFERROR(IF('📈 Cổ Phiếu VN 🔍'!$A$154="","",ROUND(3.25+6.56*0.15+3.26*('📈 Cổ Phiếu VN 🔍'!$G$154/100*0.5)+6.72*('📈 Cổ Phiếu VN 🔍'!$G$154/100)+1.05*(1/('📈 Cổ Phiếu VN 🔍'!$T$154+0.5)),2)),"")</f>
        <v/>
      </c>
      <c r="J155" s="863">
        <f>IFERROR(IF('📈 Cổ Phiếu VN 🔍'!$A$154="","",ROUND(-4.84+0.92*(1+0.5*'📈 Cổ Phiếu VN 🔍'!$J$154/100)+0.528*1.02+0.404*1.01+0.892*(1+'📈 Cổ Phiếu VN 🔍'!$J$154/100)+0.115*1.02,2)),"")</f>
        <v/>
      </c>
      <c r="K155" s="863">
        <f>IFERROR(IF('📈 Cổ Phiếu VN 🔍'!$A$154="","",(IF('📈 Cổ Phiếu VN 🔍'!$G$154&gt;0,1,0)+IF('📈 Cổ Phiếu VN 🔍'!$G$154&gt;5,1,0)+IF('📈 Cổ Phiếu VN 🔍'!$G$154&gt;10,1,0)+IF('📈 Cổ Phiếu VN 🔍'!$G$154&gt;15,1,0)+IF('📈 Cổ Phiếu VN 🔍'!$T$154&lt;3,1,0)+IF('📈 Cổ Phiếu VN 🔍'!$T$154&lt;5,1,0)+IF('📈 Cổ Phiếu VN 🔍'!$J$154&gt;0,1,0)+IF('📈 Cổ Phiếu VN 🔍'!$E$154&lt;20,1,0)+IF('📈 Cổ Phiếu VN 🔍'!$E$154&gt;0,1,0))),"")</f>
        <v/>
      </c>
      <c r="L155" s="863">
        <f>IFERROR(IF(I155="","",IF(OR(I155&lt;1.8,J155&gt;-1.78,K155&lt;5),"🔴 CỜ ĐỎ",IF(OR(I155&lt;2.99,J155&gt;-2.22,K155&lt;7),"🟡 Theo dõi","🟢 Sạch"))),"")</f>
        <v/>
      </c>
      <c r="M155" s="863">
        <f>IFERROR(IF(L155="🟢 Sạch","✅ ĐỦ ĐIỀU KIỆN MUA",IF(L155="🟡 Theo dõi","⚠️ Cần xác minh BCTC","❌ LOẠI KHỎI BỘ LỌC")),"")</f>
        <v/>
      </c>
      <c r="N155" s="863">
        <f>IFERROR(IF(M155="✅ ĐỦ ĐIỀU KIỆN MUA",ROUND((I155/3+K155/9-J155/5)*10,1),0),"")</f>
        <v/>
      </c>
    </row>
    <row r="156" ht="15" customHeight="1" s="981">
      <c r="A156" s="861" t="n">
        <v>151</v>
      </c>
      <c r="B156" s="862">
        <f>IFERROR(IF('📈 Cổ Phiếu VN 🔍'!$A$155="","",'📈 Cổ Phiếu VN 🔍'!$A$155),"")</f>
        <v/>
      </c>
      <c r="C156" s="862">
        <f>IFERROR('📈 Cổ Phiếu VN 🔍'!$B$155,"")</f>
        <v/>
      </c>
      <c r="D156" s="862">
        <f>IFERROR('📈 Cổ Phiếu VN 🔍'!$C$155,"")</f>
        <v/>
      </c>
      <c r="E156" s="862">
        <f>IFERROR('📈 Cổ Phiếu VN 🔍'!$E$155,0)</f>
        <v/>
      </c>
      <c r="F156" s="862">
        <f>IFERROR('📈 Cổ Phiếu VN 🔍'!$F$155,0)</f>
        <v/>
      </c>
      <c r="G156" s="862">
        <f>IFERROR('📈 Cổ Phiếu VN 🔍'!$G$155,0)</f>
        <v/>
      </c>
      <c r="H156" s="862">
        <f>IFERROR('📈 Cổ Phiếu VN 🔍'!$T$155,0)</f>
        <v/>
      </c>
      <c r="I156" s="863">
        <f>IFERROR(IF('📈 Cổ Phiếu VN 🔍'!$A$155="","",ROUND(3.25+6.56*0.15+3.26*('📈 Cổ Phiếu VN 🔍'!$G$155/100*0.5)+6.72*('📈 Cổ Phiếu VN 🔍'!$G$155/100)+1.05*(1/('📈 Cổ Phiếu VN 🔍'!$T$155+0.5)),2)),"")</f>
        <v/>
      </c>
      <c r="J156" s="863">
        <f>IFERROR(IF('📈 Cổ Phiếu VN 🔍'!$A$155="","",ROUND(-4.84+0.92*(1+0.5*'📈 Cổ Phiếu VN 🔍'!$J$155/100)+0.528*1.02+0.404*1.01+0.892*(1+'📈 Cổ Phiếu VN 🔍'!$J$155/100)+0.115*1.02,2)),"")</f>
        <v/>
      </c>
      <c r="K156" s="863">
        <f>IFERROR(IF('📈 Cổ Phiếu VN 🔍'!$A$155="","",(IF('📈 Cổ Phiếu VN 🔍'!$G$155&gt;0,1,0)+IF('📈 Cổ Phiếu VN 🔍'!$G$155&gt;5,1,0)+IF('📈 Cổ Phiếu VN 🔍'!$G$155&gt;10,1,0)+IF('📈 Cổ Phiếu VN 🔍'!$G$155&gt;15,1,0)+IF('📈 Cổ Phiếu VN 🔍'!$T$155&lt;3,1,0)+IF('📈 Cổ Phiếu VN 🔍'!$T$155&lt;5,1,0)+IF('📈 Cổ Phiếu VN 🔍'!$J$155&gt;0,1,0)+IF('📈 Cổ Phiếu VN 🔍'!$E$155&lt;20,1,0)+IF('📈 Cổ Phiếu VN 🔍'!$E$155&gt;0,1,0))),"")</f>
        <v/>
      </c>
      <c r="L156" s="863">
        <f>IFERROR(IF(I156="","",IF(OR(I156&lt;1.8,J156&gt;-1.78,K156&lt;5),"🔴 CỜ ĐỎ",IF(OR(I156&lt;2.99,J156&gt;-2.22,K156&lt;7),"🟡 Theo dõi","🟢 Sạch"))),"")</f>
        <v/>
      </c>
      <c r="M156" s="863">
        <f>IFERROR(IF(L156="🟢 Sạch","✅ ĐỦ ĐIỀU KIỆN MUA",IF(L156="🟡 Theo dõi","⚠️ Cần xác minh BCTC","❌ LOẠI KHỎI BỘ LỌC")),"")</f>
        <v/>
      </c>
      <c r="N156" s="863">
        <f>IFERROR(IF(M156="✅ ĐỦ ĐIỀU KIỆN MUA",ROUND((I156/3+K156/9-J156/5)*10,1),0),"")</f>
        <v/>
      </c>
    </row>
    <row r="157" ht="15" customHeight="1" s="981">
      <c r="A157" s="861" t="n">
        <v>152</v>
      </c>
      <c r="B157" s="862">
        <f>IFERROR(IF('📈 Cổ Phiếu VN 🔍'!$A$156="","",'📈 Cổ Phiếu VN 🔍'!$A$156),"")</f>
        <v/>
      </c>
      <c r="C157" s="862">
        <f>IFERROR('📈 Cổ Phiếu VN 🔍'!$B$156,"")</f>
        <v/>
      </c>
      <c r="D157" s="862">
        <f>IFERROR('📈 Cổ Phiếu VN 🔍'!$C$156,"")</f>
        <v/>
      </c>
      <c r="E157" s="862">
        <f>IFERROR('📈 Cổ Phiếu VN 🔍'!$E$156,0)</f>
        <v/>
      </c>
      <c r="F157" s="862">
        <f>IFERROR('📈 Cổ Phiếu VN 🔍'!$F$156,0)</f>
        <v/>
      </c>
      <c r="G157" s="862">
        <f>IFERROR('📈 Cổ Phiếu VN 🔍'!$G$156,0)</f>
        <v/>
      </c>
      <c r="H157" s="862">
        <f>IFERROR('📈 Cổ Phiếu VN 🔍'!$T$156,0)</f>
        <v/>
      </c>
      <c r="I157" s="863">
        <f>IFERROR(IF('📈 Cổ Phiếu VN 🔍'!$A$156="","",ROUND(3.25+6.56*0.15+3.26*('📈 Cổ Phiếu VN 🔍'!$G$156/100*0.5)+6.72*('📈 Cổ Phiếu VN 🔍'!$G$156/100)+1.05*(1/('📈 Cổ Phiếu VN 🔍'!$T$156+0.5)),2)),"")</f>
        <v/>
      </c>
      <c r="J157" s="863">
        <f>IFERROR(IF('📈 Cổ Phiếu VN 🔍'!$A$156="","",ROUND(-4.84+0.92*(1+0.5*'📈 Cổ Phiếu VN 🔍'!$J$156/100)+0.528*1.02+0.404*1.01+0.892*(1+'📈 Cổ Phiếu VN 🔍'!$J$156/100)+0.115*1.02,2)),"")</f>
        <v/>
      </c>
      <c r="K157" s="863">
        <f>IFERROR(IF('📈 Cổ Phiếu VN 🔍'!$A$156="","",(IF('📈 Cổ Phiếu VN 🔍'!$G$156&gt;0,1,0)+IF('📈 Cổ Phiếu VN 🔍'!$G$156&gt;5,1,0)+IF('📈 Cổ Phiếu VN 🔍'!$G$156&gt;10,1,0)+IF('📈 Cổ Phiếu VN 🔍'!$G$156&gt;15,1,0)+IF('📈 Cổ Phiếu VN 🔍'!$T$156&lt;3,1,0)+IF('📈 Cổ Phiếu VN 🔍'!$T$156&lt;5,1,0)+IF('📈 Cổ Phiếu VN 🔍'!$J$156&gt;0,1,0)+IF('📈 Cổ Phiếu VN 🔍'!$E$156&lt;20,1,0)+IF('📈 Cổ Phiếu VN 🔍'!$E$156&gt;0,1,0))),"")</f>
        <v/>
      </c>
      <c r="L157" s="863">
        <f>IFERROR(IF(I157="","",IF(OR(I157&lt;1.8,J157&gt;-1.78,K157&lt;5),"🔴 CỜ ĐỎ",IF(OR(I157&lt;2.99,J157&gt;-2.22,K157&lt;7),"🟡 Theo dõi","🟢 Sạch"))),"")</f>
        <v/>
      </c>
      <c r="M157" s="863">
        <f>IFERROR(IF(L157="🟢 Sạch","✅ ĐỦ ĐIỀU KIỆN MUA",IF(L157="🟡 Theo dõi","⚠️ Cần xác minh BCTC","❌ LOẠI KHỎI BỘ LỌC")),"")</f>
        <v/>
      </c>
      <c r="N157" s="863">
        <f>IFERROR(IF(M157="✅ ĐỦ ĐIỀU KIỆN MUA",ROUND((I157/3+K157/9-J157/5)*10,1),0),"")</f>
        <v/>
      </c>
    </row>
    <row r="158" ht="15" customHeight="1" s="981">
      <c r="A158" s="861" t="n">
        <v>153</v>
      </c>
      <c r="B158" s="862">
        <f>IFERROR(IF('📈 Cổ Phiếu VN 🔍'!$A$157="","",'📈 Cổ Phiếu VN 🔍'!$A$157),"")</f>
        <v/>
      </c>
      <c r="C158" s="862">
        <f>IFERROR('📈 Cổ Phiếu VN 🔍'!$B$157,"")</f>
        <v/>
      </c>
      <c r="D158" s="862">
        <f>IFERROR('📈 Cổ Phiếu VN 🔍'!$C$157,"")</f>
        <v/>
      </c>
      <c r="E158" s="862">
        <f>IFERROR('📈 Cổ Phiếu VN 🔍'!$E$157,0)</f>
        <v/>
      </c>
      <c r="F158" s="862">
        <f>IFERROR('📈 Cổ Phiếu VN 🔍'!$F$157,0)</f>
        <v/>
      </c>
      <c r="G158" s="862">
        <f>IFERROR('📈 Cổ Phiếu VN 🔍'!$G$157,0)</f>
        <v/>
      </c>
      <c r="H158" s="862">
        <f>IFERROR('📈 Cổ Phiếu VN 🔍'!$T$157,0)</f>
        <v/>
      </c>
      <c r="I158" s="863">
        <f>IFERROR(IF('📈 Cổ Phiếu VN 🔍'!$A$157="","",ROUND(3.25+6.56*0.15+3.26*('📈 Cổ Phiếu VN 🔍'!$G$157/100*0.5)+6.72*('📈 Cổ Phiếu VN 🔍'!$G$157/100)+1.05*(1/('📈 Cổ Phiếu VN 🔍'!$T$157+0.5)),2)),"")</f>
        <v/>
      </c>
      <c r="J158" s="863">
        <f>IFERROR(IF('📈 Cổ Phiếu VN 🔍'!$A$157="","",ROUND(-4.84+0.92*(1+0.5*'📈 Cổ Phiếu VN 🔍'!$J$157/100)+0.528*1.02+0.404*1.01+0.892*(1+'📈 Cổ Phiếu VN 🔍'!$J$157/100)+0.115*1.02,2)),"")</f>
        <v/>
      </c>
      <c r="K158" s="863">
        <f>IFERROR(IF('📈 Cổ Phiếu VN 🔍'!$A$157="","",(IF('📈 Cổ Phiếu VN 🔍'!$G$157&gt;0,1,0)+IF('📈 Cổ Phiếu VN 🔍'!$G$157&gt;5,1,0)+IF('📈 Cổ Phiếu VN 🔍'!$G$157&gt;10,1,0)+IF('📈 Cổ Phiếu VN 🔍'!$G$157&gt;15,1,0)+IF('📈 Cổ Phiếu VN 🔍'!$T$157&lt;3,1,0)+IF('📈 Cổ Phiếu VN 🔍'!$T$157&lt;5,1,0)+IF('📈 Cổ Phiếu VN 🔍'!$J$157&gt;0,1,0)+IF('📈 Cổ Phiếu VN 🔍'!$E$157&lt;20,1,0)+IF('📈 Cổ Phiếu VN 🔍'!$E$157&gt;0,1,0))),"")</f>
        <v/>
      </c>
      <c r="L158" s="863">
        <f>IFERROR(IF(I158="","",IF(OR(I158&lt;1.8,J158&gt;-1.78,K158&lt;5),"🔴 CỜ ĐỎ",IF(OR(I158&lt;2.99,J158&gt;-2.22,K158&lt;7),"🟡 Theo dõi","🟢 Sạch"))),"")</f>
        <v/>
      </c>
      <c r="M158" s="863">
        <f>IFERROR(IF(L158="🟢 Sạch","✅ ĐỦ ĐIỀU KIỆN MUA",IF(L158="🟡 Theo dõi","⚠️ Cần xác minh BCTC","❌ LOẠI KHỎI BỘ LỌC")),"")</f>
        <v/>
      </c>
      <c r="N158" s="863">
        <f>IFERROR(IF(M158="✅ ĐỦ ĐIỀU KIỆN MUA",ROUND((I158/3+K158/9-J158/5)*10,1),0),"")</f>
        <v/>
      </c>
    </row>
    <row r="159" ht="15" customHeight="1" s="981">
      <c r="A159" s="861" t="n">
        <v>154</v>
      </c>
      <c r="B159" s="862">
        <f>IFERROR(IF('📈 Cổ Phiếu VN 🔍'!$A$158="","",'📈 Cổ Phiếu VN 🔍'!$A$158),"")</f>
        <v/>
      </c>
      <c r="C159" s="862">
        <f>IFERROR('📈 Cổ Phiếu VN 🔍'!$B$158,"")</f>
        <v/>
      </c>
      <c r="D159" s="862">
        <f>IFERROR('📈 Cổ Phiếu VN 🔍'!$C$158,"")</f>
        <v/>
      </c>
      <c r="E159" s="862">
        <f>IFERROR('📈 Cổ Phiếu VN 🔍'!$E$158,0)</f>
        <v/>
      </c>
      <c r="F159" s="862">
        <f>IFERROR('📈 Cổ Phiếu VN 🔍'!$F$158,0)</f>
        <v/>
      </c>
      <c r="G159" s="862">
        <f>IFERROR('📈 Cổ Phiếu VN 🔍'!$G$158,0)</f>
        <v/>
      </c>
      <c r="H159" s="862">
        <f>IFERROR('📈 Cổ Phiếu VN 🔍'!$T$158,0)</f>
        <v/>
      </c>
      <c r="I159" s="863">
        <f>IFERROR(IF('📈 Cổ Phiếu VN 🔍'!$A$158="","",ROUND(3.25+6.56*0.15+3.26*('📈 Cổ Phiếu VN 🔍'!$G$158/100*0.5)+6.72*('📈 Cổ Phiếu VN 🔍'!$G$158/100)+1.05*(1/('📈 Cổ Phiếu VN 🔍'!$T$158+0.5)),2)),"")</f>
        <v/>
      </c>
      <c r="J159" s="863">
        <f>IFERROR(IF('📈 Cổ Phiếu VN 🔍'!$A$158="","",ROUND(-4.84+0.92*(1+0.5*'📈 Cổ Phiếu VN 🔍'!$J$158/100)+0.528*1.02+0.404*1.01+0.892*(1+'📈 Cổ Phiếu VN 🔍'!$J$158/100)+0.115*1.02,2)),"")</f>
        <v/>
      </c>
      <c r="K159" s="863">
        <f>IFERROR(IF('📈 Cổ Phiếu VN 🔍'!$A$158="","",(IF('📈 Cổ Phiếu VN 🔍'!$G$158&gt;0,1,0)+IF('📈 Cổ Phiếu VN 🔍'!$G$158&gt;5,1,0)+IF('📈 Cổ Phiếu VN 🔍'!$G$158&gt;10,1,0)+IF('📈 Cổ Phiếu VN 🔍'!$G$158&gt;15,1,0)+IF('📈 Cổ Phiếu VN 🔍'!$T$158&lt;3,1,0)+IF('📈 Cổ Phiếu VN 🔍'!$T$158&lt;5,1,0)+IF('📈 Cổ Phiếu VN 🔍'!$J$158&gt;0,1,0)+IF('📈 Cổ Phiếu VN 🔍'!$E$158&lt;20,1,0)+IF('📈 Cổ Phiếu VN 🔍'!$E$158&gt;0,1,0))),"")</f>
        <v/>
      </c>
      <c r="L159" s="863">
        <f>IFERROR(IF(I159="","",IF(OR(I159&lt;1.8,J159&gt;-1.78,K159&lt;5),"🔴 CỜ ĐỎ",IF(OR(I159&lt;2.99,J159&gt;-2.22,K159&lt;7),"🟡 Theo dõi","🟢 Sạch"))),"")</f>
        <v/>
      </c>
      <c r="M159" s="863">
        <f>IFERROR(IF(L159="🟢 Sạch","✅ ĐỦ ĐIỀU KIỆN MUA",IF(L159="🟡 Theo dõi","⚠️ Cần xác minh BCTC","❌ LOẠI KHỎI BỘ LỌC")),"")</f>
        <v/>
      </c>
      <c r="N159" s="863">
        <f>IFERROR(IF(M159="✅ ĐỦ ĐIỀU KIỆN MUA",ROUND((I159/3+K159/9-J159/5)*10,1),0),"")</f>
        <v/>
      </c>
    </row>
    <row r="160" ht="15" customHeight="1" s="981">
      <c r="A160" s="861" t="n">
        <v>155</v>
      </c>
      <c r="B160" s="862">
        <f>IFERROR(IF('📈 Cổ Phiếu VN 🔍'!$A$159="","",'📈 Cổ Phiếu VN 🔍'!$A$159),"")</f>
        <v/>
      </c>
      <c r="C160" s="862">
        <f>IFERROR('📈 Cổ Phiếu VN 🔍'!$B$159,"")</f>
        <v/>
      </c>
      <c r="D160" s="862">
        <f>IFERROR('📈 Cổ Phiếu VN 🔍'!$C$159,"")</f>
        <v/>
      </c>
      <c r="E160" s="862">
        <f>IFERROR('📈 Cổ Phiếu VN 🔍'!$E$159,0)</f>
        <v/>
      </c>
      <c r="F160" s="862">
        <f>IFERROR('📈 Cổ Phiếu VN 🔍'!$F$159,0)</f>
        <v/>
      </c>
      <c r="G160" s="862">
        <f>IFERROR('📈 Cổ Phiếu VN 🔍'!$G$159,0)</f>
        <v/>
      </c>
      <c r="H160" s="862">
        <f>IFERROR('📈 Cổ Phiếu VN 🔍'!$T$159,0)</f>
        <v/>
      </c>
      <c r="I160" s="863">
        <f>IFERROR(IF('📈 Cổ Phiếu VN 🔍'!$A$159="","",ROUND(3.25+6.56*0.15+3.26*('📈 Cổ Phiếu VN 🔍'!$G$159/100*0.5)+6.72*('📈 Cổ Phiếu VN 🔍'!$G$159/100)+1.05*(1/('📈 Cổ Phiếu VN 🔍'!$T$159+0.5)),2)),"")</f>
        <v/>
      </c>
      <c r="J160" s="863">
        <f>IFERROR(IF('📈 Cổ Phiếu VN 🔍'!$A$159="","",ROUND(-4.84+0.92*(1+0.5*'📈 Cổ Phiếu VN 🔍'!$J$159/100)+0.528*1.02+0.404*1.01+0.892*(1+'📈 Cổ Phiếu VN 🔍'!$J$159/100)+0.115*1.02,2)),"")</f>
        <v/>
      </c>
      <c r="K160" s="863">
        <f>IFERROR(IF('📈 Cổ Phiếu VN 🔍'!$A$159="","",(IF('📈 Cổ Phiếu VN 🔍'!$G$159&gt;0,1,0)+IF('📈 Cổ Phiếu VN 🔍'!$G$159&gt;5,1,0)+IF('📈 Cổ Phiếu VN 🔍'!$G$159&gt;10,1,0)+IF('📈 Cổ Phiếu VN 🔍'!$G$159&gt;15,1,0)+IF('📈 Cổ Phiếu VN 🔍'!$T$159&lt;3,1,0)+IF('📈 Cổ Phiếu VN 🔍'!$T$159&lt;5,1,0)+IF('📈 Cổ Phiếu VN 🔍'!$J$159&gt;0,1,0)+IF('📈 Cổ Phiếu VN 🔍'!$E$159&lt;20,1,0)+IF('📈 Cổ Phiếu VN 🔍'!$E$159&gt;0,1,0))),"")</f>
        <v/>
      </c>
      <c r="L160" s="863">
        <f>IFERROR(IF(I160="","",IF(OR(I160&lt;1.8,J160&gt;-1.78,K160&lt;5),"🔴 CỜ ĐỎ",IF(OR(I160&lt;2.99,J160&gt;-2.22,K160&lt;7),"🟡 Theo dõi","🟢 Sạch"))),"")</f>
        <v/>
      </c>
      <c r="M160" s="863">
        <f>IFERROR(IF(L160="🟢 Sạch","✅ ĐỦ ĐIỀU KIỆN MUA",IF(L160="🟡 Theo dõi","⚠️ Cần xác minh BCTC","❌ LOẠI KHỎI BỘ LỌC")),"")</f>
        <v/>
      </c>
      <c r="N160" s="863">
        <f>IFERROR(IF(M160="✅ ĐỦ ĐIỀU KIỆN MUA",ROUND((I160/3+K160/9-J160/5)*10,1),0),"")</f>
        <v/>
      </c>
    </row>
    <row r="161" ht="15" customHeight="1" s="981">
      <c r="A161" s="861" t="n">
        <v>156</v>
      </c>
      <c r="B161" s="862">
        <f>IFERROR(IF('📈 Cổ Phiếu VN 🔍'!$A$160="","",'📈 Cổ Phiếu VN 🔍'!$A$160),"")</f>
        <v/>
      </c>
      <c r="C161" s="862">
        <f>IFERROR('📈 Cổ Phiếu VN 🔍'!$B$160,"")</f>
        <v/>
      </c>
      <c r="D161" s="862">
        <f>IFERROR('📈 Cổ Phiếu VN 🔍'!$C$160,"")</f>
        <v/>
      </c>
      <c r="E161" s="862">
        <f>IFERROR('📈 Cổ Phiếu VN 🔍'!$E$160,0)</f>
        <v/>
      </c>
      <c r="F161" s="862">
        <f>IFERROR('📈 Cổ Phiếu VN 🔍'!$F$160,0)</f>
        <v/>
      </c>
      <c r="G161" s="862">
        <f>IFERROR('📈 Cổ Phiếu VN 🔍'!$G$160,0)</f>
        <v/>
      </c>
      <c r="H161" s="862">
        <f>IFERROR('📈 Cổ Phiếu VN 🔍'!$T$160,0)</f>
        <v/>
      </c>
      <c r="I161" s="863">
        <f>IFERROR(IF('📈 Cổ Phiếu VN 🔍'!$A$160="","",ROUND(3.25+6.56*0.15+3.26*('📈 Cổ Phiếu VN 🔍'!$G$160/100*0.5)+6.72*('📈 Cổ Phiếu VN 🔍'!$G$160/100)+1.05*(1/('📈 Cổ Phiếu VN 🔍'!$T$160+0.5)),2)),"")</f>
        <v/>
      </c>
      <c r="J161" s="863">
        <f>IFERROR(IF('📈 Cổ Phiếu VN 🔍'!$A$160="","",ROUND(-4.84+0.92*(1+0.5*'📈 Cổ Phiếu VN 🔍'!$J$160/100)+0.528*1.02+0.404*1.01+0.892*(1+'📈 Cổ Phiếu VN 🔍'!$J$160/100)+0.115*1.02,2)),"")</f>
        <v/>
      </c>
      <c r="K161" s="863">
        <f>IFERROR(IF('📈 Cổ Phiếu VN 🔍'!$A$160="","",(IF('📈 Cổ Phiếu VN 🔍'!$G$160&gt;0,1,0)+IF('📈 Cổ Phiếu VN 🔍'!$G$160&gt;5,1,0)+IF('📈 Cổ Phiếu VN 🔍'!$G$160&gt;10,1,0)+IF('📈 Cổ Phiếu VN 🔍'!$G$160&gt;15,1,0)+IF('📈 Cổ Phiếu VN 🔍'!$T$160&lt;3,1,0)+IF('📈 Cổ Phiếu VN 🔍'!$T$160&lt;5,1,0)+IF('📈 Cổ Phiếu VN 🔍'!$J$160&gt;0,1,0)+IF('📈 Cổ Phiếu VN 🔍'!$E$160&lt;20,1,0)+IF('📈 Cổ Phiếu VN 🔍'!$E$160&gt;0,1,0))),"")</f>
        <v/>
      </c>
      <c r="L161" s="863">
        <f>IFERROR(IF(I161="","",IF(OR(I161&lt;1.8,J161&gt;-1.78,K161&lt;5),"🔴 CỜ ĐỎ",IF(OR(I161&lt;2.99,J161&gt;-2.22,K161&lt;7),"🟡 Theo dõi","🟢 Sạch"))),"")</f>
        <v/>
      </c>
      <c r="M161" s="863">
        <f>IFERROR(IF(L161="🟢 Sạch","✅ ĐỦ ĐIỀU KIỆN MUA",IF(L161="🟡 Theo dõi","⚠️ Cần xác minh BCTC","❌ LOẠI KHỎI BỘ LỌC")),"")</f>
        <v/>
      </c>
      <c r="N161" s="863">
        <f>IFERROR(IF(M161="✅ ĐỦ ĐIỀU KIỆN MUA",ROUND((I161/3+K161/9-J161/5)*10,1),0),"")</f>
        <v/>
      </c>
    </row>
    <row r="162" ht="15" customHeight="1" s="981">
      <c r="A162" s="861" t="n">
        <v>157</v>
      </c>
      <c r="B162" s="862">
        <f>IFERROR(IF('📈 Cổ Phiếu VN 🔍'!$A$161="","",'📈 Cổ Phiếu VN 🔍'!$A$161),"")</f>
        <v/>
      </c>
      <c r="C162" s="862">
        <f>IFERROR('📈 Cổ Phiếu VN 🔍'!$B$161,"")</f>
        <v/>
      </c>
      <c r="D162" s="862">
        <f>IFERROR('📈 Cổ Phiếu VN 🔍'!$C$161,"")</f>
        <v/>
      </c>
      <c r="E162" s="862">
        <f>IFERROR('📈 Cổ Phiếu VN 🔍'!$E$161,0)</f>
        <v/>
      </c>
      <c r="F162" s="862">
        <f>IFERROR('📈 Cổ Phiếu VN 🔍'!$F$161,0)</f>
        <v/>
      </c>
      <c r="G162" s="862">
        <f>IFERROR('📈 Cổ Phiếu VN 🔍'!$G$161,0)</f>
        <v/>
      </c>
      <c r="H162" s="862">
        <f>IFERROR('📈 Cổ Phiếu VN 🔍'!$T$161,0)</f>
        <v/>
      </c>
      <c r="I162" s="863">
        <f>IFERROR(IF('📈 Cổ Phiếu VN 🔍'!$A$161="","",ROUND(3.25+6.56*0.15+3.26*('📈 Cổ Phiếu VN 🔍'!$G$161/100*0.5)+6.72*('📈 Cổ Phiếu VN 🔍'!$G$161/100)+1.05*(1/('📈 Cổ Phiếu VN 🔍'!$T$161+0.5)),2)),"")</f>
        <v/>
      </c>
      <c r="J162" s="863">
        <f>IFERROR(IF('📈 Cổ Phiếu VN 🔍'!$A$161="","",ROUND(-4.84+0.92*(1+0.5*'📈 Cổ Phiếu VN 🔍'!$J$161/100)+0.528*1.02+0.404*1.01+0.892*(1+'📈 Cổ Phiếu VN 🔍'!$J$161/100)+0.115*1.02,2)),"")</f>
        <v/>
      </c>
      <c r="K162" s="863">
        <f>IFERROR(IF('📈 Cổ Phiếu VN 🔍'!$A$161="","",(IF('📈 Cổ Phiếu VN 🔍'!$G$161&gt;0,1,0)+IF('📈 Cổ Phiếu VN 🔍'!$G$161&gt;5,1,0)+IF('📈 Cổ Phiếu VN 🔍'!$G$161&gt;10,1,0)+IF('📈 Cổ Phiếu VN 🔍'!$G$161&gt;15,1,0)+IF('📈 Cổ Phiếu VN 🔍'!$T$161&lt;3,1,0)+IF('📈 Cổ Phiếu VN 🔍'!$T$161&lt;5,1,0)+IF('📈 Cổ Phiếu VN 🔍'!$J$161&gt;0,1,0)+IF('📈 Cổ Phiếu VN 🔍'!$E$161&lt;20,1,0)+IF('📈 Cổ Phiếu VN 🔍'!$E$161&gt;0,1,0))),"")</f>
        <v/>
      </c>
      <c r="L162" s="863">
        <f>IFERROR(IF(I162="","",IF(OR(I162&lt;1.8,J162&gt;-1.78,K162&lt;5),"🔴 CỜ ĐỎ",IF(OR(I162&lt;2.99,J162&gt;-2.22,K162&lt;7),"🟡 Theo dõi","🟢 Sạch"))),"")</f>
        <v/>
      </c>
      <c r="M162" s="863">
        <f>IFERROR(IF(L162="🟢 Sạch","✅ ĐỦ ĐIỀU KIỆN MUA",IF(L162="🟡 Theo dõi","⚠️ Cần xác minh BCTC","❌ LOẠI KHỎI BỘ LỌC")),"")</f>
        <v/>
      </c>
      <c r="N162" s="863">
        <f>IFERROR(IF(M162="✅ ĐỦ ĐIỀU KIỆN MUA",ROUND((I162/3+K162/9-J162/5)*10,1),0),"")</f>
        <v/>
      </c>
    </row>
    <row r="163" ht="15" customHeight="1" s="981">
      <c r="A163" s="861" t="n">
        <v>158</v>
      </c>
      <c r="B163" s="862">
        <f>IFERROR(IF('📈 Cổ Phiếu VN 🔍'!$A$162="","",'📈 Cổ Phiếu VN 🔍'!$A$162),"")</f>
        <v/>
      </c>
      <c r="C163" s="862">
        <f>IFERROR('📈 Cổ Phiếu VN 🔍'!$B$162,"")</f>
        <v/>
      </c>
      <c r="D163" s="862">
        <f>IFERROR('📈 Cổ Phiếu VN 🔍'!$C$162,"")</f>
        <v/>
      </c>
      <c r="E163" s="862">
        <f>IFERROR('📈 Cổ Phiếu VN 🔍'!$E$162,0)</f>
        <v/>
      </c>
      <c r="F163" s="862">
        <f>IFERROR('📈 Cổ Phiếu VN 🔍'!$F$162,0)</f>
        <v/>
      </c>
      <c r="G163" s="862">
        <f>IFERROR('📈 Cổ Phiếu VN 🔍'!$G$162,0)</f>
        <v/>
      </c>
      <c r="H163" s="862">
        <f>IFERROR('📈 Cổ Phiếu VN 🔍'!$T$162,0)</f>
        <v/>
      </c>
      <c r="I163" s="863">
        <f>IFERROR(IF('📈 Cổ Phiếu VN 🔍'!$A$162="","",ROUND(3.25+6.56*0.15+3.26*('📈 Cổ Phiếu VN 🔍'!$G$162/100*0.5)+6.72*('📈 Cổ Phiếu VN 🔍'!$G$162/100)+1.05*(1/('📈 Cổ Phiếu VN 🔍'!$T$162+0.5)),2)),"")</f>
        <v/>
      </c>
      <c r="J163" s="863">
        <f>IFERROR(IF('📈 Cổ Phiếu VN 🔍'!$A$162="","",ROUND(-4.84+0.92*(1+0.5*'📈 Cổ Phiếu VN 🔍'!$J$162/100)+0.528*1.02+0.404*1.01+0.892*(1+'📈 Cổ Phiếu VN 🔍'!$J$162/100)+0.115*1.02,2)),"")</f>
        <v/>
      </c>
      <c r="K163" s="863">
        <f>IFERROR(IF('📈 Cổ Phiếu VN 🔍'!$A$162="","",(IF('📈 Cổ Phiếu VN 🔍'!$G$162&gt;0,1,0)+IF('📈 Cổ Phiếu VN 🔍'!$G$162&gt;5,1,0)+IF('📈 Cổ Phiếu VN 🔍'!$G$162&gt;10,1,0)+IF('📈 Cổ Phiếu VN 🔍'!$G$162&gt;15,1,0)+IF('📈 Cổ Phiếu VN 🔍'!$T$162&lt;3,1,0)+IF('📈 Cổ Phiếu VN 🔍'!$T$162&lt;5,1,0)+IF('📈 Cổ Phiếu VN 🔍'!$J$162&gt;0,1,0)+IF('📈 Cổ Phiếu VN 🔍'!$E$162&lt;20,1,0)+IF('📈 Cổ Phiếu VN 🔍'!$E$162&gt;0,1,0))),"")</f>
        <v/>
      </c>
      <c r="L163" s="863">
        <f>IFERROR(IF(I163="","",IF(OR(I163&lt;1.8,J163&gt;-1.78,K163&lt;5),"🔴 CỜ ĐỎ",IF(OR(I163&lt;2.99,J163&gt;-2.22,K163&lt;7),"🟡 Theo dõi","🟢 Sạch"))),"")</f>
        <v/>
      </c>
      <c r="M163" s="863">
        <f>IFERROR(IF(L163="🟢 Sạch","✅ ĐỦ ĐIỀU KIỆN MUA",IF(L163="🟡 Theo dõi","⚠️ Cần xác minh BCTC","❌ LOẠI KHỎI BỘ LỌC")),"")</f>
        <v/>
      </c>
      <c r="N163" s="863">
        <f>IFERROR(IF(M163="✅ ĐỦ ĐIỀU KIỆN MUA",ROUND((I163/3+K163/9-J163/5)*10,1),0),"")</f>
        <v/>
      </c>
    </row>
    <row r="164" ht="15" customHeight="1" s="981">
      <c r="A164" s="861" t="n">
        <v>159</v>
      </c>
      <c r="B164" s="862">
        <f>IFERROR(IF('📈 Cổ Phiếu VN 🔍'!$A$163="","",'📈 Cổ Phiếu VN 🔍'!$A$163),"")</f>
        <v/>
      </c>
      <c r="C164" s="862">
        <f>IFERROR('📈 Cổ Phiếu VN 🔍'!$B$163,"")</f>
        <v/>
      </c>
      <c r="D164" s="862">
        <f>IFERROR('📈 Cổ Phiếu VN 🔍'!$C$163,"")</f>
        <v/>
      </c>
      <c r="E164" s="862">
        <f>IFERROR('📈 Cổ Phiếu VN 🔍'!$E$163,0)</f>
        <v/>
      </c>
      <c r="F164" s="862">
        <f>IFERROR('📈 Cổ Phiếu VN 🔍'!$F$163,0)</f>
        <v/>
      </c>
      <c r="G164" s="862">
        <f>IFERROR('📈 Cổ Phiếu VN 🔍'!$G$163,0)</f>
        <v/>
      </c>
      <c r="H164" s="862">
        <f>IFERROR('📈 Cổ Phiếu VN 🔍'!$T$163,0)</f>
        <v/>
      </c>
      <c r="I164" s="863">
        <f>IFERROR(IF('📈 Cổ Phiếu VN 🔍'!$A$163="","",ROUND(3.25+6.56*0.15+3.26*('📈 Cổ Phiếu VN 🔍'!$G$163/100*0.5)+6.72*('📈 Cổ Phiếu VN 🔍'!$G$163/100)+1.05*(1/('📈 Cổ Phiếu VN 🔍'!$T$163+0.5)),2)),"")</f>
        <v/>
      </c>
      <c r="J164" s="863">
        <f>IFERROR(IF('📈 Cổ Phiếu VN 🔍'!$A$163="","",ROUND(-4.84+0.92*(1+0.5*'📈 Cổ Phiếu VN 🔍'!$J$163/100)+0.528*1.02+0.404*1.01+0.892*(1+'📈 Cổ Phiếu VN 🔍'!$J$163/100)+0.115*1.02,2)),"")</f>
        <v/>
      </c>
      <c r="K164" s="863">
        <f>IFERROR(IF('📈 Cổ Phiếu VN 🔍'!$A$163="","",(IF('📈 Cổ Phiếu VN 🔍'!$G$163&gt;0,1,0)+IF('📈 Cổ Phiếu VN 🔍'!$G$163&gt;5,1,0)+IF('📈 Cổ Phiếu VN 🔍'!$G$163&gt;10,1,0)+IF('📈 Cổ Phiếu VN 🔍'!$G$163&gt;15,1,0)+IF('📈 Cổ Phiếu VN 🔍'!$T$163&lt;3,1,0)+IF('📈 Cổ Phiếu VN 🔍'!$T$163&lt;5,1,0)+IF('📈 Cổ Phiếu VN 🔍'!$J$163&gt;0,1,0)+IF('📈 Cổ Phiếu VN 🔍'!$E$163&lt;20,1,0)+IF('📈 Cổ Phiếu VN 🔍'!$E$163&gt;0,1,0))),"")</f>
        <v/>
      </c>
      <c r="L164" s="863">
        <f>IFERROR(IF(I164="","",IF(OR(I164&lt;1.8,J164&gt;-1.78,K164&lt;5),"🔴 CỜ ĐỎ",IF(OR(I164&lt;2.99,J164&gt;-2.22,K164&lt;7),"🟡 Theo dõi","🟢 Sạch"))),"")</f>
        <v/>
      </c>
      <c r="M164" s="863">
        <f>IFERROR(IF(L164="🟢 Sạch","✅ ĐỦ ĐIỀU KIỆN MUA",IF(L164="🟡 Theo dõi","⚠️ Cần xác minh BCTC","❌ LOẠI KHỎI BỘ LỌC")),"")</f>
        <v/>
      </c>
      <c r="N164" s="863">
        <f>IFERROR(IF(M164="✅ ĐỦ ĐIỀU KIỆN MUA",ROUND((I164/3+K164/9-J164/5)*10,1),0),"")</f>
        <v/>
      </c>
    </row>
    <row r="165" ht="15" customHeight="1" s="981">
      <c r="A165" s="861" t="n">
        <v>160</v>
      </c>
      <c r="B165" s="862">
        <f>IFERROR(IF('📈 Cổ Phiếu VN 🔍'!$A$164="","",'📈 Cổ Phiếu VN 🔍'!$A$164),"")</f>
        <v/>
      </c>
      <c r="C165" s="862">
        <f>IFERROR('📈 Cổ Phiếu VN 🔍'!$B$164,"")</f>
        <v/>
      </c>
      <c r="D165" s="862">
        <f>IFERROR('📈 Cổ Phiếu VN 🔍'!$C$164,"")</f>
        <v/>
      </c>
      <c r="E165" s="862">
        <f>IFERROR('📈 Cổ Phiếu VN 🔍'!$E$164,0)</f>
        <v/>
      </c>
      <c r="F165" s="862">
        <f>IFERROR('📈 Cổ Phiếu VN 🔍'!$F$164,0)</f>
        <v/>
      </c>
      <c r="G165" s="862">
        <f>IFERROR('📈 Cổ Phiếu VN 🔍'!$G$164,0)</f>
        <v/>
      </c>
      <c r="H165" s="862">
        <f>IFERROR('📈 Cổ Phiếu VN 🔍'!$T$164,0)</f>
        <v/>
      </c>
      <c r="I165" s="863">
        <f>IFERROR(IF('📈 Cổ Phiếu VN 🔍'!$A$164="","",ROUND(3.25+6.56*0.15+3.26*('📈 Cổ Phiếu VN 🔍'!$G$164/100*0.5)+6.72*('📈 Cổ Phiếu VN 🔍'!$G$164/100)+1.05*(1/('📈 Cổ Phiếu VN 🔍'!$T$164+0.5)),2)),"")</f>
        <v/>
      </c>
      <c r="J165" s="863">
        <f>IFERROR(IF('📈 Cổ Phiếu VN 🔍'!$A$164="","",ROUND(-4.84+0.92*(1+0.5*'📈 Cổ Phiếu VN 🔍'!$J$164/100)+0.528*1.02+0.404*1.01+0.892*(1+'📈 Cổ Phiếu VN 🔍'!$J$164/100)+0.115*1.02,2)),"")</f>
        <v/>
      </c>
      <c r="K165" s="863">
        <f>IFERROR(IF('📈 Cổ Phiếu VN 🔍'!$A$164="","",(IF('📈 Cổ Phiếu VN 🔍'!$G$164&gt;0,1,0)+IF('📈 Cổ Phiếu VN 🔍'!$G$164&gt;5,1,0)+IF('📈 Cổ Phiếu VN 🔍'!$G$164&gt;10,1,0)+IF('📈 Cổ Phiếu VN 🔍'!$G$164&gt;15,1,0)+IF('📈 Cổ Phiếu VN 🔍'!$T$164&lt;3,1,0)+IF('📈 Cổ Phiếu VN 🔍'!$T$164&lt;5,1,0)+IF('📈 Cổ Phiếu VN 🔍'!$J$164&gt;0,1,0)+IF('📈 Cổ Phiếu VN 🔍'!$E$164&lt;20,1,0)+IF('📈 Cổ Phiếu VN 🔍'!$E$164&gt;0,1,0))),"")</f>
        <v/>
      </c>
      <c r="L165" s="863">
        <f>IFERROR(IF(I165="","",IF(OR(I165&lt;1.8,J165&gt;-1.78,K165&lt;5),"🔴 CỜ ĐỎ",IF(OR(I165&lt;2.99,J165&gt;-2.22,K165&lt;7),"🟡 Theo dõi","🟢 Sạch"))),"")</f>
        <v/>
      </c>
      <c r="M165" s="863">
        <f>IFERROR(IF(L165="🟢 Sạch","✅ ĐỦ ĐIỀU KIỆN MUA",IF(L165="🟡 Theo dõi","⚠️ Cần xác minh BCTC","❌ LOẠI KHỎI BỘ LỌC")),"")</f>
        <v/>
      </c>
      <c r="N165" s="863">
        <f>IFERROR(IF(M165="✅ ĐỦ ĐIỀU KIỆN MUA",ROUND((I165/3+K165/9-J165/5)*10,1),0),"")</f>
        <v/>
      </c>
    </row>
    <row r="166" ht="15" customHeight="1" s="981">
      <c r="A166" s="861" t="n">
        <v>161</v>
      </c>
      <c r="B166" s="862">
        <f>IFERROR(IF('📈 Cổ Phiếu VN 🔍'!$A$165="","",'📈 Cổ Phiếu VN 🔍'!$A$165),"")</f>
        <v/>
      </c>
      <c r="C166" s="862">
        <f>IFERROR('📈 Cổ Phiếu VN 🔍'!$B$165,"")</f>
        <v/>
      </c>
      <c r="D166" s="862">
        <f>IFERROR('📈 Cổ Phiếu VN 🔍'!$C$165,"")</f>
        <v/>
      </c>
      <c r="E166" s="862">
        <f>IFERROR('📈 Cổ Phiếu VN 🔍'!$E$165,0)</f>
        <v/>
      </c>
      <c r="F166" s="862">
        <f>IFERROR('📈 Cổ Phiếu VN 🔍'!$F$165,0)</f>
        <v/>
      </c>
      <c r="G166" s="862">
        <f>IFERROR('📈 Cổ Phiếu VN 🔍'!$G$165,0)</f>
        <v/>
      </c>
      <c r="H166" s="862">
        <f>IFERROR('📈 Cổ Phiếu VN 🔍'!$T$165,0)</f>
        <v/>
      </c>
      <c r="I166" s="863">
        <f>IFERROR(IF('📈 Cổ Phiếu VN 🔍'!$A$165="","",ROUND(3.25+6.56*0.15+3.26*('📈 Cổ Phiếu VN 🔍'!$G$165/100*0.5)+6.72*('📈 Cổ Phiếu VN 🔍'!$G$165/100)+1.05*(1/('📈 Cổ Phiếu VN 🔍'!$T$165+0.5)),2)),"")</f>
        <v/>
      </c>
      <c r="J166" s="863">
        <f>IFERROR(IF('📈 Cổ Phiếu VN 🔍'!$A$165="","",ROUND(-4.84+0.92*(1+0.5*'📈 Cổ Phiếu VN 🔍'!$J$165/100)+0.528*1.02+0.404*1.01+0.892*(1+'📈 Cổ Phiếu VN 🔍'!$J$165/100)+0.115*1.02,2)),"")</f>
        <v/>
      </c>
      <c r="K166" s="863">
        <f>IFERROR(IF('📈 Cổ Phiếu VN 🔍'!$A$165="","",(IF('📈 Cổ Phiếu VN 🔍'!$G$165&gt;0,1,0)+IF('📈 Cổ Phiếu VN 🔍'!$G$165&gt;5,1,0)+IF('📈 Cổ Phiếu VN 🔍'!$G$165&gt;10,1,0)+IF('📈 Cổ Phiếu VN 🔍'!$G$165&gt;15,1,0)+IF('📈 Cổ Phiếu VN 🔍'!$T$165&lt;3,1,0)+IF('📈 Cổ Phiếu VN 🔍'!$T$165&lt;5,1,0)+IF('📈 Cổ Phiếu VN 🔍'!$J$165&gt;0,1,0)+IF('📈 Cổ Phiếu VN 🔍'!$E$165&lt;20,1,0)+IF('📈 Cổ Phiếu VN 🔍'!$E$165&gt;0,1,0))),"")</f>
        <v/>
      </c>
      <c r="L166" s="863">
        <f>IFERROR(IF(I166="","",IF(OR(I166&lt;1.8,J166&gt;-1.78,K166&lt;5),"🔴 CỜ ĐỎ",IF(OR(I166&lt;2.99,J166&gt;-2.22,K166&lt;7),"🟡 Theo dõi","🟢 Sạch"))),"")</f>
        <v/>
      </c>
      <c r="M166" s="863">
        <f>IFERROR(IF(L166="🟢 Sạch","✅ ĐỦ ĐIỀU KIỆN MUA",IF(L166="🟡 Theo dõi","⚠️ Cần xác minh BCTC","❌ LOẠI KHỎI BỘ LỌC")),"")</f>
        <v/>
      </c>
      <c r="N166" s="863">
        <f>IFERROR(IF(M166="✅ ĐỦ ĐIỀU KIỆN MUA",ROUND((I166/3+K166/9-J166/5)*10,1),0),"")</f>
        <v/>
      </c>
    </row>
    <row r="167" ht="15" customHeight="1" s="981">
      <c r="A167" s="861" t="n">
        <v>162</v>
      </c>
      <c r="B167" s="862">
        <f>IFERROR(IF('📈 Cổ Phiếu VN 🔍'!$A$166="","",'📈 Cổ Phiếu VN 🔍'!$A$166),"")</f>
        <v/>
      </c>
      <c r="C167" s="862">
        <f>IFERROR('📈 Cổ Phiếu VN 🔍'!$B$166,"")</f>
        <v/>
      </c>
      <c r="D167" s="862">
        <f>IFERROR('📈 Cổ Phiếu VN 🔍'!$C$166,"")</f>
        <v/>
      </c>
      <c r="E167" s="862">
        <f>IFERROR('📈 Cổ Phiếu VN 🔍'!$E$166,0)</f>
        <v/>
      </c>
      <c r="F167" s="862">
        <f>IFERROR('📈 Cổ Phiếu VN 🔍'!$F$166,0)</f>
        <v/>
      </c>
      <c r="G167" s="862">
        <f>IFERROR('📈 Cổ Phiếu VN 🔍'!$G$166,0)</f>
        <v/>
      </c>
      <c r="H167" s="862">
        <f>IFERROR('📈 Cổ Phiếu VN 🔍'!$T$166,0)</f>
        <v/>
      </c>
      <c r="I167" s="863">
        <f>IFERROR(IF('📈 Cổ Phiếu VN 🔍'!$A$166="","",ROUND(3.25+6.56*0.15+3.26*('📈 Cổ Phiếu VN 🔍'!$G$166/100*0.5)+6.72*('📈 Cổ Phiếu VN 🔍'!$G$166/100)+1.05*(1/('📈 Cổ Phiếu VN 🔍'!$T$166+0.5)),2)),"")</f>
        <v/>
      </c>
      <c r="J167" s="863">
        <f>IFERROR(IF('📈 Cổ Phiếu VN 🔍'!$A$166="","",ROUND(-4.84+0.92*(1+0.5*'📈 Cổ Phiếu VN 🔍'!$J$166/100)+0.528*1.02+0.404*1.01+0.892*(1+'📈 Cổ Phiếu VN 🔍'!$J$166/100)+0.115*1.02,2)),"")</f>
        <v/>
      </c>
      <c r="K167" s="863">
        <f>IFERROR(IF('📈 Cổ Phiếu VN 🔍'!$A$166="","",(IF('📈 Cổ Phiếu VN 🔍'!$G$166&gt;0,1,0)+IF('📈 Cổ Phiếu VN 🔍'!$G$166&gt;5,1,0)+IF('📈 Cổ Phiếu VN 🔍'!$G$166&gt;10,1,0)+IF('📈 Cổ Phiếu VN 🔍'!$G$166&gt;15,1,0)+IF('📈 Cổ Phiếu VN 🔍'!$T$166&lt;3,1,0)+IF('📈 Cổ Phiếu VN 🔍'!$T$166&lt;5,1,0)+IF('📈 Cổ Phiếu VN 🔍'!$J$166&gt;0,1,0)+IF('📈 Cổ Phiếu VN 🔍'!$E$166&lt;20,1,0)+IF('📈 Cổ Phiếu VN 🔍'!$E$166&gt;0,1,0))),"")</f>
        <v/>
      </c>
      <c r="L167" s="863">
        <f>IFERROR(IF(I167="","",IF(OR(I167&lt;1.8,J167&gt;-1.78,K167&lt;5),"🔴 CỜ ĐỎ",IF(OR(I167&lt;2.99,J167&gt;-2.22,K167&lt;7),"🟡 Theo dõi","🟢 Sạch"))),"")</f>
        <v/>
      </c>
      <c r="M167" s="863">
        <f>IFERROR(IF(L167="🟢 Sạch","✅ ĐỦ ĐIỀU KIỆN MUA",IF(L167="🟡 Theo dõi","⚠️ Cần xác minh BCTC","❌ LOẠI KHỎI BỘ LỌC")),"")</f>
        <v/>
      </c>
      <c r="N167" s="863">
        <f>IFERROR(IF(M167="✅ ĐỦ ĐIỀU KIỆN MUA",ROUND((I167/3+K167/9-J167/5)*10,1),0),"")</f>
        <v/>
      </c>
    </row>
    <row r="168" ht="15" customHeight="1" s="981">
      <c r="A168" s="861" t="n">
        <v>163</v>
      </c>
      <c r="B168" s="862">
        <f>IFERROR(IF('📈 Cổ Phiếu VN 🔍'!$A$167="","",'📈 Cổ Phiếu VN 🔍'!$A$167),"")</f>
        <v/>
      </c>
      <c r="C168" s="862">
        <f>IFERROR('📈 Cổ Phiếu VN 🔍'!$B$167,"")</f>
        <v/>
      </c>
      <c r="D168" s="862">
        <f>IFERROR('📈 Cổ Phiếu VN 🔍'!$C$167,"")</f>
        <v/>
      </c>
      <c r="E168" s="862">
        <f>IFERROR('📈 Cổ Phiếu VN 🔍'!$E$167,0)</f>
        <v/>
      </c>
      <c r="F168" s="862">
        <f>IFERROR('📈 Cổ Phiếu VN 🔍'!$F$167,0)</f>
        <v/>
      </c>
      <c r="G168" s="862">
        <f>IFERROR('📈 Cổ Phiếu VN 🔍'!$G$167,0)</f>
        <v/>
      </c>
      <c r="H168" s="862">
        <f>IFERROR('📈 Cổ Phiếu VN 🔍'!$T$167,0)</f>
        <v/>
      </c>
      <c r="I168" s="863">
        <f>IFERROR(IF('📈 Cổ Phiếu VN 🔍'!$A$167="","",ROUND(3.25+6.56*0.15+3.26*('📈 Cổ Phiếu VN 🔍'!$G$167/100*0.5)+6.72*('📈 Cổ Phiếu VN 🔍'!$G$167/100)+1.05*(1/('📈 Cổ Phiếu VN 🔍'!$T$167+0.5)),2)),"")</f>
        <v/>
      </c>
      <c r="J168" s="863">
        <f>IFERROR(IF('📈 Cổ Phiếu VN 🔍'!$A$167="","",ROUND(-4.84+0.92*(1+0.5*'📈 Cổ Phiếu VN 🔍'!$J$167/100)+0.528*1.02+0.404*1.01+0.892*(1+'📈 Cổ Phiếu VN 🔍'!$J$167/100)+0.115*1.02,2)),"")</f>
        <v/>
      </c>
      <c r="K168" s="863">
        <f>IFERROR(IF('📈 Cổ Phiếu VN 🔍'!$A$167="","",(IF('📈 Cổ Phiếu VN 🔍'!$G$167&gt;0,1,0)+IF('📈 Cổ Phiếu VN 🔍'!$G$167&gt;5,1,0)+IF('📈 Cổ Phiếu VN 🔍'!$G$167&gt;10,1,0)+IF('📈 Cổ Phiếu VN 🔍'!$G$167&gt;15,1,0)+IF('📈 Cổ Phiếu VN 🔍'!$T$167&lt;3,1,0)+IF('📈 Cổ Phiếu VN 🔍'!$T$167&lt;5,1,0)+IF('📈 Cổ Phiếu VN 🔍'!$J$167&gt;0,1,0)+IF('📈 Cổ Phiếu VN 🔍'!$E$167&lt;20,1,0)+IF('📈 Cổ Phiếu VN 🔍'!$E$167&gt;0,1,0))),"")</f>
        <v/>
      </c>
      <c r="L168" s="863">
        <f>IFERROR(IF(I168="","",IF(OR(I168&lt;1.8,J168&gt;-1.78,K168&lt;5),"🔴 CỜ ĐỎ",IF(OR(I168&lt;2.99,J168&gt;-2.22,K168&lt;7),"🟡 Theo dõi","🟢 Sạch"))),"")</f>
        <v/>
      </c>
      <c r="M168" s="863">
        <f>IFERROR(IF(L168="🟢 Sạch","✅ ĐỦ ĐIỀU KIỆN MUA",IF(L168="🟡 Theo dõi","⚠️ Cần xác minh BCTC","❌ LOẠI KHỎI BỘ LỌC")),"")</f>
        <v/>
      </c>
      <c r="N168" s="863">
        <f>IFERROR(IF(M168="✅ ĐỦ ĐIỀU KIỆN MUA",ROUND((I168/3+K168/9-J168/5)*10,1),0),"")</f>
        <v/>
      </c>
    </row>
    <row r="169" ht="15" customHeight="1" s="981">
      <c r="A169" s="861" t="n">
        <v>164</v>
      </c>
      <c r="B169" s="862">
        <f>IFERROR(IF('📈 Cổ Phiếu VN 🔍'!$A$168="","",'📈 Cổ Phiếu VN 🔍'!$A$168),"")</f>
        <v/>
      </c>
      <c r="C169" s="862">
        <f>IFERROR('📈 Cổ Phiếu VN 🔍'!$B$168,"")</f>
        <v/>
      </c>
      <c r="D169" s="862">
        <f>IFERROR('📈 Cổ Phiếu VN 🔍'!$C$168,"")</f>
        <v/>
      </c>
      <c r="E169" s="862">
        <f>IFERROR('📈 Cổ Phiếu VN 🔍'!$E$168,0)</f>
        <v/>
      </c>
      <c r="F169" s="862">
        <f>IFERROR('📈 Cổ Phiếu VN 🔍'!$F$168,0)</f>
        <v/>
      </c>
      <c r="G169" s="862">
        <f>IFERROR('📈 Cổ Phiếu VN 🔍'!$G$168,0)</f>
        <v/>
      </c>
      <c r="H169" s="862">
        <f>IFERROR('📈 Cổ Phiếu VN 🔍'!$T$168,0)</f>
        <v/>
      </c>
      <c r="I169" s="863">
        <f>IFERROR(IF('📈 Cổ Phiếu VN 🔍'!$A$168="","",ROUND(3.25+6.56*0.15+3.26*('📈 Cổ Phiếu VN 🔍'!$G$168/100*0.5)+6.72*('📈 Cổ Phiếu VN 🔍'!$G$168/100)+1.05*(1/('📈 Cổ Phiếu VN 🔍'!$T$168+0.5)),2)),"")</f>
        <v/>
      </c>
      <c r="J169" s="863">
        <f>IFERROR(IF('📈 Cổ Phiếu VN 🔍'!$A$168="","",ROUND(-4.84+0.92*(1+0.5*'📈 Cổ Phiếu VN 🔍'!$J$168/100)+0.528*1.02+0.404*1.01+0.892*(1+'📈 Cổ Phiếu VN 🔍'!$J$168/100)+0.115*1.02,2)),"")</f>
        <v/>
      </c>
      <c r="K169" s="863">
        <f>IFERROR(IF('📈 Cổ Phiếu VN 🔍'!$A$168="","",(IF('📈 Cổ Phiếu VN 🔍'!$G$168&gt;0,1,0)+IF('📈 Cổ Phiếu VN 🔍'!$G$168&gt;5,1,0)+IF('📈 Cổ Phiếu VN 🔍'!$G$168&gt;10,1,0)+IF('📈 Cổ Phiếu VN 🔍'!$G$168&gt;15,1,0)+IF('📈 Cổ Phiếu VN 🔍'!$T$168&lt;3,1,0)+IF('📈 Cổ Phiếu VN 🔍'!$T$168&lt;5,1,0)+IF('📈 Cổ Phiếu VN 🔍'!$J$168&gt;0,1,0)+IF('📈 Cổ Phiếu VN 🔍'!$E$168&lt;20,1,0)+IF('📈 Cổ Phiếu VN 🔍'!$E$168&gt;0,1,0))),"")</f>
        <v/>
      </c>
      <c r="L169" s="863">
        <f>IFERROR(IF(I169="","",IF(OR(I169&lt;1.8,J169&gt;-1.78,K169&lt;5),"🔴 CỜ ĐỎ",IF(OR(I169&lt;2.99,J169&gt;-2.22,K169&lt;7),"🟡 Theo dõi","🟢 Sạch"))),"")</f>
        <v/>
      </c>
      <c r="M169" s="863">
        <f>IFERROR(IF(L169="🟢 Sạch","✅ ĐỦ ĐIỀU KIỆN MUA",IF(L169="🟡 Theo dõi","⚠️ Cần xác minh BCTC","❌ LOẠI KHỎI BỘ LỌC")),"")</f>
        <v/>
      </c>
      <c r="N169" s="863">
        <f>IFERROR(IF(M169="✅ ĐỦ ĐIỀU KIỆN MUA",ROUND((I169/3+K169/9-J169/5)*10,1),0),"")</f>
        <v/>
      </c>
    </row>
    <row r="170" ht="15" customHeight="1" s="981">
      <c r="A170" s="861" t="n">
        <v>165</v>
      </c>
      <c r="B170" s="862">
        <f>IFERROR(IF('📈 Cổ Phiếu VN 🔍'!$A$169="","",'📈 Cổ Phiếu VN 🔍'!$A$169),"")</f>
        <v/>
      </c>
      <c r="C170" s="862">
        <f>IFERROR('📈 Cổ Phiếu VN 🔍'!$B$169,"")</f>
        <v/>
      </c>
      <c r="D170" s="862">
        <f>IFERROR('📈 Cổ Phiếu VN 🔍'!$C$169,"")</f>
        <v/>
      </c>
      <c r="E170" s="862">
        <f>IFERROR('📈 Cổ Phiếu VN 🔍'!$E$169,0)</f>
        <v/>
      </c>
      <c r="F170" s="862">
        <f>IFERROR('📈 Cổ Phiếu VN 🔍'!$F$169,0)</f>
        <v/>
      </c>
      <c r="G170" s="862">
        <f>IFERROR('📈 Cổ Phiếu VN 🔍'!$G$169,0)</f>
        <v/>
      </c>
      <c r="H170" s="862">
        <f>IFERROR('📈 Cổ Phiếu VN 🔍'!$T$169,0)</f>
        <v/>
      </c>
      <c r="I170" s="863">
        <f>IFERROR(IF('📈 Cổ Phiếu VN 🔍'!$A$169="","",ROUND(3.25+6.56*0.15+3.26*('📈 Cổ Phiếu VN 🔍'!$G$169/100*0.5)+6.72*('📈 Cổ Phiếu VN 🔍'!$G$169/100)+1.05*(1/('📈 Cổ Phiếu VN 🔍'!$T$169+0.5)),2)),"")</f>
        <v/>
      </c>
      <c r="J170" s="863">
        <f>IFERROR(IF('📈 Cổ Phiếu VN 🔍'!$A$169="","",ROUND(-4.84+0.92*(1+0.5*'📈 Cổ Phiếu VN 🔍'!$J$169/100)+0.528*1.02+0.404*1.01+0.892*(1+'📈 Cổ Phiếu VN 🔍'!$J$169/100)+0.115*1.02,2)),"")</f>
        <v/>
      </c>
      <c r="K170" s="863">
        <f>IFERROR(IF('📈 Cổ Phiếu VN 🔍'!$A$169="","",(IF('📈 Cổ Phiếu VN 🔍'!$G$169&gt;0,1,0)+IF('📈 Cổ Phiếu VN 🔍'!$G$169&gt;5,1,0)+IF('📈 Cổ Phiếu VN 🔍'!$G$169&gt;10,1,0)+IF('📈 Cổ Phiếu VN 🔍'!$G$169&gt;15,1,0)+IF('📈 Cổ Phiếu VN 🔍'!$T$169&lt;3,1,0)+IF('📈 Cổ Phiếu VN 🔍'!$T$169&lt;5,1,0)+IF('📈 Cổ Phiếu VN 🔍'!$J$169&gt;0,1,0)+IF('📈 Cổ Phiếu VN 🔍'!$E$169&lt;20,1,0)+IF('📈 Cổ Phiếu VN 🔍'!$E$169&gt;0,1,0))),"")</f>
        <v/>
      </c>
      <c r="L170" s="863">
        <f>IFERROR(IF(I170="","",IF(OR(I170&lt;1.8,J170&gt;-1.78,K170&lt;5),"🔴 CỜ ĐỎ",IF(OR(I170&lt;2.99,J170&gt;-2.22,K170&lt;7),"🟡 Theo dõi","🟢 Sạch"))),"")</f>
        <v/>
      </c>
      <c r="M170" s="863">
        <f>IFERROR(IF(L170="🟢 Sạch","✅ ĐỦ ĐIỀU KIỆN MUA",IF(L170="🟡 Theo dõi","⚠️ Cần xác minh BCTC","❌ LOẠI KHỎI BỘ LỌC")),"")</f>
        <v/>
      </c>
      <c r="N170" s="863">
        <f>IFERROR(IF(M170="✅ ĐỦ ĐIỀU KIỆN MUA",ROUND((I170/3+K170/9-J170/5)*10,1),0),"")</f>
        <v/>
      </c>
    </row>
    <row r="171" ht="15" customHeight="1" s="981">
      <c r="A171" s="861" t="n">
        <v>166</v>
      </c>
      <c r="B171" s="862">
        <f>IFERROR(IF('📈 Cổ Phiếu VN 🔍'!$A$170="","",'📈 Cổ Phiếu VN 🔍'!$A$170),"")</f>
        <v/>
      </c>
      <c r="C171" s="862">
        <f>IFERROR('📈 Cổ Phiếu VN 🔍'!$B$170,"")</f>
        <v/>
      </c>
      <c r="D171" s="862">
        <f>IFERROR('📈 Cổ Phiếu VN 🔍'!$C$170,"")</f>
        <v/>
      </c>
      <c r="E171" s="862">
        <f>IFERROR('📈 Cổ Phiếu VN 🔍'!$E$170,0)</f>
        <v/>
      </c>
      <c r="F171" s="862">
        <f>IFERROR('📈 Cổ Phiếu VN 🔍'!$F$170,0)</f>
        <v/>
      </c>
      <c r="G171" s="862">
        <f>IFERROR('📈 Cổ Phiếu VN 🔍'!$G$170,0)</f>
        <v/>
      </c>
      <c r="H171" s="862">
        <f>IFERROR('📈 Cổ Phiếu VN 🔍'!$T$170,0)</f>
        <v/>
      </c>
      <c r="I171" s="863">
        <f>IFERROR(IF('📈 Cổ Phiếu VN 🔍'!$A$170="","",ROUND(3.25+6.56*0.15+3.26*('📈 Cổ Phiếu VN 🔍'!$G$170/100*0.5)+6.72*('📈 Cổ Phiếu VN 🔍'!$G$170/100)+1.05*(1/('📈 Cổ Phiếu VN 🔍'!$T$170+0.5)),2)),"")</f>
        <v/>
      </c>
      <c r="J171" s="863">
        <f>IFERROR(IF('📈 Cổ Phiếu VN 🔍'!$A$170="","",ROUND(-4.84+0.92*(1+0.5*'📈 Cổ Phiếu VN 🔍'!$J$170/100)+0.528*1.02+0.404*1.01+0.892*(1+'📈 Cổ Phiếu VN 🔍'!$J$170/100)+0.115*1.02,2)),"")</f>
        <v/>
      </c>
      <c r="K171" s="863">
        <f>IFERROR(IF('📈 Cổ Phiếu VN 🔍'!$A$170="","",(IF('📈 Cổ Phiếu VN 🔍'!$G$170&gt;0,1,0)+IF('📈 Cổ Phiếu VN 🔍'!$G$170&gt;5,1,0)+IF('📈 Cổ Phiếu VN 🔍'!$G$170&gt;10,1,0)+IF('📈 Cổ Phiếu VN 🔍'!$G$170&gt;15,1,0)+IF('📈 Cổ Phiếu VN 🔍'!$T$170&lt;3,1,0)+IF('📈 Cổ Phiếu VN 🔍'!$T$170&lt;5,1,0)+IF('📈 Cổ Phiếu VN 🔍'!$J$170&gt;0,1,0)+IF('📈 Cổ Phiếu VN 🔍'!$E$170&lt;20,1,0)+IF('📈 Cổ Phiếu VN 🔍'!$E$170&gt;0,1,0))),"")</f>
        <v/>
      </c>
      <c r="L171" s="863">
        <f>IFERROR(IF(I171="","",IF(OR(I171&lt;1.8,J171&gt;-1.78,K171&lt;5),"🔴 CỜ ĐỎ",IF(OR(I171&lt;2.99,J171&gt;-2.22,K171&lt;7),"🟡 Theo dõi","🟢 Sạch"))),"")</f>
        <v/>
      </c>
      <c r="M171" s="863">
        <f>IFERROR(IF(L171="🟢 Sạch","✅ ĐỦ ĐIỀU KIỆN MUA",IF(L171="🟡 Theo dõi","⚠️ Cần xác minh BCTC","❌ LOẠI KHỎI BỘ LỌC")),"")</f>
        <v/>
      </c>
      <c r="N171" s="863">
        <f>IFERROR(IF(M171="✅ ĐỦ ĐIỀU KIỆN MUA",ROUND((I171/3+K171/9-J171/5)*10,1),0),"")</f>
        <v/>
      </c>
    </row>
    <row r="172" ht="15" customHeight="1" s="981">
      <c r="A172" s="861" t="n">
        <v>167</v>
      </c>
      <c r="B172" s="862">
        <f>IFERROR(IF('📈 Cổ Phiếu VN 🔍'!$A$171="","",'📈 Cổ Phiếu VN 🔍'!$A$171),"")</f>
        <v/>
      </c>
      <c r="C172" s="862">
        <f>IFERROR('📈 Cổ Phiếu VN 🔍'!$B$171,"")</f>
        <v/>
      </c>
      <c r="D172" s="862">
        <f>IFERROR('📈 Cổ Phiếu VN 🔍'!$C$171,"")</f>
        <v/>
      </c>
      <c r="E172" s="862">
        <f>IFERROR('📈 Cổ Phiếu VN 🔍'!$E$171,0)</f>
        <v/>
      </c>
      <c r="F172" s="862">
        <f>IFERROR('📈 Cổ Phiếu VN 🔍'!$F$171,0)</f>
        <v/>
      </c>
      <c r="G172" s="862">
        <f>IFERROR('📈 Cổ Phiếu VN 🔍'!$G$171,0)</f>
        <v/>
      </c>
      <c r="H172" s="862">
        <f>IFERROR('📈 Cổ Phiếu VN 🔍'!$T$171,0)</f>
        <v/>
      </c>
      <c r="I172" s="863">
        <f>IFERROR(IF('📈 Cổ Phiếu VN 🔍'!$A$171="","",ROUND(3.25+6.56*0.15+3.26*('📈 Cổ Phiếu VN 🔍'!$G$171/100*0.5)+6.72*('📈 Cổ Phiếu VN 🔍'!$G$171/100)+1.05*(1/('📈 Cổ Phiếu VN 🔍'!$T$171+0.5)),2)),"")</f>
        <v/>
      </c>
      <c r="J172" s="863">
        <f>IFERROR(IF('📈 Cổ Phiếu VN 🔍'!$A$171="","",ROUND(-4.84+0.92*(1+0.5*'📈 Cổ Phiếu VN 🔍'!$J$171/100)+0.528*1.02+0.404*1.01+0.892*(1+'📈 Cổ Phiếu VN 🔍'!$J$171/100)+0.115*1.02,2)),"")</f>
        <v/>
      </c>
      <c r="K172" s="863">
        <f>IFERROR(IF('📈 Cổ Phiếu VN 🔍'!$A$171="","",(IF('📈 Cổ Phiếu VN 🔍'!$G$171&gt;0,1,0)+IF('📈 Cổ Phiếu VN 🔍'!$G$171&gt;5,1,0)+IF('📈 Cổ Phiếu VN 🔍'!$G$171&gt;10,1,0)+IF('📈 Cổ Phiếu VN 🔍'!$G$171&gt;15,1,0)+IF('📈 Cổ Phiếu VN 🔍'!$T$171&lt;3,1,0)+IF('📈 Cổ Phiếu VN 🔍'!$T$171&lt;5,1,0)+IF('📈 Cổ Phiếu VN 🔍'!$J$171&gt;0,1,0)+IF('📈 Cổ Phiếu VN 🔍'!$E$171&lt;20,1,0)+IF('📈 Cổ Phiếu VN 🔍'!$E$171&gt;0,1,0))),"")</f>
        <v/>
      </c>
      <c r="L172" s="863">
        <f>IFERROR(IF(I172="","",IF(OR(I172&lt;1.8,J172&gt;-1.78,K172&lt;5),"🔴 CỜ ĐỎ",IF(OR(I172&lt;2.99,J172&gt;-2.22,K172&lt;7),"🟡 Theo dõi","🟢 Sạch"))),"")</f>
        <v/>
      </c>
      <c r="M172" s="863">
        <f>IFERROR(IF(L172="🟢 Sạch","✅ ĐỦ ĐIỀU KIỆN MUA",IF(L172="🟡 Theo dõi","⚠️ Cần xác minh BCTC","❌ LOẠI KHỎI BỘ LỌC")),"")</f>
        <v/>
      </c>
      <c r="N172" s="863">
        <f>IFERROR(IF(M172="✅ ĐỦ ĐIỀU KIỆN MUA",ROUND((I172/3+K172/9-J172/5)*10,1),0),"")</f>
        <v/>
      </c>
    </row>
    <row r="173" ht="15" customHeight="1" s="981">
      <c r="A173" s="861" t="n">
        <v>168</v>
      </c>
      <c r="B173" s="862">
        <f>IFERROR(IF('📈 Cổ Phiếu VN 🔍'!$A$172="","",'📈 Cổ Phiếu VN 🔍'!$A$172),"")</f>
        <v/>
      </c>
      <c r="C173" s="862">
        <f>IFERROR('📈 Cổ Phiếu VN 🔍'!$B$172,"")</f>
        <v/>
      </c>
      <c r="D173" s="862">
        <f>IFERROR('📈 Cổ Phiếu VN 🔍'!$C$172,"")</f>
        <v/>
      </c>
      <c r="E173" s="862">
        <f>IFERROR('📈 Cổ Phiếu VN 🔍'!$E$172,0)</f>
        <v/>
      </c>
      <c r="F173" s="862">
        <f>IFERROR('📈 Cổ Phiếu VN 🔍'!$F$172,0)</f>
        <v/>
      </c>
      <c r="G173" s="862">
        <f>IFERROR('📈 Cổ Phiếu VN 🔍'!$G$172,0)</f>
        <v/>
      </c>
      <c r="H173" s="862">
        <f>IFERROR('📈 Cổ Phiếu VN 🔍'!$T$172,0)</f>
        <v/>
      </c>
      <c r="I173" s="863">
        <f>IFERROR(IF('📈 Cổ Phiếu VN 🔍'!$A$172="","",ROUND(3.25+6.56*0.15+3.26*('📈 Cổ Phiếu VN 🔍'!$G$172/100*0.5)+6.72*('📈 Cổ Phiếu VN 🔍'!$G$172/100)+1.05*(1/('📈 Cổ Phiếu VN 🔍'!$T$172+0.5)),2)),"")</f>
        <v/>
      </c>
      <c r="J173" s="863">
        <f>IFERROR(IF('📈 Cổ Phiếu VN 🔍'!$A$172="","",ROUND(-4.84+0.92*(1+0.5*'📈 Cổ Phiếu VN 🔍'!$J$172/100)+0.528*1.02+0.404*1.01+0.892*(1+'📈 Cổ Phiếu VN 🔍'!$J$172/100)+0.115*1.02,2)),"")</f>
        <v/>
      </c>
      <c r="K173" s="863">
        <f>IFERROR(IF('📈 Cổ Phiếu VN 🔍'!$A$172="","",(IF('📈 Cổ Phiếu VN 🔍'!$G$172&gt;0,1,0)+IF('📈 Cổ Phiếu VN 🔍'!$G$172&gt;5,1,0)+IF('📈 Cổ Phiếu VN 🔍'!$G$172&gt;10,1,0)+IF('📈 Cổ Phiếu VN 🔍'!$G$172&gt;15,1,0)+IF('📈 Cổ Phiếu VN 🔍'!$T$172&lt;3,1,0)+IF('📈 Cổ Phiếu VN 🔍'!$T$172&lt;5,1,0)+IF('📈 Cổ Phiếu VN 🔍'!$J$172&gt;0,1,0)+IF('📈 Cổ Phiếu VN 🔍'!$E$172&lt;20,1,0)+IF('📈 Cổ Phiếu VN 🔍'!$E$172&gt;0,1,0))),"")</f>
        <v/>
      </c>
      <c r="L173" s="863">
        <f>IFERROR(IF(I173="","",IF(OR(I173&lt;1.8,J173&gt;-1.78,K173&lt;5),"🔴 CỜ ĐỎ",IF(OR(I173&lt;2.99,J173&gt;-2.22,K173&lt;7),"🟡 Theo dõi","🟢 Sạch"))),"")</f>
        <v/>
      </c>
      <c r="M173" s="863">
        <f>IFERROR(IF(L173="🟢 Sạch","✅ ĐỦ ĐIỀU KIỆN MUA",IF(L173="🟡 Theo dõi","⚠️ Cần xác minh BCTC","❌ LOẠI KHỎI BỘ LỌC")),"")</f>
        <v/>
      </c>
      <c r="N173" s="863">
        <f>IFERROR(IF(M173="✅ ĐỦ ĐIỀU KIỆN MUA",ROUND((I173/3+K173/9-J173/5)*10,1),0),"")</f>
        <v/>
      </c>
    </row>
    <row r="174" ht="15" customHeight="1" s="981">
      <c r="A174" s="861" t="n">
        <v>169</v>
      </c>
      <c r="B174" s="862">
        <f>IFERROR(IF('📈 Cổ Phiếu VN 🔍'!$A$173="","",'📈 Cổ Phiếu VN 🔍'!$A$173),"")</f>
        <v/>
      </c>
      <c r="C174" s="862">
        <f>IFERROR('📈 Cổ Phiếu VN 🔍'!$B$173,"")</f>
        <v/>
      </c>
      <c r="D174" s="862">
        <f>IFERROR('📈 Cổ Phiếu VN 🔍'!$C$173,"")</f>
        <v/>
      </c>
      <c r="E174" s="862">
        <f>IFERROR('📈 Cổ Phiếu VN 🔍'!$E$173,0)</f>
        <v/>
      </c>
      <c r="F174" s="862">
        <f>IFERROR('📈 Cổ Phiếu VN 🔍'!$F$173,0)</f>
        <v/>
      </c>
      <c r="G174" s="862">
        <f>IFERROR('📈 Cổ Phiếu VN 🔍'!$G$173,0)</f>
        <v/>
      </c>
      <c r="H174" s="862">
        <f>IFERROR('📈 Cổ Phiếu VN 🔍'!$T$173,0)</f>
        <v/>
      </c>
      <c r="I174" s="863">
        <f>IFERROR(IF('📈 Cổ Phiếu VN 🔍'!$A$173="","",ROUND(3.25+6.56*0.15+3.26*('📈 Cổ Phiếu VN 🔍'!$G$173/100*0.5)+6.72*('📈 Cổ Phiếu VN 🔍'!$G$173/100)+1.05*(1/('📈 Cổ Phiếu VN 🔍'!$T$173+0.5)),2)),"")</f>
        <v/>
      </c>
      <c r="J174" s="863">
        <f>IFERROR(IF('📈 Cổ Phiếu VN 🔍'!$A$173="","",ROUND(-4.84+0.92*(1+0.5*'📈 Cổ Phiếu VN 🔍'!$J$173/100)+0.528*1.02+0.404*1.01+0.892*(1+'📈 Cổ Phiếu VN 🔍'!$J$173/100)+0.115*1.02,2)),"")</f>
        <v/>
      </c>
      <c r="K174" s="863">
        <f>IFERROR(IF('📈 Cổ Phiếu VN 🔍'!$A$173="","",(IF('📈 Cổ Phiếu VN 🔍'!$G$173&gt;0,1,0)+IF('📈 Cổ Phiếu VN 🔍'!$G$173&gt;5,1,0)+IF('📈 Cổ Phiếu VN 🔍'!$G$173&gt;10,1,0)+IF('📈 Cổ Phiếu VN 🔍'!$G$173&gt;15,1,0)+IF('📈 Cổ Phiếu VN 🔍'!$T$173&lt;3,1,0)+IF('📈 Cổ Phiếu VN 🔍'!$T$173&lt;5,1,0)+IF('📈 Cổ Phiếu VN 🔍'!$J$173&gt;0,1,0)+IF('📈 Cổ Phiếu VN 🔍'!$E$173&lt;20,1,0)+IF('📈 Cổ Phiếu VN 🔍'!$E$173&gt;0,1,0))),"")</f>
        <v/>
      </c>
      <c r="L174" s="863">
        <f>IFERROR(IF(I174="","",IF(OR(I174&lt;1.8,J174&gt;-1.78,K174&lt;5),"🔴 CỜ ĐỎ",IF(OR(I174&lt;2.99,J174&gt;-2.22,K174&lt;7),"🟡 Theo dõi","🟢 Sạch"))),"")</f>
        <v/>
      </c>
      <c r="M174" s="863">
        <f>IFERROR(IF(L174="🟢 Sạch","✅ ĐỦ ĐIỀU KIỆN MUA",IF(L174="🟡 Theo dõi","⚠️ Cần xác minh BCTC","❌ LOẠI KHỎI BỘ LỌC")),"")</f>
        <v/>
      </c>
      <c r="N174" s="863">
        <f>IFERROR(IF(M174="✅ ĐỦ ĐIỀU KIỆN MUA",ROUND((I174/3+K174/9-J174/5)*10,1),0),"")</f>
        <v/>
      </c>
    </row>
    <row r="175" ht="15" customHeight="1" s="981">
      <c r="A175" s="861" t="n">
        <v>170</v>
      </c>
      <c r="B175" s="862">
        <f>IFERROR(IF('📈 Cổ Phiếu VN 🔍'!$A$174="","",'📈 Cổ Phiếu VN 🔍'!$A$174),"")</f>
        <v/>
      </c>
      <c r="C175" s="862">
        <f>IFERROR('📈 Cổ Phiếu VN 🔍'!$B$174,"")</f>
        <v/>
      </c>
      <c r="D175" s="862">
        <f>IFERROR('📈 Cổ Phiếu VN 🔍'!$C$174,"")</f>
        <v/>
      </c>
      <c r="E175" s="862">
        <f>IFERROR('📈 Cổ Phiếu VN 🔍'!$E$174,0)</f>
        <v/>
      </c>
      <c r="F175" s="862">
        <f>IFERROR('📈 Cổ Phiếu VN 🔍'!$F$174,0)</f>
        <v/>
      </c>
      <c r="G175" s="862">
        <f>IFERROR('📈 Cổ Phiếu VN 🔍'!$G$174,0)</f>
        <v/>
      </c>
      <c r="H175" s="862">
        <f>IFERROR('📈 Cổ Phiếu VN 🔍'!$T$174,0)</f>
        <v/>
      </c>
      <c r="I175" s="863">
        <f>IFERROR(IF('📈 Cổ Phiếu VN 🔍'!$A$174="","",ROUND(3.25+6.56*0.15+3.26*('📈 Cổ Phiếu VN 🔍'!$G$174/100*0.5)+6.72*('📈 Cổ Phiếu VN 🔍'!$G$174/100)+1.05*(1/('📈 Cổ Phiếu VN 🔍'!$T$174+0.5)),2)),"")</f>
        <v/>
      </c>
      <c r="J175" s="863">
        <f>IFERROR(IF('📈 Cổ Phiếu VN 🔍'!$A$174="","",ROUND(-4.84+0.92*(1+0.5*'📈 Cổ Phiếu VN 🔍'!$J$174/100)+0.528*1.02+0.404*1.01+0.892*(1+'📈 Cổ Phiếu VN 🔍'!$J$174/100)+0.115*1.02,2)),"")</f>
        <v/>
      </c>
      <c r="K175" s="863">
        <f>IFERROR(IF('📈 Cổ Phiếu VN 🔍'!$A$174="","",(IF('📈 Cổ Phiếu VN 🔍'!$G$174&gt;0,1,0)+IF('📈 Cổ Phiếu VN 🔍'!$G$174&gt;5,1,0)+IF('📈 Cổ Phiếu VN 🔍'!$G$174&gt;10,1,0)+IF('📈 Cổ Phiếu VN 🔍'!$G$174&gt;15,1,0)+IF('📈 Cổ Phiếu VN 🔍'!$T$174&lt;3,1,0)+IF('📈 Cổ Phiếu VN 🔍'!$T$174&lt;5,1,0)+IF('📈 Cổ Phiếu VN 🔍'!$J$174&gt;0,1,0)+IF('📈 Cổ Phiếu VN 🔍'!$E$174&lt;20,1,0)+IF('📈 Cổ Phiếu VN 🔍'!$E$174&gt;0,1,0))),"")</f>
        <v/>
      </c>
      <c r="L175" s="863">
        <f>IFERROR(IF(I175="","",IF(OR(I175&lt;1.8,J175&gt;-1.78,K175&lt;5),"🔴 CỜ ĐỎ",IF(OR(I175&lt;2.99,J175&gt;-2.22,K175&lt;7),"🟡 Theo dõi","🟢 Sạch"))),"")</f>
        <v/>
      </c>
      <c r="M175" s="863">
        <f>IFERROR(IF(L175="🟢 Sạch","✅ ĐỦ ĐIỀU KIỆN MUA",IF(L175="🟡 Theo dõi","⚠️ Cần xác minh BCTC","❌ LOẠI KHỎI BỘ LỌC")),"")</f>
        <v/>
      </c>
      <c r="N175" s="863">
        <f>IFERROR(IF(M175="✅ ĐỦ ĐIỀU KIỆN MUA",ROUND((I175/3+K175/9-J175/5)*10,1),0),"")</f>
        <v/>
      </c>
    </row>
    <row r="176" ht="15" customHeight="1" s="981">
      <c r="A176" s="861" t="n">
        <v>171</v>
      </c>
      <c r="B176" s="862">
        <f>IFERROR(IF('📈 Cổ Phiếu VN 🔍'!$A$175="","",'📈 Cổ Phiếu VN 🔍'!$A$175),"")</f>
        <v/>
      </c>
      <c r="C176" s="862">
        <f>IFERROR('📈 Cổ Phiếu VN 🔍'!$B$175,"")</f>
        <v/>
      </c>
      <c r="D176" s="862">
        <f>IFERROR('📈 Cổ Phiếu VN 🔍'!$C$175,"")</f>
        <v/>
      </c>
      <c r="E176" s="862">
        <f>IFERROR('📈 Cổ Phiếu VN 🔍'!$E$175,0)</f>
        <v/>
      </c>
      <c r="F176" s="862">
        <f>IFERROR('📈 Cổ Phiếu VN 🔍'!$F$175,0)</f>
        <v/>
      </c>
      <c r="G176" s="862">
        <f>IFERROR('📈 Cổ Phiếu VN 🔍'!$G$175,0)</f>
        <v/>
      </c>
      <c r="H176" s="862">
        <f>IFERROR('📈 Cổ Phiếu VN 🔍'!$T$175,0)</f>
        <v/>
      </c>
      <c r="I176" s="863">
        <f>IFERROR(IF('📈 Cổ Phiếu VN 🔍'!$A$175="","",ROUND(3.25+6.56*0.15+3.26*('📈 Cổ Phiếu VN 🔍'!$G$175/100*0.5)+6.72*('📈 Cổ Phiếu VN 🔍'!$G$175/100)+1.05*(1/('📈 Cổ Phiếu VN 🔍'!$T$175+0.5)),2)),"")</f>
        <v/>
      </c>
      <c r="J176" s="863">
        <f>IFERROR(IF('📈 Cổ Phiếu VN 🔍'!$A$175="","",ROUND(-4.84+0.92*(1+0.5*'📈 Cổ Phiếu VN 🔍'!$J$175/100)+0.528*1.02+0.404*1.01+0.892*(1+'📈 Cổ Phiếu VN 🔍'!$J$175/100)+0.115*1.02,2)),"")</f>
        <v/>
      </c>
      <c r="K176" s="863">
        <f>IFERROR(IF('📈 Cổ Phiếu VN 🔍'!$A$175="","",(IF('📈 Cổ Phiếu VN 🔍'!$G$175&gt;0,1,0)+IF('📈 Cổ Phiếu VN 🔍'!$G$175&gt;5,1,0)+IF('📈 Cổ Phiếu VN 🔍'!$G$175&gt;10,1,0)+IF('📈 Cổ Phiếu VN 🔍'!$G$175&gt;15,1,0)+IF('📈 Cổ Phiếu VN 🔍'!$T$175&lt;3,1,0)+IF('📈 Cổ Phiếu VN 🔍'!$T$175&lt;5,1,0)+IF('📈 Cổ Phiếu VN 🔍'!$J$175&gt;0,1,0)+IF('📈 Cổ Phiếu VN 🔍'!$E$175&lt;20,1,0)+IF('📈 Cổ Phiếu VN 🔍'!$E$175&gt;0,1,0))),"")</f>
        <v/>
      </c>
      <c r="L176" s="863">
        <f>IFERROR(IF(I176="","",IF(OR(I176&lt;1.8,J176&gt;-1.78,K176&lt;5),"🔴 CỜ ĐỎ",IF(OR(I176&lt;2.99,J176&gt;-2.22,K176&lt;7),"🟡 Theo dõi","🟢 Sạch"))),"")</f>
        <v/>
      </c>
      <c r="M176" s="863">
        <f>IFERROR(IF(L176="🟢 Sạch","✅ ĐỦ ĐIỀU KIỆN MUA",IF(L176="🟡 Theo dõi","⚠️ Cần xác minh BCTC","❌ LOẠI KHỎI BỘ LỌC")),"")</f>
        <v/>
      </c>
      <c r="N176" s="863">
        <f>IFERROR(IF(M176="✅ ĐỦ ĐIỀU KIỆN MUA",ROUND((I176/3+K176/9-J176/5)*10,1),0),"")</f>
        <v/>
      </c>
    </row>
    <row r="177" ht="15" customHeight="1" s="981">
      <c r="A177" s="861" t="n">
        <v>172</v>
      </c>
      <c r="B177" s="862">
        <f>IFERROR(IF('📈 Cổ Phiếu VN 🔍'!$A$176="","",'📈 Cổ Phiếu VN 🔍'!$A$176),"")</f>
        <v/>
      </c>
      <c r="C177" s="862">
        <f>IFERROR('📈 Cổ Phiếu VN 🔍'!$B$176,"")</f>
        <v/>
      </c>
      <c r="D177" s="862">
        <f>IFERROR('📈 Cổ Phiếu VN 🔍'!$C$176,"")</f>
        <v/>
      </c>
      <c r="E177" s="862">
        <f>IFERROR('📈 Cổ Phiếu VN 🔍'!$E$176,0)</f>
        <v/>
      </c>
      <c r="F177" s="862">
        <f>IFERROR('📈 Cổ Phiếu VN 🔍'!$F$176,0)</f>
        <v/>
      </c>
      <c r="G177" s="862">
        <f>IFERROR('📈 Cổ Phiếu VN 🔍'!$G$176,0)</f>
        <v/>
      </c>
      <c r="H177" s="862">
        <f>IFERROR('📈 Cổ Phiếu VN 🔍'!$T$176,0)</f>
        <v/>
      </c>
      <c r="I177" s="863">
        <f>IFERROR(IF('📈 Cổ Phiếu VN 🔍'!$A$176="","",ROUND(3.25+6.56*0.15+3.26*('📈 Cổ Phiếu VN 🔍'!$G$176/100*0.5)+6.72*('📈 Cổ Phiếu VN 🔍'!$G$176/100)+1.05*(1/('📈 Cổ Phiếu VN 🔍'!$T$176+0.5)),2)),"")</f>
        <v/>
      </c>
      <c r="J177" s="863">
        <f>IFERROR(IF('📈 Cổ Phiếu VN 🔍'!$A$176="","",ROUND(-4.84+0.92*(1+0.5*'📈 Cổ Phiếu VN 🔍'!$J$176/100)+0.528*1.02+0.404*1.01+0.892*(1+'📈 Cổ Phiếu VN 🔍'!$J$176/100)+0.115*1.02,2)),"")</f>
        <v/>
      </c>
      <c r="K177" s="863">
        <f>IFERROR(IF('📈 Cổ Phiếu VN 🔍'!$A$176="","",(IF('📈 Cổ Phiếu VN 🔍'!$G$176&gt;0,1,0)+IF('📈 Cổ Phiếu VN 🔍'!$G$176&gt;5,1,0)+IF('📈 Cổ Phiếu VN 🔍'!$G$176&gt;10,1,0)+IF('📈 Cổ Phiếu VN 🔍'!$G$176&gt;15,1,0)+IF('📈 Cổ Phiếu VN 🔍'!$T$176&lt;3,1,0)+IF('📈 Cổ Phiếu VN 🔍'!$T$176&lt;5,1,0)+IF('📈 Cổ Phiếu VN 🔍'!$J$176&gt;0,1,0)+IF('📈 Cổ Phiếu VN 🔍'!$E$176&lt;20,1,0)+IF('📈 Cổ Phiếu VN 🔍'!$E$176&gt;0,1,0))),"")</f>
        <v/>
      </c>
      <c r="L177" s="863">
        <f>IFERROR(IF(I177="","",IF(OR(I177&lt;1.8,J177&gt;-1.78,K177&lt;5),"🔴 CỜ ĐỎ",IF(OR(I177&lt;2.99,J177&gt;-2.22,K177&lt;7),"🟡 Theo dõi","🟢 Sạch"))),"")</f>
        <v/>
      </c>
      <c r="M177" s="863">
        <f>IFERROR(IF(L177="🟢 Sạch","✅ ĐỦ ĐIỀU KIỆN MUA",IF(L177="🟡 Theo dõi","⚠️ Cần xác minh BCTC","❌ LOẠI KHỎI BỘ LỌC")),"")</f>
        <v/>
      </c>
      <c r="N177" s="863">
        <f>IFERROR(IF(M177="✅ ĐỦ ĐIỀU KIỆN MUA",ROUND((I177/3+K177/9-J177/5)*10,1),0),"")</f>
        <v/>
      </c>
    </row>
    <row r="178" ht="15" customHeight="1" s="981">
      <c r="A178" s="861" t="n">
        <v>173</v>
      </c>
      <c r="B178" s="862">
        <f>IFERROR(IF('📈 Cổ Phiếu VN 🔍'!$A$177="","",'📈 Cổ Phiếu VN 🔍'!$A$177),"")</f>
        <v/>
      </c>
      <c r="C178" s="862">
        <f>IFERROR('📈 Cổ Phiếu VN 🔍'!$B$177,"")</f>
        <v/>
      </c>
      <c r="D178" s="862">
        <f>IFERROR('📈 Cổ Phiếu VN 🔍'!$C$177,"")</f>
        <v/>
      </c>
      <c r="E178" s="862">
        <f>IFERROR('📈 Cổ Phiếu VN 🔍'!$E$177,0)</f>
        <v/>
      </c>
      <c r="F178" s="862">
        <f>IFERROR('📈 Cổ Phiếu VN 🔍'!$F$177,0)</f>
        <v/>
      </c>
      <c r="G178" s="862">
        <f>IFERROR('📈 Cổ Phiếu VN 🔍'!$G$177,0)</f>
        <v/>
      </c>
      <c r="H178" s="862">
        <f>IFERROR('📈 Cổ Phiếu VN 🔍'!$T$177,0)</f>
        <v/>
      </c>
      <c r="I178" s="863">
        <f>IFERROR(IF('📈 Cổ Phiếu VN 🔍'!$A$177="","",ROUND(3.25+6.56*0.15+3.26*('📈 Cổ Phiếu VN 🔍'!$G$177/100*0.5)+6.72*('📈 Cổ Phiếu VN 🔍'!$G$177/100)+1.05*(1/('📈 Cổ Phiếu VN 🔍'!$T$177+0.5)),2)),"")</f>
        <v/>
      </c>
      <c r="J178" s="863">
        <f>IFERROR(IF('📈 Cổ Phiếu VN 🔍'!$A$177="","",ROUND(-4.84+0.92*(1+0.5*'📈 Cổ Phiếu VN 🔍'!$J$177/100)+0.528*1.02+0.404*1.01+0.892*(1+'📈 Cổ Phiếu VN 🔍'!$J$177/100)+0.115*1.02,2)),"")</f>
        <v/>
      </c>
      <c r="K178" s="863">
        <f>IFERROR(IF('📈 Cổ Phiếu VN 🔍'!$A$177="","",(IF('📈 Cổ Phiếu VN 🔍'!$G$177&gt;0,1,0)+IF('📈 Cổ Phiếu VN 🔍'!$G$177&gt;5,1,0)+IF('📈 Cổ Phiếu VN 🔍'!$G$177&gt;10,1,0)+IF('📈 Cổ Phiếu VN 🔍'!$G$177&gt;15,1,0)+IF('📈 Cổ Phiếu VN 🔍'!$T$177&lt;3,1,0)+IF('📈 Cổ Phiếu VN 🔍'!$T$177&lt;5,1,0)+IF('📈 Cổ Phiếu VN 🔍'!$J$177&gt;0,1,0)+IF('📈 Cổ Phiếu VN 🔍'!$E$177&lt;20,1,0)+IF('📈 Cổ Phiếu VN 🔍'!$E$177&gt;0,1,0))),"")</f>
        <v/>
      </c>
      <c r="L178" s="863">
        <f>IFERROR(IF(I178="","",IF(OR(I178&lt;1.8,J178&gt;-1.78,K178&lt;5),"🔴 CỜ ĐỎ",IF(OR(I178&lt;2.99,J178&gt;-2.22,K178&lt;7),"🟡 Theo dõi","🟢 Sạch"))),"")</f>
        <v/>
      </c>
      <c r="M178" s="863">
        <f>IFERROR(IF(L178="🟢 Sạch","✅ ĐỦ ĐIỀU KIỆN MUA",IF(L178="🟡 Theo dõi","⚠️ Cần xác minh BCTC","❌ LOẠI KHỎI BỘ LỌC")),"")</f>
        <v/>
      </c>
      <c r="N178" s="863">
        <f>IFERROR(IF(M178="✅ ĐỦ ĐIỀU KIỆN MUA",ROUND((I178/3+K178/9-J178/5)*10,1),0),"")</f>
        <v/>
      </c>
    </row>
    <row r="179" ht="15" customHeight="1" s="981">
      <c r="A179" s="861" t="n">
        <v>174</v>
      </c>
      <c r="B179" s="862">
        <f>IFERROR(IF('📈 Cổ Phiếu VN 🔍'!$A$178="","",'📈 Cổ Phiếu VN 🔍'!$A$178),"")</f>
        <v/>
      </c>
      <c r="C179" s="862">
        <f>IFERROR('📈 Cổ Phiếu VN 🔍'!$B$178,"")</f>
        <v/>
      </c>
      <c r="D179" s="862">
        <f>IFERROR('📈 Cổ Phiếu VN 🔍'!$C$178,"")</f>
        <v/>
      </c>
      <c r="E179" s="862">
        <f>IFERROR('📈 Cổ Phiếu VN 🔍'!$E$178,0)</f>
        <v/>
      </c>
      <c r="F179" s="862">
        <f>IFERROR('📈 Cổ Phiếu VN 🔍'!$F$178,0)</f>
        <v/>
      </c>
      <c r="G179" s="862">
        <f>IFERROR('📈 Cổ Phiếu VN 🔍'!$G$178,0)</f>
        <v/>
      </c>
      <c r="H179" s="862">
        <f>IFERROR('📈 Cổ Phiếu VN 🔍'!$T$178,0)</f>
        <v/>
      </c>
      <c r="I179" s="863">
        <f>IFERROR(IF('📈 Cổ Phiếu VN 🔍'!$A$178="","",ROUND(3.25+6.56*0.15+3.26*('📈 Cổ Phiếu VN 🔍'!$G$178/100*0.5)+6.72*('📈 Cổ Phiếu VN 🔍'!$G$178/100)+1.05*(1/('📈 Cổ Phiếu VN 🔍'!$T$178+0.5)),2)),"")</f>
        <v/>
      </c>
      <c r="J179" s="863">
        <f>IFERROR(IF('📈 Cổ Phiếu VN 🔍'!$A$178="","",ROUND(-4.84+0.92*(1+0.5*'📈 Cổ Phiếu VN 🔍'!$J$178/100)+0.528*1.02+0.404*1.01+0.892*(1+'📈 Cổ Phiếu VN 🔍'!$J$178/100)+0.115*1.02,2)),"")</f>
        <v/>
      </c>
      <c r="K179" s="863">
        <f>IFERROR(IF('📈 Cổ Phiếu VN 🔍'!$A$178="","",(IF('📈 Cổ Phiếu VN 🔍'!$G$178&gt;0,1,0)+IF('📈 Cổ Phiếu VN 🔍'!$G$178&gt;5,1,0)+IF('📈 Cổ Phiếu VN 🔍'!$G$178&gt;10,1,0)+IF('📈 Cổ Phiếu VN 🔍'!$G$178&gt;15,1,0)+IF('📈 Cổ Phiếu VN 🔍'!$T$178&lt;3,1,0)+IF('📈 Cổ Phiếu VN 🔍'!$T$178&lt;5,1,0)+IF('📈 Cổ Phiếu VN 🔍'!$J$178&gt;0,1,0)+IF('📈 Cổ Phiếu VN 🔍'!$E$178&lt;20,1,0)+IF('📈 Cổ Phiếu VN 🔍'!$E$178&gt;0,1,0))),"")</f>
        <v/>
      </c>
      <c r="L179" s="863">
        <f>IFERROR(IF(I179="","",IF(OR(I179&lt;1.8,J179&gt;-1.78,K179&lt;5),"🔴 CỜ ĐỎ",IF(OR(I179&lt;2.99,J179&gt;-2.22,K179&lt;7),"🟡 Theo dõi","🟢 Sạch"))),"")</f>
        <v/>
      </c>
      <c r="M179" s="863">
        <f>IFERROR(IF(L179="🟢 Sạch","✅ ĐỦ ĐIỀU KIỆN MUA",IF(L179="🟡 Theo dõi","⚠️ Cần xác minh BCTC","❌ LOẠI KHỎI BỘ LỌC")),"")</f>
        <v/>
      </c>
      <c r="N179" s="863">
        <f>IFERROR(IF(M179="✅ ĐỦ ĐIỀU KIỆN MUA",ROUND((I179/3+K179/9-J179/5)*10,1),0),"")</f>
        <v/>
      </c>
    </row>
    <row r="180" ht="15" customHeight="1" s="981">
      <c r="A180" s="861" t="n">
        <v>175</v>
      </c>
      <c r="B180" s="862">
        <f>IFERROR(IF('📈 Cổ Phiếu VN 🔍'!$A$179="","",'📈 Cổ Phiếu VN 🔍'!$A$179),"")</f>
        <v/>
      </c>
      <c r="C180" s="862">
        <f>IFERROR('📈 Cổ Phiếu VN 🔍'!$B$179,"")</f>
        <v/>
      </c>
      <c r="D180" s="862">
        <f>IFERROR('📈 Cổ Phiếu VN 🔍'!$C$179,"")</f>
        <v/>
      </c>
      <c r="E180" s="862">
        <f>IFERROR('📈 Cổ Phiếu VN 🔍'!$E$179,0)</f>
        <v/>
      </c>
      <c r="F180" s="862">
        <f>IFERROR('📈 Cổ Phiếu VN 🔍'!$F$179,0)</f>
        <v/>
      </c>
      <c r="G180" s="862">
        <f>IFERROR('📈 Cổ Phiếu VN 🔍'!$G$179,0)</f>
        <v/>
      </c>
      <c r="H180" s="862">
        <f>IFERROR('📈 Cổ Phiếu VN 🔍'!$T$179,0)</f>
        <v/>
      </c>
      <c r="I180" s="863">
        <f>IFERROR(IF('📈 Cổ Phiếu VN 🔍'!$A$179="","",ROUND(3.25+6.56*0.15+3.26*('📈 Cổ Phiếu VN 🔍'!$G$179/100*0.5)+6.72*('📈 Cổ Phiếu VN 🔍'!$G$179/100)+1.05*(1/('📈 Cổ Phiếu VN 🔍'!$T$179+0.5)),2)),"")</f>
        <v/>
      </c>
      <c r="J180" s="863">
        <f>IFERROR(IF('📈 Cổ Phiếu VN 🔍'!$A$179="","",ROUND(-4.84+0.92*(1+0.5*'📈 Cổ Phiếu VN 🔍'!$J$179/100)+0.528*1.02+0.404*1.01+0.892*(1+'📈 Cổ Phiếu VN 🔍'!$J$179/100)+0.115*1.02,2)),"")</f>
        <v/>
      </c>
      <c r="K180" s="863">
        <f>IFERROR(IF('📈 Cổ Phiếu VN 🔍'!$A$179="","",(IF('📈 Cổ Phiếu VN 🔍'!$G$179&gt;0,1,0)+IF('📈 Cổ Phiếu VN 🔍'!$G$179&gt;5,1,0)+IF('📈 Cổ Phiếu VN 🔍'!$G$179&gt;10,1,0)+IF('📈 Cổ Phiếu VN 🔍'!$G$179&gt;15,1,0)+IF('📈 Cổ Phiếu VN 🔍'!$T$179&lt;3,1,0)+IF('📈 Cổ Phiếu VN 🔍'!$T$179&lt;5,1,0)+IF('📈 Cổ Phiếu VN 🔍'!$J$179&gt;0,1,0)+IF('📈 Cổ Phiếu VN 🔍'!$E$179&lt;20,1,0)+IF('📈 Cổ Phiếu VN 🔍'!$E$179&gt;0,1,0))),"")</f>
        <v/>
      </c>
      <c r="L180" s="863">
        <f>IFERROR(IF(I180="","",IF(OR(I180&lt;1.8,J180&gt;-1.78,K180&lt;5),"🔴 CỜ ĐỎ",IF(OR(I180&lt;2.99,J180&gt;-2.22,K180&lt;7),"🟡 Theo dõi","🟢 Sạch"))),"")</f>
        <v/>
      </c>
      <c r="M180" s="863">
        <f>IFERROR(IF(L180="🟢 Sạch","✅ ĐỦ ĐIỀU KIỆN MUA",IF(L180="🟡 Theo dõi","⚠️ Cần xác minh BCTC","❌ LOẠI KHỎI BỘ LỌC")),"")</f>
        <v/>
      </c>
      <c r="N180" s="863">
        <f>IFERROR(IF(M180="✅ ĐỦ ĐIỀU KIỆN MUA",ROUND((I180/3+K180/9-J180/5)*10,1),0),"")</f>
        <v/>
      </c>
    </row>
    <row r="181" ht="15" customHeight="1" s="981">
      <c r="A181" s="861" t="n">
        <v>176</v>
      </c>
      <c r="B181" s="862">
        <f>IFERROR(IF('📈 Cổ Phiếu VN 🔍'!$A$180="","",'📈 Cổ Phiếu VN 🔍'!$A$180),"")</f>
        <v/>
      </c>
      <c r="C181" s="862">
        <f>IFERROR('📈 Cổ Phiếu VN 🔍'!$B$180,"")</f>
        <v/>
      </c>
      <c r="D181" s="862">
        <f>IFERROR('📈 Cổ Phiếu VN 🔍'!$C$180,"")</f>
        <v/>
      </c>
      <c r="E181" s="862">
        <f>IFERROR('📈 Cổ Phiếu VN 🔍'!$E$180,0)</f>
        <v/>
      </c>
      <c r="F181" s="862">
        <f>IFERROR('📈 Cổ Phiếu VN 🔍'!$F$180,0)</f>
        <v/>
      </c>
      <c r="G181" s="862">
        <f>IFERROR('📈 Cổ Phiếu VN 🔍'!$G$180,0)</f>
        <v/>
      </c>
      <c r="H181" s="862">
        <f>IFERROR('📈 Cổ Phiếu VN 🔍'!$T$180,0)</f>
        <v/>
      </c>
      <c r="I181" s="863">
        <f>IFERROR(IF('📈 Cổ Phiếu VN 🔍'!$A$180="","",ROUND(3.25+6.56*0.15+3.26*('📈 Cổ Phiếu VN 🔍'!$G$180/100*0.5)+6.72*('📈 Cổ Phiếu VN 🔍'!$G$180/100)+1.05*(1/('📈 Cổ Phiếu VN 🔍'!$T$180+0.5)),2)),"")</f>
        <v/>
      </c>
      <c r="J181" s="863">
        <f>IFERROR(IF('📈 Cổ Phiếu VN 🔍'!$A$180="","",ROUND(-4.84+0.92*(1+0.5*'📈 Cổ Phiếu VN 🔍'!$J$180/100)+0.528*1.02+0.404*1.01+0.892*(1+'📈 Cổ Phiếu VN 🔍'!$J$180/100)+0.115*1.02,2)),"")</f>
        <v/>
      </c>
      <c r="K181" s="863">
        <f>IFERROR(IF('📈 Cổ Phiếu VN 🔍'!$A$180="","",(IF('📈 Cổ Phiếu VN 🔍'!$G$180&gt;0,1,0)+IF('📈 Cổ Phiếu VN 🔍'!$G$180&gt;5,1,0)+IF('📈 Cổ Phiếu VN 🔍'!$G$180&gt;10,1,0)+IF('📈 Cổ Phiếu VN 🔍'!$G$180&gt;15,1,0)+IF('📈 Cổ Phiếu VN 🔍'!$T$180&lt;3,1,0)+IF('📈 Cổ Phiếu VN 🔍'!$T$180&lt;5,1,0)+IF('📈 Cổ Phiếu VN 🔍'!$J$180&gt;0,1,0)+IF('📈 Cổ Phiếu VN 🔍'!$E$180&lt;20,1,0)+IF('📈 Cổ Phiếu VN 🔍'!$E$180&gt;0,1,0))),"")</f>
        <v/>
      </c>
      <c r="L181" s="863">
        <f>IFERROR(IF(I181="","",IF(OR(I181&lt;1.8,J181&gt;-1.78,K181&lt;5),"🔴 CỜ ĐỎ",IF(OR(I181&lt;2.99,J181&gt;-2.22,K181&lt;7),"🟡 Theo dõi","🟢 Sạch"))),"")</f>
        <v/>
      </c>
      <c r="M181" s="863">
        <f>IFERROR(IF(L181="🟢 Sạch","✅ ĐỦ ĐIỀU KIỆN MUA",IF(L181="🟡 Theo dõi","⚠️ Cần xác minh BCTC","❌ LOẠI KHỎI BỘ LỌC")),"")</f>
        <v/>
      </c>
      <c r="N181" s="863">
        <f>IFERROR(IF(M181="✅ ĐỦ ĐIỀU KIỆN MUA",ROUND((I181/3+K181/9-J181/5)*10,1),0),"")</f>
        <v/>
      </c>
    </row>
    <row r="182" ht="15" customHeight="1" s="981">
      <c r="A182" s="861" t="n">
        <v>177</v>
      </c>
      <c r="B182" s="862">
        <f>IFERROR(IF('📈 Cổ Phiếu VN 🔍'!$A$181="","",'📈 Cổ Phiếu VN 🔍'!$A$181),"")</f>
        <v/>
      </c>
      <c r="C182" s="862">
        <f>IFERROR('📈 Cổ Phiếu VN 🔍'!$B$181,"")</f>
        <v/>
      </c>
      <c r="D182" s="862">
        <f>IFERROR('📈 Cổ Phiếu VN 🔍'!$C$181,"")</f>
        <v/>
      </c>
      <c r="E182" s="862">
        <f>IFERROR('📈 Cổ Phiếu VN 🔍'!$E$181,0)</f>
        <v/>
      </c>
      <c r="F182" s="862">
        <f>IFERROR('📈 Cổ Phiếu VN 🔍'!$F$181,0)</f>
        <v/>
      </c>
      <c r="G182" s="862">
        <f>IFERROR('📈 Cổ Phiếu VN 🔍'!$G$181,0)</f>
        <v/>
      </c>
      <c r="H182" s="862">
        <f>IFERROR('📈 Cổ Phiếu VN 🔍'!$T$181,0)</f>
        <v/>
      </c>
      <c r="I182" s="863">
        <f>IFERROR(IF('📈 Cổ Phiếu VN 🔍'!$A$181="","",ROUND(3.25+6.56*0.15+3.26*('📈 Cổ Phiếu VN 🔍'!$G$181/100*0.5)+6.72*('📈 Cổ Phiếu VN 🔍'!$G$181/100)+1.05*(1/('📈 Cổ Phiếu VN 🔍'!$T$181+0.5)),2)),"")</f>
        <v/>
      </c>
      <c r="J182" s="863">
        <f>IFERROR(IF('📈 Cổ Phiếu VN 🔍'!$A$181="","",ROUND(-4.84+0.92*(1+0.5*'📈 Cổ Phiếu VN 🔍'!$J$181/100)+0.528*1.02+0.404*1.01+0.892*(1+'📈 Cổ Phiếu VN 🔍'!$J$181/100)+0.115*1.02,2)),"")</f>
        <v/>
      </c>
      <c r="K182" s="863">
        <f>IFERROR(IF('📈 Cổ Phiếu VN 🔍'!$A$181="","",(IF('📈 Cổ Phiếu VN 🔍'!$G$181&gt;0,1,0)+IF('📈 Cổ Phiếu VN 🔍'!$G$181&gt;5,1,0)+IF('📈 Cổ Phiếu VN 🔍'!$G$181&gt;10,1,0)+IF('📈 Cổ Phiếu VN 🔍'!$G$181&gt;15,1,0)+IF('📈 Cổ Phiếu VN 🔍'!$T$181&lt;3,1,0)+IF('📈 Cổ Phiếu VN 🔍'!$T$181&lt;5,1,0)+IF('📈 Cổ Phiếu VN 🔍'!$J$181&gt;0,1,0)+IF('📈 Cổ Phiếu VN 🔍'!$E$181&lt;20,1,0)+IF('📈 Cổ Phiếu VN 🔍'!$E$181&gt;0,1,0))),"")</f>
        <v/>
      </c>
      <c r="L182" s="863">
        <f>IFERROR(IF(I182="","",IF(OR(I182&lt;1.8,J182&gt;-1.78,K182&lt;5),"🔴 CỜ ĐỎ",IF(OR(I182&lt;2.99,J182&gt;-2.22,K182&lt;7),"🟡 Theo dõi","🟢 Sạch"))),"")</f>
        <v/>
      </c>
      <c r="M182" s="863">
        <f>IFERROR(IF(L182="🟢 Sạch","✅ ĐỦ ĐIỀU KIỆN MUA",IF(L182="🟡 Theo dõi","⚠️ Cần xác minh BCTC","❌ LOẠI KHỎI BỘ LỌC")),"")</f>
        <v/>
      </c>
      <c r="N182" s="863">
        <f>IFERROR(IF(M182="✅ ĐỦ ĐIỀU KIỆN MUA",ROUND((I182/3+K182/9-J182/5)*10,1),0),"")</f>
        <v/>
      </c>
    </row>
    <row r="183" ht="15" customHeight="1" s="981">
      <c r="A183" s="861" t="n">
        <v>178</v>
      </c>
      <c r="B183" s="862">
        <f>IFERROR(IF('📈 Cổ Phiếu VN 🔍'!$A$182="","",'📈 Cổ Phiếu VN 🔍'!$A$182),"")</f>
        <v/>
      </c>
      <c r="C183" s="862">
        <f>IFERROR('📈 Cổ Phiếu VN 🔍'!$B$182,"")</f>
        <v/>
      </c>
      <c r="D183" s="862">
        <f>IFERROR('📈 Cổ Phiếu VN 🔍'!$C$182,"")</f>
        <v/>
      </c>
      <c r="E183" s="862">
        <f>IFERROR('📈 Cổ Phiếu VN 🔍'!$E$182,0)</f>
        <v/>
      </c>
      <c r="F183" s="862">
        <f>IFERROR('📈 Cổ Phiếu VN 🔍'!$F$182,0)</f>
        <v/>
      </c>
      <c r="G183" s="862">
        <f>IFERROR('📈 Cổ Phiếu VN 🔍'!$G$182,0)</f>
        <v/>
      </c>
      <c r="H183" s="862">
        <f>IFERROR('📈 Cổ Phiếu VN 🔍'!$T$182,0)</f>
        <v/>
      </c>
      <c r="I183" s="863">
        <f>IFERROR(IF('📈 Cổ Phiếu VN 🔍'!$A$182="","",ROUND(3.25+6.56*0.15+3.26*('📈 Cổ Phiếu VN 🔍'!$G$182/100*0.5)+6.72*('📈 Cổ Phiếu VN 🔍'!$G$182/100)+1.05*(1/('📈 Cổ Phiếu VN 🔍'!$T$182+0.5)),2)),"")</f>
        <v/>
      </c>
      <c r="J183" s="863">
        <f>IFERROR(IF('📈 Cổ Phiếu VN 🔍'!$A$182="","",ROUND(-4.84+0.92*(1+0.5*'📈 Cổ Phiếu VN 🔍'!$J$182/100)+0.528*1.02+0.404*1.01+0.892*(1+'📈 Cổ Phiếu VN 🔍'!$J$182/100)+0.115*1.02,2)),"")</f>
        <v/>
      </c>
      <c r="K183" s="863">
        <f>IFERROR(IF('📈 Cổ Phiếu VN 🔍'!$A$182="","",(IF('📈 Cổ Phiếu VN 🔍'!$G$182&gt;0,1,0)+IF('📈 Cổ Phiếu VN 🔍'!$G$182&gt;5,1,0)+IF('📈 Cổ Phiếu VN 🔍'!$G$182&gt;10,1,0)+IF('📈 Cổ Phiếu VN 🔍'!$G$182&gt;15,1,0)+IF('📈 Cổ Phiếu VN 🔍'!$T$182&lt;3,1,0)+IF('📈 Cổ Phiếu VN 🔍'!$T$182&lt;5,1,0)+IF('📈 Cổ Phiếu VN 🔍'!$J$182&gt;0,1,0)+IF('📈 Cổ Phiếu VN 🔍'!$E$182&lt;20,1,0)+IF('📈 Cổ Phiếu VN 🔍'!$E$182&gt;0,1,0))),"")</f>
        <v/>
      </c>
      <c r="L183" s="863">
        <f>IFERROR(IF(I183="","",IF(OR(I183&lt;1.8,J183&gt;-1.78,K183&lt;5),"🔴 CỜ ĐỎ",IF(OR(I183&lt;2.99,J183&gt;-2.22,K183&lt;7),"🟡 Theo dõi","🟢 Sạch"))),"")</f>
        <v/>
      </c>
      <c r="M183" s="863">
        <f>IFERROR(IF(L183="🟢 Sạch","✅ ĐỦ ĐIỀU KIỆN MUA",IF(L183="🟡 Theo dõi","⚠️ Cần xác minh BCTC","❌ LOẠI KHỎI BỘ LỌC")),"")</f>
        <v/>
      </c>
      <c r="N183" s="863">
        <f>IFERROR(IF(M183="✅ ĐỦ ĐIỀU KIỆN MUA",ROUND((I183/3+K183/9-J183/5)*10,1),0),"")</f>
        <v/>
      </c>
    </row>
    <row r="184" ht="15" customHeight="1" s="981">
      <c r="A184" s="861" t="n">
        <v>179</v>
      </c>
      <c r="B184" s="862">
        <f>IFERROR(IF('📈 Cổ Phiếu VN 🔍'!$A$183="","",'📈 Cổ Phiếu VN 🔍'!$A$183),"")</f>
        <v/>
      </c>
      <c r="C184" s="862">
        <f>IFERROR('📈 Cổ Phiếu VN 🔍'!$B$183,"")</f>
        <v/>
      </c>
      <c r="D184" s="862">
        <f>IFERROR('📈 Cổ Phiếu VN 🔍'!$C$183,"")</f>
        <v/>
      </c>
      <c r="E184" s="862">
        <f>IFERROR('📈 Cổ Phiếu VN 🔍'!$E$183,0)</f>
        <v/>
      </c>
      <c r="F184" s="862">
        <f>IFERROR('📈 Cổ Phiếu VN 🔍'!$F$183,0)</f>
        <v/>
      </c>
      <c r="G184" s="862">
        <f>IFERROR('📈 Cổ Phiếu VN 🔍'!$G$183,0)</f>
        <v/>
      </c>
      <c r="H184" s="862">
        <f>IFERROR('📈 Cổ Phiếu VN 🔍'!$T$183,0)</f>
        <v/>
      </c>
      <c r="I184" s="863">
        <f>IFERROR(IF('📈 Cổ Phiếu VN 🔍'!$A$183="","",ROUND(3.25+6.56*0.15+3.26*('📈 Cổ Phiếu VN 🔍'!$G$183/100*0.5)+6.72*('📈 Cổ Phiếu VN 🔍'!$G$183/100)+1.05*(1/('📈 Cổ Phiếu VN 🔍'!$T$183+0.5)),2)),"")</f>
        <v/>
      </c>
      <c r="J184" s="863">
        <f>IFERROR(IF('📈 Cổ Phiếu VN 🔍'!$A$183="","",ROUND(-4.84+0.92*(1+0.5*'📈 Cổ Phiếu VN 🔍'!$J$183/100)+0.528*1.02+0.404*1.01+0.892*(1+'📈 Cổ Phiếu VN 🔍'!$J$183/100)+0.115*1.02,2)),"")</f>
        <v/>
      </c>
      <c r="K184" s="863">
        <f>IFERROR(IF('📈 Cổ Phiếu VN 🔍'!$A$183="","",(IF('📈 Cổ Phiếu VN 🔍'!$G$183&gt;0,1,0)+IF('📈 Cổ Phiếu VN 🔍'!$G$183&gt;5,1,0)+IF('📈 Cổ Phiếu VN 🔍'!$G$183&gt;10,1,0)+IF('📈 Cổ Phiếu VN 🔍'!$G$183&gt;15,1,0)+IF('📈 Cổ Phiếu VN 🔍'!$T$183&lt;3,1,0)+IF('📈 Cổ Phiếu VN 🔍'!$T$183&lt;5,1,0)+IF('📈 Cổ Phiếu VN 🔍'!$J$183&gt;0,1,0)+IF('📈 Cổ Phiếu VN 🔍'!$E$183&lt;20,1,0)+IF('📈 Cổ Phiếu VN 🔍'!$E$183&gt;0,1,0))),"")</f>
        <v/>
      </c>
      <c r="L184" s="863">
        <f>IFERROR(IF(I184="","",IF(OR(I184&lt;1.8,J184&gt;-1.78,K184&lt;5),"🔴 CỜ ĐỎ",IF(OR(I184&lt;2.99,J184&gt;-2.22,K184&lt;7),"🟡 Theo dõi","🟢 Sạch"))),"")</f>
        <v/>
      </c>
      <c r="M184" s="863">
        <f>IFERROR(IF(L184="🟢 Sạch","✅ ĐỦ ĐIỀU KIỆN MUA",IF(L184="🟡 Theo dõi","⚠️ Cần xác minh BCTC","❌ LOẠI KHỎI BỘ LỌC")),"")</f>
        <v/>
      </c>
      <c r="N184" s="863">
        <f>IFERROR(IF(M184="✅ ĐỦ ĐIỀU KIỆN MUA",ROUND((I184/3+K184/9-J184/5)*10,1),0),"")</f>
        <v/>
      </c>
    </row>
    <row r="185" ht="15" customHeight="1" s="981">
      <c r="A185" s="861" t="n">
        <v>180</v>
      </c>
      <c r="B185" s="862">
        <f>IFERROR(IF('📈 Cổ Phiếu VN 🔍'!$A$184="","",'📈 Cổ Phiếu VN 🔍'!$A$184),"")</f>
        <v/>
      </c>
      <c r="C185" s="862">
        <f>IFERROR('📈 Cổ Phiếu VN 🔍'!$B$184,"")</f>
        <v/>
      </c>
      <c r="D185" s="862">
        <f>IFERROR('📈 Cổ Phiếu VN 🔍'!$C$184,"")</f>
        <v/>
      </c>
      <c r="E185" s="862">
        <f>IFERROR('📈 Cổ Phiếu VN 🔍'!$E$184,0)</f>
        <v/>
      </c>
      <c r="F185" s="862">
        <f>IFERROR('📈 Cổ Phiếu VN 🔍'!$F$184,0)</f>
        <v/>
      </c>
      <c r="G185" s="862">
        <f>IFERROR('📈 Cổ Phiếu VN 🔍'!$G$184,0)</f>
        <v/>
      </c>
      <c r="H185" s="862">
        <f>IFERROR('📈 Cổ Phiếu VN 🔍'!$T$184,0)</f>
        <v/>
      </c>
      <c r="I185" s="863">
        <f>IFERROR(IF('📈 Cổ Phiếu VN 🔍'!$A$184="","",ROUND(3.25+6.56*0.15+3.26*('📈 Cổ Phiếu VN 🔍'!$G$184/100*0.5)+6.72*('📈 Cổ Phiếu VN 🔍'!$G$184/100)+1.05*(1/('📈 Cổ Phiếu VN 🔍'!$T$184+0.5)),2)),"")</f>
        <v/>
      </c>
      <c r="J185" s="863">
        <f>IFERROR(IF('📈 Cổ Phiếu VN 🔍'!$A$184="","",ROUND(-4.84+0.92*(1+0.5*'📈 Cổ Phiếu VN 🔍'!$J$184/100)+0.528*1.02+0.404*1.01+0.892*(1+'📈 Cổ Phiếu VN 🔍'!$J$184/100)+0.115*1.02,2)),"")</f>
        <v/>
      </c>
      <c r="K185" s="863">
        <f>IFERROR(IF('📈 Cổ Phiếu VN 🔍'!$A$184="","",(IF('📈 Cổ Phiếu VN 🔍'!$G$184&gt;0,1,0)+IF('📈 Cổ Phiếu VN 🔍'!$G$184&gt;5,1,0)+IF('📈 Cổ Phiếu VN 🔍'!$G$184&gt;10,1,0)+IF('📈 Cổ Phiếu VN 🔍'!$G$184&gt;15,1,0)+IF('📈 Cổ Phiếu VN 🔍'!$T$184&lt;3,1,0)+IF('📈 Cổ Phiếu VN 🔍'!$T$184&lt;5,1,0)+IF('📈 Cổ Phiếu VN 🔍'!$J$184&gt;0,1,0)+IF('📈 Cổ Phiếu VN 🔍'!$E$184&lt;20,1,0)+IF('📈 Cổ Phiếu VN 🔍'!$E$184&gt;0,1,0))),"")</f>
        <v/>
      </c>
      <c r="L185" s="863">
        <f>IFERROR(IF(I185="","",IF(OR(I185&lt;1.8,J185&gt;-1.78,K185&lt;5),"🔴 CỜ ĐỎ",IF(OR(I185&lt;2.99,J185&gt;-2.22,K185&lt;7),"🟡 Theo dõi","🟢 Sạch"))),"")</f>
        <v/>
      </c>
      <c r="M185" s="863">
        <f>IFERROR(IF(L185="🟢 Sạch","✅ ĐỦ ĐIỀU KIỆN MUA",IF(L185="🟡 Theo dõi","⚠️ Cần xác minh BCTC","❌ LOẠI KHỎI BỘ LỌC")),"")</f>
        <v/>
      </c>
      <c r="N185" s="863">
        <f>IFERROR(IF(M185="✅ ĐỦ ĐIỀU KIỆN MUA",ROUND((I185/3+K185/9-J185/5)*10,1),0),"")</f>
        <v/>
      </c>
    </row>
    <row r="186" ht="15" customHeight="1" s="981">
      <c r="A186" s="861" t="n">
        <v>181</v>
      </c>
      <c r="B186" s="862">
        <f>IFERROR(IF('📈 Cổ Phiếu VN 🔍'!$A$185="","",'📈 Cổ Phiếu VN 🔍'!$A$185),"")</f>
        <v/>
      </c>
      <c r="C186" s="862">
        <f>IFERROR('📈 Cổ Phiếu VN 🔍'!$B$185,"")</f>
        <v/>
      </c>
      <c r="D186" s="862">
        <f>IFERROR('📈 Cổ Phiếu VN 🔍'!$C$185,"")</f>
        <v/>
      </c>
      <c r="E186" s="862">
        <f>IFERROR('📈 Cổ Phiếu VN 🔍'!$E$185,0)</f>
        <v/>
      </c>
      <c r="F186" s="862">
        <f>IFERROR('📈 Cổ Phiếu VN 🔍'!$F$185,0)</f>
        <v/>
      </c>
      <c r="G186" s="862">
        <f>IFERROR('📈 Cổ Phiếu VN 🔍'!$G$185,0)</f>
        <v/>
      </c>
      <c r="H186" s="862">
        <f>IFERROR('📈 Cổ Phiếu VN 🔍'!$T$185,0)</f>
        <v/>
      </c>
      <c r="I186" s="863">
        <f>IFERROR(IF('📈 Cổ Phiếu VN 🔍'!$A$185="","",ROUND(3.25+6.56*0.15+3.26*('📈 Cổ Phiếu VN 🔍'!$G$185/100*0.5)+6.72*('📈 Cổ Phiếu VN 🔍'!$G$185/100)+1.05*(1/('📈 Cổ Phiếu VN 🔍'!$T$185+0.5)),2)),"")</f>
        <v/>
      </c>
      <c r="J186" s="863">
        <f>IFERROR(IF('📈 Cổ Phiếu VN 🔍'!$A$185="","",ROUND(-4.84+0.92*(1+0.5*'📈 Cổ Phiếu VN 🔍'!$J$185/100)+0.528*1.02+0.404*1.01+0.892*(1+'📈 Cổ Phiếu VN 🔍'!$J$185/100)+0.115*1.02,2)),"")</f>
        <v/>
      </c>
      <c r="K186" s="863">
        <f>IFERROR(IF('📈 Cổ Phiếu VN 🔍'!$A$185="","",(IF('📈 Cổ Phiếu VN 🔍'!$G$185&gt;0,1,0)+IF('📈 Cổ Phiếu VN 🔍'!$G$185&gt;5,1,0)+IF('📈 Cổ Phiếu VN 🔍'!$G$185&gt;10,1,0)+IF('📈 Cổ Phiếu VN 🔍'!$G$185&gt;15,1,0)+IF('📈 Cổ Phiếu VN 🔍'!$T$185&lt;3,1,0)+IF('📈 Cổ Phiếu VN 🔍'!$T$185&lt;5,1,0)+IF('📈 Cổ Phiếu VN 🔍'!$J$185&gt;0,1,0)+IF('📈 Cổ Phiếu VN 🔍'!$E$185&lt;20,1,0)+IF('📈 Cổ Phiếu VN 🔍'!$E$185&gt;0,1,0))),"")</f>
        <v/>
      </c>
      <c r="L186" s="863">
        <f>IFERROR(IF(I186="","",IF(OR(I186&lt;1.8,J186&gt;-1.78,K186&lt;5),"🔴 CỜ ĐỎ",IF(OR(I186&lt;2.99,J186&gt;-2.22,K186&lt;7),"🟡 Theo dõi","🟢 Sạch"))),"")</f>
        <v/>
      </c>
      <c r="M186" s="863">
        <f>IFERROR(IF(L186="🟢 Sạch","✅ ĐỦ ĐIỀU KIỆN MUA",IF(L186="🟡 Theo dõi","⚠️ Cần xác minh BCTC","❌ LOẠI KHỎI BỘ LỌC")),"")</f>
        <v/>
      </c>
      <c r="N186" s="863">
        <f>IFERROR(IF(M186="✅ ĐỦ ĐIỀU KIỆN MUA",ROUND((I186/3+K186/9-J186/5)*10,1),0),"")</f>
        <v/>
      </c>
    </row>
    <row r="187" ht="15" customHeight="1" s="981">
      <c r="A187" s="861" t="n">
        <v>182</v>
      </c>
      <c r="B187" s="862">
        <f>IFERROR(IF('📈 Cổ Phiếu VN 🔍'!$A$186="","",'📈 Cổ Phiếu VN 🔍'!$A$186),"")</f>
        <v/>
      </c>
      <c r="C187" s="862">
        <f>IFERROR('📈 Cổ Phiếu VN 🔍'!$B$186,"")</f>
        <v/>
      </c>
      <c r="D187" s="862">
        <f>IFERROR('📈 Cổ Phiếu VN 🔍'!$C$186,"")</f>
        <v/>
      </c>
      <c r="E187" s="862">
        <f>IFERROR('📈 Cổ Phiếu VN 🔍'!$E$186,0)</f>
        <v/>
      </c>
      <c r="F187" s="862">
        <f>IFERROR('📈 Cổ Phiếu VN 🔍'!$F$186,0)</f>
        <v/>
      </c>
      <c r="G187" s="862">
        <f>IFERROR('📈 Cổ Phiếu VN 🔍'!$G$186,0)</f>
        <v/>
      </c>
      <c r="H187" s="862">
        <f>IFERROR('📈 Cổ Phiếu VN 🔍'!$T$186,0)</f>
        <v/>
      </c>
      <c r="I187" s="863">
        <f>IFERROR(IF('📈 Cổ Phiếu VN 🔍'!$A$186="","",ROUND(3.25+6.56*0.15+3.26*('📈 Cổ Phiếu VN 🔍'!$G$186/100*0.5)+6.72*('📈 Cổ Phiếu VN 🔍'!$G$186/100)+1.05*(1/('📈 Cổ Phiếu VN 🔍'!$T$186+0.5)),2)),"")</f>
        <v/>
      </c>
      <c r="J187" s="863">
        <f>IFERROR(IF('📈 Cổ Phiếu VN 🔍'!$A$186="","",ROUND(-4.84+0.92*(1+0.5*'📈 Cổ Phiếu VN 🔍'!$J$186/100)+0.528*1.02+0.404*1.01+0.892*(1+'📈 Cổ Phiếu VN 🔍'!$J$186/100)+0.115*1.02,2)),"")</f>
        <v/>
      </c>
      <c r="K187" s="863">
        <f>IFERROR(IF('📈 Cổ Phiếu VN 🔍'!$A$186="","",(IF('📈 Cổ Phiếu VN 🔍'!$G$186&gt;0,1,0)+IF('📈 Cổ Phiếu VN 🔍'!$G$186&gt;5,1,0)+IF('📈 Cổ Phiếu VN 🔍'!$G$186&gt;10,1,0)+IF('📈 Cổ Phiếu VN 🔍'!$G$186&gt;15,1,0)+IF('📈 Cổ Phiếu VN 🔍'!$T$186&lt;3,1,0)+IF('📈 Cổ Phiếu VN 🔍'!$T$186&lt;5,1,0)+IF('📈 Cổ Phiếu VN 🔍'!$J$186&gt;0,1,0)+IF('📈 Cổ Phiếu VN 🔍'!$E$186&lt;20,1,0)+IF('📈 Cổ Phiếu VN 🔍'!$E$186&gt;0,1,0))),"")</f>
        <v/>
      </c>
      <c r="L187" s="863">
        <f>IFERROR(IF(I187="","",IF(OR(I187&lt;1.8,J187&gt;-1.78,K187&lt;5),"🔴 CỜ ĐỎ",IF(OR(I187&lt;2.99,J187&gt;-2.22,K187&lt;7),"🟡 Theo dõi","🟢 Sạch"))),"")</f>
        <v/>
      </c>
      <c r="M187" s="863">
        <f>IFERROR(IF(L187="🟢 Sạch","✅ ĐỦ ĐIỀU KIỆN MUA",IF(L187="🟡 Theo dõi","⚠️ Cần xác minh BCTC","❌ LOẠI KHỎI BỘ LỌC")),"")</f>
        <v/>
      </c>
      <c r="N187" s="863">
        <f>IFERROR(IF(M187="✅ ĐỦ ĐIỀU KIỆN MUA",ROUND((I187/3+K187/9-J187/5)*10,1),0),"")</f>
        <v/>
      </c>
    </row>
    <row r="188" ht="15" customHeight="1" s="981">
      <c r="A188" s="861" t="n">
        <v>183</v>
      </c>
      <c r="B188" s="862">
        <f>IFERROR(IF('📈 Cổ Phiếu VN 🔍'!$A$187="","",'📈 Cổ Phiếu VN 🔍'!$A$187),"")</f>
        <v/>
      </c>
      <c r="C188" s="862">
        <f>IFERROR('📈 Cổ Phiếu VN 🔍'!$B$187,"")</f>
        <v/>
      </c>
      <c r="D188" s="862">
        <f>IFERROR('📈 Cổ Phiếu VN 🔍'!$C$187,"")</f>
        <v/>
      </c>
      <c r="E188" s="862">
        <f>IFERROR('📈 Cổ Phiếu VN 🔍'!$E$187,0)</f>
        <v/>
      </c>
      <c r="F188" s="862">
        <f>IFERROR('📈 Cổ Phiếu VN 🔍'!$F$187,0)</f>
        <v/>
      </c>
      <c r="G188" s="862">
        <f>IFERROR('📈 Cổ Phiếu VN 🔍'!$G$187,0)</f>
        <v/>
      </c>
      <c r="H188" s="862">
        <f>IFERROR('📈 Cổ Phiếu VN 🔍'!$T$187,0)</f>
        <v/>
      </c>
      <c r="I188" s="863">
        <f>IFERROR(IF('📈 Cổ Phiếu VN 🔍'!$A$187="","",ROUND(3.25+6.56*0.15+3.26*('📈 Cổ Phiếu VN 🔍'!$G$187/100*0.5)+6.72*('📈 Cổ Phiếu VN 🔍'!$G$187/100)+1.05*(1/('📈 Cổ Phiếu VN 🔍'!$T$187+0.5)),2)),"")</f>
        <v/>
      </c>
      <c r="J188" s="863">
        <f>IFERROR(IF('📈 Cổ Phiếu VN 🔍'!$A$187="","",ROUND(-4.84+0.92*(1+0.5*'📈 Cổ Phiếu VN 🔍'!$J$187/100)+0.528*1.02+0.404*1.01+0.892*(1+'📈 Cổ Phiếu VN 🔍'!$J$187/100)+0.115*1.02,2)),"")</f>
        <v/>
      </c>
      <c r="K188" s="863">
        <f>IFERROR(IF('📈 Cổ Phiếu VN 🔍'!$A$187="","",(IF('📈 Cổ Phiếu VN 🔍'!$G$187&gt;0,1,0)+IF('📈 Cổ Phiếu VN 🔍'!$G$187&gt;5,1,0)+IF('📈 Cổ Phiếu VN 🔍'!$G$187&gt;10,1,0)+IF('📈 Cổ Phiếu VN 🔍'!$G$187&gt;15,1,0)+IF('📈 Cổ Phiếu VN 🔍'!$T$187&lt;3,1,0)+IF('📈 Cổ Phiếu VN 🔍'!$T$187&lt;5,1,0)+IF('📈 Cổ Phiếu VN 🔍'!$J$187&gt;0,1,0)+IF('📈 Cổ Phiếu VN 🔍'!$E$187&lt;20,1,0)+IF('📈 Cổ Phiếu VN 🔍'!$E$187&gt;0,1,0))),"")</f>
        <v/>
      </c>
      <c r="L188" s="863">
        <f>IFERROR(IF(I188="","",IF(OR(I188&lt;1.8,J188&gt;-1.78,K188&lt;5),"🔴 CỜ ĐỎ",IF(OR(I188&lt;2.99,J188&gt;-2.22,K188&lt;7),"🟡 Theo dõi","🟢 Sạch"))),"")</f>
        <v/>
      </c>
      <c r="M188" s="863">
        <f>IFERROR(IF(L188="🟢 Sạch","✅ ĐỦ ĐIỀU KIỆN MUA",IF(L188="🟡 Theo dõi","⚠️ Cần xác minh BCTC","❌ LOẠI KHỎI BỘ LỌC")),"")</f>
        <v/>
      </c>
      <c r="N188" s="863">
        <f>IFERROR(IF(M188="✅ ĐỦ ĐIỀU KIỆN MUA",ROUND((I188/3+K188/9-J188/5)*10,1),0),"")</f>
        <v/>
      </c>
    </row>
    <row r="189" ht="15" customHeight="1" s="981">
      <c r="A189" s="861" t="n">
        <v>184</v>
      </c>
      <c r="B189" s="862">
        <f>IFERROR(IF('📈 Cổ Phiếu VN 🔍'!$A$188="","",'📈 Cổ Phiếu VN 🔍'!$A$188),"")</f>
        <v/>
      </c>
      <c r="C189" s="862">
        <f>IFERROR('📈 Cổ Phiếu VN 🔍'!$B$188,"")</f>
        <v/>
      </c>
      <c r="D189" s="862">
        <f>IFERROR('📈 Cổ Phiếu VN 🔍'!$C$188,"")</f>
        <v/>
      </c>
      <c r="E189" s="862">
        <f>IFERROR('📈 Cổ Phiếu VN 🔍'!$E$188,0)</f>
        <v/>
      </c>
      <c r="F189" s="862">
        <f>IFERROR('📈 Cổ Phiếu VN 🔍'!$F$188,0)</f>
        <v/>
      </c>
      <c r="G189" s="862">
        <f>IFERROR('📈 Cổ Phiếu VN 🔍'!$G$188,0)</f>
        <v/>
      </c>
      <c r="H189" s="862">
        <f>IFERROR('📈 Cổ Phiếu VN 🔍'!$T$188,0)</f>
        <v/>
      </c>
      <c r="I189" s="863">
        <f>IFERROR(IF('📈 Cổ Phiếu VN 🔍'!$A$188="","",ROUND(3.25+6.56*0.15+3.26*('📈 Cổ Phiếu VN 🔍'!$G$188/100*0.5)+6.72*('📈 Cổ Phiếu VN 🔍'!$G$188/100)+1.05*(1/('📈 Cổ Phiếu VN 🔍'!$T$188+0.5)),2)),"")</f>
        <v/>
      </c>
      <c r="J189" s="863">
        <f>IFERROR(IF('📈 Cổ Phiếu VN 🔍'!$A$188="","",ROUND(-4.84+0.92*(1+0.5*'📈 Cổ Phiếu VN 🔍'!$J$188/100)+0.528*1.02+0.404*1.01+0.892*(1+'📈 Cổ Phiếu VN 🔍'!$J$188/100)+0.115*1.02,2)),"")</f>
        <v/>
      </c>
      <c r="K189" s="863">
        <f>IFERROR(IF('📈 Cổ Phiếu VN 🔍'!$A$188="","",(IF('📈 Cổ Phiếu VN 🔍'!$G$188&gt;0,1,0)+IF('📈 Cổ Phiếu VN 🔍'!$G$188&gt;5,1,0)+IF('📈 Cổ Phiếu VN 🔍'!$G$188&gt;10,1,0)+IF('📈 Cổ Phiếu VN 🔍'!$G$188&gt;15,1,0)+IF('📈 Cổ Phiếu VN 🔍'!$T$188&lt;3,1,0)+IF('📈 Cổ Phiếu VN 🔍'!$T$188&lt;5,1,0)+IF('📈 Cổ Phiếu VN 🔍'!$J$188&gt;0,1,0)+IF('📈 Cổ Phiếu VN 🔍'!$E$188&lt;20,1,0)+IF('📈 Cổ Phiếu VN 🔍'!$E$188&gt;0,1,0))),"")</f>
        <v/>
      </c>
      <c r="L189" s="863">
        <f>IFERROR(IF(I189="","",IF(OR(I189&lt;1.8,J189&gt;-1.78,K189&lt;5),"🔴 CỜ ĐỎ",IF(OR(I189&lt;2.99,J189&gt;-2.22,K189&lt;7),"🟡 Theo dõi","🟢 Sạch"))),"")</f>
        <v/>
      </c>
      <c r="M189" s="863">
        <f>IFERROR(IF(L189="🟢 Sạch","✅ ĐỦ ĐIỀU KIỆN MUA",IF(L189="🟡 Theo dõi","⚠️ Cần xác minh BCTC","❌ LOẠI KHỎI BỘ LỌC")),"")</f>
        <v/>
      </c>
      <c r="N189" s="863">
        <f>IFERROR(IF(M189="✅ ĐỦ ĐIỀU KIỆN MUA",ROUND((I189/3+K189/9-J189/5)*10,1),0),"")</f>
        <v/>
      </c>
    </row>
    <row r="190" ht="15" customHeight="1" s="981">
      <c r="A190" s="861" t="n">
        <v>185</v>
      </c>
      <c r="B190" s="862">
        <f>IFERROR(IF('📈 Cổ Phiếu VN 🔍'!$A$189="","",'📈 Cổ Phiếu VN 🔍'!$A$189),"")</f>
        <v/>
      </c>
      <c r="C190" s="862">
        <f>IFERROR('📈 Cổ Phiếu VN 🔍'!$B$189,"")</f>
        <v/>
      </c>
      <c r="D190" s="862">
        <f>IFERROR('📈 Cổ Phiếu VN 🔍'!$C$189,"")</f>
        <v/>
      </c>
      <c r="E190" s="862">
        <f>IFERROR('📈 Cổ Phiếu VN 🔍'!$E$189,0)</f>
        <v/>
      </c>
      <c r="F190" s="862">
        <f>IFERROR('📈 Cổ Phiếu VN 🔍'!$F$189,0)</f>
        <v/>
      </c>
      <c r="G190" s="862">
        <f>IFERROR('📈 Cổ Phiếu VN 🔍'!$G$189,0)</f>
        <v/>
      </c>
      <c r="H190" s="862">
        <f>IFERROR('📈 Cổ Phiếu VN 🔍'!$T$189,0)</f>
        <v/>
      </c>
      <c r="I190" s="863">
        <f>IFERROR(IF('📈 Cổ Phiếu VN 🔍'!$A$189="","",ROUND(3.25+6.56*0.15+3.26*('📈 Cổ Phiếu VN 🔍'!$G$189/100*0.5)+6.72*('📈 Cổ Phiếu VN 🔍'!$G$189/100)+1.05*(1/('📈 Cổ Phiếu VN 🔍'!$T$189+0.5)),2)),"")</f>
        <v/>
      </c>
      <c r="J190" s="863">
        <f>IFERROR(IF('📈 Cổ Phiếu VN 🔍'!$A$189="","",ROUND(-4.84+0.92*(1+0.5*'📈 Cổ Phiếu VN 🔍'!$J$189/100)+0.528*1.02+0.404*1.01+0.892*(1+'📈 Cổ Phiếu VN 🔍'!$J$189/100)+0.115*1.02,2)),"")</f>
        <v/>
      </c>
      <c r="K190" s="863">
        <f>IFERROR(IF('📈 Cổ Phiếu VN 🔍'!$A$189="","",(IF('📈 Cổ Phiếu VN 🔍'!$G$189&gt;0,1,0)+IF('📈 Cổ Phiếu VN 🔍'!$G$189&gt;5,1,0)+IF('📈 Cổ Phiếu VN 🔍'!$G$189&gt;10,1,0)+IF('📈 Cổ Phiếu VN 🔍'!$G$189&gt;15,1,0)+IF('📈 Cổ Phiếu VN 🔍'!$T$189&lt;3,1,0)+IF('📈 Cổ Phiếu VN 🔍'!$T$189&lt;5,1,0)+IF('📈 Cổ Phiếu VN 🔍'!$J$189&gt;0,1,0)+IF('📈 Cổ Phiếu VN 🔍'!$E$189&lt;20,1,0)+IF('📈 Cổ Phiếu VN 🔍'!$E$189&gt;0,1,0))),"")</f>
        <v/>
      </c>
      <c r="L190" s="863">
        <f>IFERROR(IF(I190="","",IF(OR(I190&lt;1.8,J190&gt;-1.78,K190&lt;5),"🔴 CỜ ĐỎ",IF(OR(I190&lt;2.99,J190&gt;-2.22,K190&lt;7),"🟡 Theo dõi","🟢 Sạch"))),"")</f>
        <v/>
      </c>
      <c r="M190" s="863">
        <f>IFERROR(IF(L190="🟢 Sạch","✅ ĐỦ ĐIỀU KIỆN MUA",IF(L190="🟡 Theo dõi","⚠️ Cần xác minh BCTC","❌ LOẠI KHỎI BỘ LỌC")),"")</f>
        <v/>
      </c>
      <c r="N190" s="863">
        <f>IFERROR(IF(M190="✅ ĐỦ ĐIỀU KIỆN MUA",ROUND((I190/3+K190/9-J190/5)*10,1),0),"")</f>
        <v/>
      </c>
    </row>
    <row r="191" ht="15" customHeight="1" s="981">
      <c r="A191" s="861" t="n">
        <v>186</v>
      </c>
      <c r="B191" s="862">
        <f>IFERROR(IF('📈 Cổ Phiếu VN 🔍'!$A$190="","",'📈 Cổ Phiếu VN 🔍'!$A$190),"")</f>
        <v/>
      </c>
      <c r="C191" s="862">
        <f>IFERROR('📈 Cổ Phiếu VN 🔍'!$B$190,"")</f>
        <v/>
      </c>
      <c r="D191" s="862">
        <f>IFERROR('📈 Cổ Phiếu VN 🔍'!$C$190,"")</f>
        <v/>
      </c>
      <c r="E191" s="862">
        <f>IFERROR('📈 Cổ Phiếu VN 🔍'!$E$190,0)</f>
        <v/>
      </c>
      <c r="F191" s="862">
        <f>IFERROR('📈 Cổ Phiếu VN 🔍'!$F$190,0)</f>
        <v/>
      </c>
      <c r="G191" s="862">
        <f>IFERROR('📈 Cổ Phiếu VN 🔍'!$G$190,0)</f>
        <v/>
      </c>
      <c r="H191" s="862">
        <f>IFERROR('📈 Cổ Phiếu VN 🔍'!$T$190,0)</f>
        <v/>
      </c>
      <c r="I191" s="863">
        <f>IFERROR(IF('📈 Cổ Phiếu VN 🔍'!$A$190="","",ROUND(3.25+6.56*0.15+3.26*('📈 Cổ Phiếu VN 🔍'!$G$190/100*0.5)+6.72*('📈 Cổ Phiếu VN 🔍'!$G$190/100)+1.05*(1/('📈 Cổ Phiếu VN 🔍'!$T$190+0.5)),2)),"")</f>
        <v/>
      </c>
      <c r="J191" s="863">
        <f>IFERROR(IF('📈 Cổ Phiếu VN 🔍'!$A$190="","",ROUND(-4.84+0.92*(1+0.5*'📈 Cổ Phiếu VN 🔍'!$J$190/100)+0.528*1.02+0.404*1.01+0.892*(1+'📈 Cổ Phiếu VN 🔍'!$J$190/100)+0.115*1.02,2)),"")</f>
        <v/>
      </c>
      <c r="K191" s="863">
        <f>IFERROR(IF('📈 Cổ Phiếu VN 🔍'!$A$190="","",(IF('📈 Cổ Phiếu VN 🔍'!$G$190&gt;0,1,0)+IF('📈 Cổ Phiếu VN 🔍'!$G$190&gt;5,1,0)+IF('📈 Cổ Phiếu VN 🔍'!$G$190&gt;10,1,0)+IF('📈 Cổ Phiếu VN 🔍'!$G$190&gt;15,1,0)+IF('📈 Cổ Phiếu VN 🔍'!$T$190&lt;3,1,0)+IF('📈 Cổ Phiếu VN 🔍'!$T$190&lt;5,1,0)+IF('📈 Cổ Phiếu VN 🔍'!$J$190&gt;0,1,0)+IF('📈 Cổ Phiếu VN 🔍'!$E$190&lt;20,1,0)+IF('📈 Cổ Phiếu VN 🔍'!$E$190&gt;0,1,0))),"")</f>
        <v/>
      </c>
      <c r="L191" s="863">
        <f>IFERROR(IF(I191="","",IF(OR(I191&lt;1.8,J191&gt;-1.78,K191&lt;5),"🔴 CỜ ĐỎ",IF(OR(I191&lt;2.99,J191&gt;-2.22,K191&lt;7),"🟡 Theo dõi","🟢 Sạch"))),"")</f>
        <v/>
      </c>
      <c r="M191" s="863">
        <f>IFERROR(IF(L191="🟢 Sạch","✅ ĐỦ ĐIỀU KIỆN MUA",IF(L191="🟡 Theo dõi","⚠️ Cần xác minh BCTC","❌ LOẠI KHỎI BỘ LỌC")),"")</f>
        <v/>
      </c>
      <c r="N191" s="863">
        <f>IFERROR(IF(M191="✅ ĐỦ ĐIỀU KIỆN MUA",ROUND((I191/3+K191/9-J191/5)*10,1),0),"")</f>
        <v/>
      </c>
    </row>
    <row r="192" ht="15" customHeight="1" s="981">
      <c r="A192" s="861" t="n">
        <v>187</v>
      </c>
      <c r="B192" s="862">
        <f>IFERROR(IF('📈 Cổ Phiếu VN 🔍'!$A$191="","",'📈 Cổ Phiếu VN 🔍'!$A$191),"")</f>
        <v/>
      </c>
      <c r="C192" s="862">
        <f>IFERROR('📈 Cổ Phiếu VN 🔍'!$B$191,"")</f>
        <v/>
      </c>
      <c r="D192" s="862">
        <f>IFERROR('📈 Cổ Phiếu VN 🔍'!$C$191,"")</f>
        <v/>
      </c>
      <c r="E192" s="862">
        <f>IFERROR('📈 Cổ Phiếu VN 🔍'!$E$191,0)</f>
        <v/>
      </c>
      <c r="F192" s="862">
        <f>IFERROR('📈 Cổ Phiếu VN 🔍'!$F$191,0)</f>
        <v/>
      </c>
      <c r="G192" s="862">
        <f>IFERROR('📈 Cổ Phiếu VN 🔍'!$G$191,0)</f>
        <v/>
      </c>
      <c r="H192" s="862">
        <f>IFERROR('📈 Cổ Phiếu VN 🔍'!$T$191,0)</f>
        <v/>
      </c>
      <c r="I192" s="863">
        <f>IFERROR(IF('📈 Cổ Phiếu VN 🔍'!$A$191="","",ROUND(3.25+6.56*0.15+3.26*('📈 Cổ Phiếu VN 🔍'!$G$191/100*0.5)+6.72*('📈 Cổ Phiếu VN 🔍'!$G$191/100)+1.05*(1/('📈 Cổ Phiếu VN 🔍'!$T$191+0.5)),2)),"")</f>
        <v/>
      </c>
      <c r="J192" s="863">
        <f>IFERROR(IF('📈 Cổ Phiếu VN 🔍'!$A$191="","",ROUND(-4.84+0.92*(1+0.5*'📈 Cổ Phiếu VN 🔍'!$J$191/100)+0.528*1.02+0.404*1.01+0.892*(1+'📈 Cổ Phiếu VN 🔍'!$J$191/100)+0.115*1.02,2)),"")</f>
        <v/>
      </c>
      <c r="K192" s="863">
        <f>IFERROR(IF('📈 Cổ Phiếu VN 🔍'!$A$191="","",(IF('📈 Cổ Phiếu VN 🔍'!$G$191&gt;0,1,0)+IF('📈 Cổ Phiếu VN 🔍'!$G$191&gt;5,1,0)+IF('📈 Cổ Phiếu VN 🔍'!$G$191&gt;10,1,0)+IF('📈 Cổ Phiếu VN 🔍'!$G$191&gt;15,1,0)+IF('📈 Cổ Phiếu VN 🔍'!$T$191&lt;3,1,0)+IF('📈 Cổ Phiếu VN 🔍'!$T$191&lt;5,1,0)+IF('📈 Cổ Phiếu VN 🔍'!$J$191&gt;0,1,0)+IF('📈 Cổ Phiếu VN 🔍'!$E$191&lt;20,1,0)+IF('📈 Cổ Phiếu VN 🔍'!$E$191&gt;0,1,0))),"")</f>
        <v/>
      </c>
      <c r="L192" s="863">
        <f>IFERROR(IF(I192="","",IF(OR(I192&lt;1.8,J192&gt;-1.78,K192&lt;5),"🔴 CỜ ĐỎ",IF(OR(I192&lt;2.99,J192&gt;-2.22,K192&lt;7),"🟡 Theo dõi","🟢 Sạch"))),"")</f>
        <v/>
      </c>
      <c r="M192" s="863">
        <f>IFERROR(IF(L192="🟢 Sạch","✅ ĐỦ ĐIỀU KIỆN MUA",IF(L192="🟡 Theo dõi","⚠️ Cần xác minh BCTC","❌ LOẠI KHỎI BỘ LỌC")),"")</f>
        <v/>
      </c>
      <c r="N192" s="863">
        <f>IFERROR(IF(M192="✅ ĐỦ ĐIỀU KIỆN MUA",ROUND((I192/3+K192/9-J192/5)*10,1),0),"")</f>
        <v/>
      </c>
    </row>
    <row r="193" ht="15" customHeight="1" s="981">
      <c r="A193" s="861" t="n">
        <v>188</v>
      </c>
      <c r="B193" s="862">
        <f>IFERROR(IF('📈 Cổ Phiếu VN 🔍'!$A$192="","",'📈 Cổ Phiếu VN 🔍'!$A$192),"")</f>
        <v/>
      </c>
      <c r="C193" s="862">
        <f>IFERROR('📈 Cổ Phiếu VN 🔍'!$B$192,"")</f>
        <v/>
      </c>
      <c r="D193" s="862">
        <f>IFERROR('📈 Cổ Phiếu VN 🔍'!$C$192,"")</f>
        <v/>
      </c>
      <c r="E193" s="862">
        <f>IFERROR('📈 Cổ Phiếu VN 🔍'!$E$192,0)</f>
        <v/>
      </c>
      <c r="F193" s="862">
        <f>IFERROR('📈 Cổ Phiếu VN 🔍'!$F$192,0)</f>
        <v/>
      </c>
      <c r="G193" s="862">
        <f>IFERROR('📈 Cổ Phiếu VN 🔍'!$G$192,0)</f>
        <v/>
      </c>
      <c r="H193" s="862">
        <f>IFERROR('📈 Cổ Phiếu VN 🔍'!$T$192,0)</f>
        <v/>
      </c>
      <c r="I193" s="863">
        <f>IFERROR(IF('📈 Cổ Phiếu VN 🔍'!$A$192="","",ROUND(3.25+6.56*0.15+3.26*('📈 Cổ Phiếu VN 🔍'!$G$192/100*0.5)+6.72*('📈 Cổ Phiếu VN 🔍'!$G$192/100)+1.05*(1/('📈 Cổ Phiếu VN 🔍'!$T$192+0.5)),2)),"")</f>
        <v/>
      </c>
      <c r="J193" s="863">
        <f>IFERROR(IF('📈 Cổ Phiếu VN 🔍'!$A$192="","",ROUND(-4.84+0.92*(1+0.5*'📈 Cổ Phiếu VN 🔍'!$J$192/100)+0.528*1.02+0.404*1.01+0.892*(1+'📈 Cổ Phiếu VN 🔍'!$J$192/100)+0.115*1.02,2)),"")</f>
        <v/>
      </c>
      <c r="K193" s="863">
        <f>IFERROR(IF('📈 Cổ Phiếu VN 🔍'!$A$192="","",(IF('📈 Cổ Phiếu VN 🔍'!$G$192&gt;0,1,0)+IF('📈 Cổ Phiếu VN 🔍'!$G$192&gt;5,1,0)+IF('📈 Cổ Phiếu VN 🔍'!$G$192&gt;10,1,0)+IF('📈 Cổ Phiếu VN 🔍'!$G$192&gt;15,1,0)+IF('📈 Cổ Phiếu VN 🔍'!$T$192&lt;3,1,0)+IF('📈 Cổ Phiếu VN 🔍'!$T$192&lt;5,1,0)+IF('📈 Cổ Phiếu VN 🔍'!$J$192&gt;0,1,0)+IF('📈 Cổ Phiếu VN 🔍'!$E$192&lt;20,1,0)+IF('📈 Cổ Phiếu VN 🔍'!$E$192&gt;0,1,0))),"")</f>
        <v/>
      </c>
      <c r="L193" s="863">
        <f>IFERROR(IF(I193="","",IF(OR(I193&lt;1.8,J193&gt;-1.78,K193&lt;5),"🔴 CỜ ĐỎ",IF(OR(I193&lt;2.99,J193&gt;-2.22,K193&lt;7),"🟡 Theo dõi","🟢 Sạch"))),"")</f>
        <v/>
      </c>
      <c r="M193" s="863">
        <f>IFERROR(IF(L193="🟢 Sạch","✅ ĐỦ ĐIỀU KIỆN MUA",IF(L193="🟡 Theo dõi","⚠️ Cần xác minh BCTC","❌ LOẠI KHỎI BỘ LỌC")),"")</f>
        <v/>
      </c>
      <c r="N193" s="863">
        <f>IFERROR(IF(M193="✅ ĐỦ ĐIỀU KIỆN MUA",ROUND((I193/3+K193/9-J193/5)*10,1),0),"")</f>
        <v/>
      </c>
    </row>
    <row r="194" ht="15" customHeight="1" s="981">
      <c r="A194" s="861" t="n">
        <v>189</v>
      </c>
      <c r="B194" s="862">
        <f>IFERROR(IF('📈 Cổ Phiếu VN 🔍'!$A$193="","",'📈 Cổ Phiếu VN 🔍'!$A$193),"")</f>
        <v/>
      </c>
      <c r="C194" s="862">
        <f>IFERROR('📈 Cổ Phiếu VN 🔍'!$B$193,"")</f>
        <v/>
      </c>
      <c r="D194" s="862">
        <f>IFERROR('📈 Cổ Phiếu VN 🔍'!$C$193,"")</f>
        <v/>
      </c>
      <c r="E194" s="862">
        <f>IFERROR('📈 Cổ Phiếu VN 🔍'!$E$193,0)</f>
        <v/>
      </c>
      <c r="F194" s="862">
        <f>IFERROR('📈 Cổ Phiếu VN 🔍'!$F$193,0)</f>
        <v/>
      </c>
      <c r="G194" s="862">
        <f>IFERROR('📈 Cổ Phiếu VN 🔍'!$G$193,0)</f>
        <v/>
      </c>
      <c r="H194" s="862">
        <f>IFERROR('📈 Cổ Phiếu VN 🔍'!$T$193,0)</f>
        <v/>
      </c>
      <c r="I194" s="863">
        <f>IFERROR(IF('📈 Cổ Phiếu VN 🔍'!$A$193="","",ROUND(3.25+6.56*0.15+3.26*('📈 Cổ Phiếu VN 🔍'!$G$193/100*0.5)+6.72*('📈 Cổ Phiếu VN 🔍'!$G$193/100)+1.05*(1/('📈 Cổ Phiếu VN 🔍'!$T$193+0.5)),2)),"")</f>
        <v/>
      </c>
      <c r="J194" s="863">
        <f>IFERROR(IF('📈 Cổ Phiếu VN 🔍'!$A$193="","",ROUND(-4.84+0.92*(1+0.5*'📈 Cổ Phiếu VN 🔍'!$J$193/100)+0.528*1.02+0.404*1.01+0.892*(1+'📈 Cổ Phiếu VN 🔍'!$J$193/100)+0.115*1.02,2)),"")</f>
        <v/>
      </c>
      <c r="K194" s="863">
        <f>IFERROR(IF('📈 Cổ Phiếu VN 🔍'!$A$193="","",(IF('📈 Cổ Phiếu VN 🔍'!$G$193&gt;0,1,0)+IF('📈 Cổ Phiếu VN 🔍'!$G$193&gt;5,1,0)+IF('📈 Cổ Phiếu VN 🔍'!$G$193&gt;10,1,0)+IF('📈 Cổ Phiếu VN 🔍'!$G$193&gt;15,1,0)+IF('📈 Cổ Phiếu VN 🔍'!$T$193&lt;3,1,0)+IF('📈 Cổ Phiếu VN 🔍'!$T$193&lt;5,1,0)+IF('📈 Cổ Phiếu VN 🔍'!$J$193&gt;0,1,0)+IF('📈 Cổ Phiếu VN 🔍'!$E$193&lt;20,1,0)+IF('📈 Cổ Phiếu VN 🔍'!$E$193&gt;0,1,0))),"")</f>
        <v/>
      </c>
      <c r="L194" s="863">
        <f>IFERROR(IF(I194="","",IF(OR(I194&lt;1.8,J194&gt;-1.78,K194&lt;5),"🔴 CỜ ĐỎ",IF(OR(I194&lt;2.99,J194&gt;-2.22,K194&lt;7),"🟡 Theo dõi","🟢 Sạch"))),"")</f>
        <v/>
      </c>
      <c r="M194" s="863">
        <f>IFERROR(IF(L194="🟢 Sạch","✅ ĐỦ ĐIỀU KIỆN MUA",IF(L194="🟡 Theo dõi","⚠️ Cần xác minh BCTC","❌ LOẠI KHỎI BỘ LỌC")),"")</f>
        <v/>
      </c>
      <c r="N194" s="863">
        <f>IFERROR(IF(M194="✅ ĐỦ ĐIỀU KIỆN MUA",ROUND((I194/3+K194/9-J194/5)*10,1),0),"")</f>
        <v/>
      </c>
    </row>
    <row r="195" ht="15" customHeight="1" s="981">
      <c r="A195" s="861" t="n">
        <v>190</v>
      </c>
      <c r="B195" s="862">
        <f>IFERROR(IF('📈 Cổ Phiếu VN 🔍'!$A$194="","",'📈 Cổ Phiếu VN 🔍'!$A$194),"")</f>
        <v/>
      </c>
      <c r="C195" s="862">
        <f>IFERROR('📈 Cổ Phiếu VN 🔍'!$B$194,"")</f>
        <v/>
      </c>
      <c r="D195" s="862">
        <f>IFERROR('📈 Cổ Phiếu VN 🔍'!$C$194,"")</f>
        <v/>
      </c>
      <c r="E195" s="862">
        <f>IFERROR('📈 Cổ Phiếu VN 🔍'!$E$194,0)</f>
        <v/>
      </c>
      <c r="F195" s="862">
        <f>IFERROR('📈 Cổ Phiếu VN 🔍'!$F$194,0)</f>
        <v/>
      </c>
      <c r="G195" s="862">
        <f>IFERROR('📈 Cổ Phiếu VN 🔍'!$G$194,0)</f>
        <v/>
      </c>
      <c r="H195" s="862">
        <f>IFERROR('📈 Cổ Phiếu VN 🔍'!$T$194,0)</f>
        <v/>
      </c>
      <c r="I195" s="863">
        <f>IFERROR(IF('📈 Cổ Phiếu VN 🔍'!$A$194="","",ROUND(3.25+6.56*0.15+3.26*('📈 Cổ Phiếu VN 🔍'!$G$194/100*0.5)+6.72*('📈 Cổ Phiếu VN 🔍'!$G$194/100)+1.05*(1/('📈 Cổ Phiếu VN 🔍'!$T$194+0.5)),2)),"")</f>
        <v/>
      </c>
      <c r="J195" s="863">
        <f>IFERROR(IF('📈 Cổ Phiếu VN 🔍'!$A$194="","",ROUND(-4.84+0.92*(1+0.5*'📈 Cổ Phiếu VN 🔍'!$J$194/100)+0.528*1.02+0.404*1.01+0.892*(1+'📈 Cổ Phiếu VN 🔍'!$J$194/100)+0.115*1.02,2)),"")</f>
        <v/>
      </c>
      <c r="K195" s="863">
        <f>IFERROR(IF('📈 Cổ Phiếu VN 🔍'!$A$194="","",(IF('📈 Cổ Phiếu VN 🔍'!$G$194&gt;0,1,0)+IF('📈 Cổ Phiếu VN 🔍'!$G$194&gt;5,1,0)+IF('📈 Cổ Phiếu VN 🔍'!$G$194&gt;10,1,0)+IF('📈 Cổ Phiếu VN 🔍'!$G$194&gt;15,1,0)+IF('📈 Cổ Phiếu VN 🔍'!$T$194&lt;3,1,0)+IF('📈 Cổ Phiếu VN 🔍'!$T$194&lt;5,1,0)+IF('📈 Cổ Phiếu VN 🔍'!$J$194&gt;0,1,0)+IF('📈 Cổ Phiếu VN 🔍'!$E$194&lt;20,1,0)+IF('📈 Cổ Phiếu VN 🔍'!$E$194&gt;0,1,0))),"")</f>
        <v/>
      </c>
      <c r="L195" s="863">
        <f>IFERROR(IF(I195="","",IF(OR(I195&lt;1.8,J195&gt;-1.78,K195&lt;5),"🔴 CỜ ĐỎ",IF(OR(I195&lt;2.99,J195&gt;-2.22,K195&lt;7),"🟡 Theo dõi","🟢 Sạch"))),"")</f>
        <v/>
      </c>
      <c r="M195" s="863">
        <f>IFERROR(IF(L195="🟢 Sạch","✅ ĐỦ ĐIỀU KIỆN MUA",IF(L195="🟡 Theo dõi","⚠️ Cần xác minh BCTC","❌ LOẠI KHỎI BỘ LỌC")),"")</f>
        <v/>
      </c>
      <c r="N195" s="863">
        <f>IFERROR(IF(M195="✅ ĐỦ ĐIỀU KIỆN MUA",ROUND((I195/3+K195/9-J195/5)*10,1),0),"")</f>
        <v/>
      </c>
    </row>
    <row r="196" ht="15" customHeight="1" s="981">
      <c r="A196" s="861" t="n">
        <v>191</v>
      </c>
      <c r="B196" s="862">
        <f>IFERROR(IF('📈 Cổ Phiếu VN 🔍'!$A$195="","",'📈 Cổ Phiếu VN 🔍'!$A$195),"")</f>
        <v/>
      </c>
      <c r="C196" s="862">
        <f>IFERROR('📈 Cổ Phiếu VN 🔍'!$B$195,"")</f>
        <v/>
      </c>
      <c r="D196" s="862">
        <f>IFERROR('📈 Cổ Phiếu VN 🔍'!$C$195,"")</f>
        <v/>
      </c>
      <c r="E196" s="862">
        <f>IFERROR('📈 Cổ Phiếu VN 🔍'!$E$195,0)</f>
        <v/>
      </c>
      <c r="F196" s="862">
        <f>IFERROR('📈 Cổ Phiếu VN 🔍'!$F$195,0)</f>
        <v/>
      </c>
      <c r="G196" s="862">
        <f>IFERROR('📈 Cổ Phiếu VN 🔍'!$G$195,0)</f>
        <v/>
      </c>
      <c r="H196" s="862">
        <f>IFERROR('📈 Cổ Phiếu VN 🔍'!$T$195,0)</f>
        <v/>
      </c>
      <c r="I196" s="863">
        <f>IFERROR(IF('📈 Cổ Phiếu VN 🔍'!$A$195="","",ROUND(3.25+6.56*0.15+3.26*('📈 Cổ Phiếu VN 🔍'!$G$195/100*0.5)+6.72*('📈 Cổ Phiếu VN 🔍'!$G$195/100)+1.05*(1/('📈 Cổ Phiếu VN 🔍'!$T$195+0.5)),2)),"")</f>
        <v/>
      </c>
      <c r="J196" s="863">
        <f>IFERROR(IF('📈 Cổ Phiếu VN 🔍'!$A$195="","",ROUND(-4.84+0.92*(1+0.5*'📈 Cổ Phiếu VN 🔍'!$J$195/100)+0.528*1.02+0.404*1.01+0.892*(1+'📈 Cổ Phiếu VN 🔍'!$J$195/100)+0.115*1.02,2)),"")</f>
        <v/>
      </c>
      <c r="K196" s="863">
        <f>IFERROR(IF('📈 Cổ Phiếu VN 🔍'!$A$195="","",(IF('📈 Cổ Phiếu VN 🔍'!$G$195&gt;0,1,0)+IF('📈 Cổ Phiếu VN 🔍'!$G$195&gt;5,1,0)+IF('📈 Cổ Phiếu VN 🔍'!$G$195&gt;10,1,0)+IF('📈 Cổ Phiếu VN 🔍'!$G$195&gt;15,1,0)+IF('📈 Cổ Phiếu VN 🔍'!$T$195&lt;3,1,0)+IF('📈 Cổ Phiếu VN 🔍'!$T$195&lt;5,1,0)+IF('📈 Cổ Phiếu VN 🔍'!$J$195&gt;0,1,0)+IF('📈 Cổ Phiếu VN 🔍'!$E$195&lt;20,1,0)+IF('📈 Cổ Phiếu VN 🔍'!$E$195&gt;0,1,0))),"")</f>
        <v/>
      </c>
      <c r="L196" s="863">
        <f>IFERROR(IF(I196="","",IF(OR(I196&lt;1.8,J196&gt;-1.78,K196&lt;5),"🔴 CỜ ĐỎ",IF(OR(I196&lt;2.99,J196&gt;-2.22,K196&lt;7),"🟡 Theo dõi","🟢 Sạch"))),"")</f>
        <v/>
      </c>
      <c r="M196" s="863">
        <f>IFERROR(IF(L196="🟢 Sạch","✅ ĐỦ ĐIỀU KIỆN MUA",IF(L196="🟡 Theo dõi","⚠️ Cần xác minh BCTC","❌ LOẠI KHỎI BỘ LỌC")),"")</f>
        <v/>
      </c>
      <c r="N196" s="863">
        <f>IFERROR(IF(M196="✅ ĐỦ ĐIỀU KIỆN MUA",ROUND((I196/3+K196/9-J196/5)*10,1),0),"")</f>
        <v/>
      </c>
    </row>
    <row r="197" ht="15" customHeight="1" s="981">
      <c r="A197" s="861" t="n">
        <v>192</v>
      </c>
      <c r="B197" s="862">
        <f>IFERROR(IF('📈 Cổ Phiếu VN 🔍'!$A$196="","",'📈 Cổ Phiếu VN 🔍'!$A$196),"")</f>
        <v/>
      </c>
      <c r="C197" s="862">
        <f>IFERROR('📈 Cổ Phiếu VN 🔍'!$B$196,"")</f>
        <v/>
      </c>
      <c r="D197" s="862">
        <f>IFERROR('📈 Cổ Phiếu VN 🔍'!$C$196,"")</f>
        <v/>
      </c>
      <c r="E197" s="862">
        <f>IFERROR('📈 Cổ Phiếu VN 🔍'!$E$196,0)</f>
        <v/>
      </c>
      <c r="F197" s="862">
        <f>IFERROR('📈 Cổ Phiếu VN 🔍'!$F$196,0)</f>
        <v/>
      </c>
      <c r="G197" s="862">
        <f>IFERROR('📈 Cổ Phiếu VN 🔍'!$G$196,0)</f>
        <v/>
      </c>
      <c r="H197" s="862">
        <f>IFERROR('📈 Cổ Phiếu VN 🔍'!$T$196,0)</f>
        <v/>
      </c>
      <c r="I197" s="863">
        <f>IFERROR(IF('📈 Cổ Phiếu VN 🔍'!$A$196="","",ROUND(3.25+6.56*0.15+3.26*('📈 Cổ Phiếu VN 🔍'!$G$196/100*0.5)+6.72*('📈 Cổ Phiếu VN 🔍'!$G$196/100)+1.05*(1/('📈 Cổ Phiếu VN 🔍'!$T$196+0.5)),2)),"")</f>
        <v/>
      </c>
      <c r="J197" s="863">
        <f>IFERROR(IF('📈 Cổ Phiếu VN 🔍'!$A$196="","",ROUND(-4.84+0.92*(1+0.5*'📈 Cổ Phiếu VN 🔍'!$J$196/100)+0.528*1.02+0.404*1.01+0.892*(1+'📈 Cổ Phiếu VN 🔍'!$J$196/100)+0.115*1.02,2)),"")</f>
        <v/>
      </c>
      <c r="K197" s="863">
        <f>IFERROR(IF('📈 Cổ Phiếu VN 🔍'!$A$196="","",(IF('📈 Cổ Phiếu VN 🔍'!$G$196&gt;0,1,0)+IF('📈 Cổ Phiếu VN 🔍'!$G$196&gt;5,1,0)+IF('📈 Cổ Phiếu VN 🔍'!$G$196&gt;10,1,0)+IF('📈 Cổ Phiếu VN 🔍'!$G$196&gt;15,1,0)+IF('📈 Cổ Phiếu VN 🔍'!$T$196&lt;3,1,0)+IF('📈 Cổ Phiếu VN 🔍'!$T$196&lt;5,1,0)+IF('📈 Cổ Phiếu VN 🔍'!$J$196&gt;0,1,0)+IF('📈 Cổ Phiếu VN 🔍'!$E$196&lt;20,1,0)+IF('📈 Cổ Phiếu VN 🔍'!$E$196&gt;0,1,0))),"")</f>
        <v/>
      </c>
      <c r="L197" s="863">
        <f>IFERROR(IF(I197="","",IF(OR(I197&lt;1.8,J197&gt;-1.78,K197&lt;5),"🔴 CỜ ĐỎ",IF(OR(I197&lt;2.99,J197&gt;-2.22,K197&lt;7),"🟡 Theo dõi","🟢 Sạch"))),"")</f>
        <v/>
      </c>
      <c r="M197" s="863">
        <f>IFERROR(IF(L197="🟢 Sạch","✅ ĐỦ ĐIỀU KIỆN MUA",IF(L197="🟡 Theo dõi","⚠️ Cần xác minh BCTC","❌ LOẠI KHỎI BỘ LỌC")),"")</f>
        <v/>
      </c>
      <c r="N197" s="863">
        <f>IFERROR(IF(M197="✅ ĐỦ ĐIỀU KIỆN MUA",ROUND((I197/3+K197/9-J197/5)*10,1),0),"")</f>
        <v/>
      </c>
    </row>
    <row r="198" ht="15" customHeight="1" s="981">
      <c r="A198" s="861" t="n">
        <v>193</v>
      </c>
      <c r="B198" s="862">
        <f>IFERROR(IF('📈 Cổ Phiếu VN 🔍'!$A$197="","",'📈 Cổ Phiếu VN 🔍'!$A$197),"")</f>
        <v/>
      </c>
      <c r="C198" s="862">
        <f>IFERROR('📈 Cổ Phiếu VN 🔍'!$B$197,"")</f>
        <v/>
      </c>
      <c r="D198" s="862">
        <f>IFERROR('📈 Cổ Phiếu VN 🔍'!$C$197,"")</f>
        <v/>
      </c>
      <c r="E198" s="862">
        <f>IFERROR('📈 Cổ Phiếu VN 🔍'!$E$197,0)</f>
        <v/>
      </c>
      <c r="F198" s="862">
        <f>IFERROR('📈 Cổ Phiếu VN 🔍'!$F$197,0)</f>
        <v/>
      </c>
      <c r="G198" s="862">
        <f>IFERROR('📈 Cổ Phiếu VN 🔍'!$G$197,0)</f>
        <v/>
      </c>
      <c r="H198" s="862">
        <f>IFERROR('📈 Cổ Phiếu VN 🔍'!$T$197,0)</f>
        <v/>
      </c>
      <c r="I198" s="863">
        <f>IFERROR(IF('📈 Cổ Phiếu VN 🔍'!$A$197="","",ROUND(3.25+6.56*0.15+3.26*('📈 Cổ Phiếu VN 🔍'!$G$197/100*0.5)+6.72*('📈 Cổ Phiếu VN 🔍'!$G$197/100)+1.05*(1/('📈 Cổ Phiếu VN 🔍'!$T$197+0.5)),2)),"")</f>
        <v/>
      </c>
      <c r="J198" s="863">
        <f>IFERROR(IF('📈 Cổ Phiếu VN 🔍'!$A$197="","",ROUND(-4.84+0.92*(1+0.5*'📈 Cổ Phiếu VN 🔍'!$J$197/100)+0.528*1.02+0.404*1.01+0.892*(1+'📈 Cổ Phiếu VN 🔍'!$J$197/100)+0.115*1.02,2)),"")</f>
        <v/>
      </c>
      <c r="K198" s="863">
        <f>IFERROR(IF('📈 Cổ Phiếu VN 🔍'!$A$197="","",(IF('📈 Cổ Phiếu VN 🔍'!$G$197&gt;0,1,0)+IF('📈 Cổ Phiếu VN 🔍'!$G$197&gt;5,1,0)+IF('📈 Cổ Phiếu VN 🔍'!$G$197&gt;10,1,0)+IF('📈 Cổ Phiếu VN 🔍'!$G$197&gt;15,1,0)+IF('📈 Cổ Phiếu VN 🔍'!$T$197&lt;3,1,0)+IF('📈 Cổ Phiếu VN 🔍'!$T$197&lt;5,1,0)+IF('📈 Cổ Phiếu VN 🔍'!$J$197&gt;0,1,0)+IF('📈 Cổ Phiếu VN 🔍'!$E$197&lt;20,1,0)+IF('📈 Cổ Phiếu VN 🔍'!$E$197&gt;0,1,0))),"")</f>
        <v/>
      </c>
      <c r="L198" s="863">
        <f>IFERROR(IF(I198="","",IF(OR(I198&lt;1.8,J198&gt;-1.78,K198&lt;5),"🔴 CỜ ĐỎ",IF(OR(I198&lt;2.99,J198&gt;-2.22,K198&lt;7),"🟡 Theo dõi","🟢 Sạch"))),"")</f>
        <v/>
      </c>
      <c r="M198" s="863">
        <f>IFERROR(IF(L198="🟢 Sạch","✅ ĐỦ ĐIỀU KIỆN MUA",IF(L198="🟡 Theo dõi","⚠️ Cần xác minh BCTC","❌ LOẠI KHỎI BỘ LỌC")),"")</f>
        <v/>
      </c>
      <c r="N198" s="863">
        <f>IFERROR(IF(M198="✅ ĐỦ ĐIỀU KIỆN MUA",ROUND((I198/3+K198/9-J198/5)*10,1),0),"")</f>
        <v/>
      </c>
    </row>
    <row r="199" ht="15" customHeight="1" s="981">
      <c r="A199" s="861" t="n">
        <v>194</v>
      </c>
      <c r="B199" s="862">
        <f>IFERROR(IF('📈 Cổ Phiếu VN 🔍'!$A$198="","",'📈 Cổ Phiếu VN 🔍'!$A$198),"")</f>
        <v/>
      </c>
      <c r="C199" s="862">
        <f>IFERROR('📈 Cổ Phiếu VN 🔍'!$B$198,"")</f>
        <v/>
      </c>
      <c r="D199" s="862">
        <f>IFERROR('📈 Cổ Phiếu VN 🔍'!$C$198,"")</f>
        <v/>
      </c>
      <c r="E199" s="862">
        <f>IFERROR('📈 Cổ Phiếu VN 🔍'!$E$198,0)</f>
        <v/>
      </c>
      <c r="F199" s="862">
        <f>IFERROR('📈 Cổ Phiếu VN 🔍'!$F$198,0)</f>
        <v/>
      </c>
      <c r="G199" s="862">
        <f>IFERROR('📈 Cổ Phiếu VN 🔍'!$G$198,0)</f>
        <v/>
      </c>
      <c r="H199" s="862">
        <f>IFERROR('📈 Cổ Phiếu VN 🔍'!$T$198,0)</f>
        <v/>
      </c>
      <c r="I199" s="863">
        <f>IFERROR(IF('📈 Cổ Phiếu VN 🔍'!$A$198="","",ROUND(3.25+6.56*0.15+3.26*('📈 Cổ Phiếu VN 🔍'!$G$198/100*0.5)+6.72*('📈 Cổ Phiếu VN 🔍'!$G$198/100)+1.05*(1/('📈 Cổ Phiếu VN 🔍'!$T$198+0.5)),2)),"")</f>
        <v/>
      </c>
      <c r="J199" s="863">
        <f>IFERROR(IF('📈 Cổ Phiếu VN 🔍'!$A$198="","",ROUND(-4.84+0.92*(1+0.5*'📈 Cổ Phiếu VN 🔍'!$J$198/100)+0.528*1.02+0.404*1.01+0.892*(1+'📈 Cổ Phiếu VN 🔍'!$J$198/100)+0.115*1.02,2)),"")</f>
        <v/>
      </c>
      <c r="K199" s="863">
        <f>IFERROR(IF('📈 Cổ Phiếu VN 🔍'!$A$198="","",(IF('📈 Cổ Phiếu VN 🔍'!$G$198&gt;0,1,0)+IF('📈 Cổ Phiếu VN 🔍'!$G$198&gt;5,1,0)+IF('📈 Cổ Phiếu VN 🔍'!$G$198&gt;10,1,0)+IF('📈 Cổ Phiếu VN 🔍'!$G$198&gt;15,1,0)+IF('📈 Cổ Phiếu VN 🔍'!$T$198&lt;3,1,0)+IF('📈 Cổ Phiếu VN 🔍'!$T$198&lt;5,1,0)+IF('📈 Cổ Phiếu VN 🔍'!$J$198&gt;0,1,0)+IF('📈 Cổ Phiếu VN 🔍'!$E$198&lt;20,1,0)+IF('📈 Cổ Phiếu VN 🔍'!$E$198&gt;0,1,0))),"")</f>
        <v/>
      </c>
      <c r="L199" s="863">
        <f>IFERROR(IF(I199="","",IF(OR(I199&lt;1.8,J199&gt;-1.78,K199&lt;5),"🔴 CỜ ĐỎ",IF(OR(I199&lt;2.99,J199&gt;-2.22,K199&lt;7),"🟡 Theo dõi","🟢 Sạch"))),"")</f>
        <v/>
      </c>
      <c r="M199" s="863">
        <f>IFERROR(IF(L199="🟢 Sạch","✅ ĐỦ ĐIỀU KIỆN MUA",IF(L199="🟡 Theo dõi","⚠️ Cần xác minh BCTC","❌ LOẠI KHỎI BỘ LỌC")),"")</f>
        <v/>
      </c>
      <c r="N199" s="863">
        <f>IFERROR(IF(M199="✅ ĐỦ ĐIỀU KIỆN MUA",ROUND((I199/3+K199/9-J199/5)*10,1),0),"")</f>
        <v/>
      </c>
    </row>
    <row r="200" ht="15" customHeight="1" s="981">
      <c r="A200" s="861" t="n">
        <v>195</v>
      </c>
      <c r="B200" s="862">
        <f>IFERROR(IF('📈 Cổ Phiếu VN 🔍'!$A$199="","",'📈 Cổ Phiếu VN 🔍'!$A$199),"")</f>
        <v/>
      </c>
      <c r="C200" s="862">
        <f>IFERROR('📈 Cổ Phiếu VN 🔍'!$B$199,"")</f>
        <v/>
      </c>
      <c r="D200" s="862">
        <f>IFERROR('📈 Cổ Phiếu VN 🔍'!$C$199,"")</f>
        <v/>
      </c>
      <c r="E200" s="862">
        <f>IFERROR('📈 Cổ Phiếu VN 🔍'!$E$199,0)</f>
        <v/>
      </c>
      <c r="F200" s="862">
        <f>IFERROR('📈 Cổ Phiếu VN 🔍'!$F$199,0)</f>
        <v/>
      </c>
      <c r="G200" s="862">
        <f>IFERROR('📈 Cổ Phiếu VN 🔍'!$G$199,0)</f>
        <v/>
      </c>
      <c r="H200" s="862">
        <f>IFERROR('📈 Cổ Phiếu VN 🔍'!$T$199,0)</f>
        <v/>
      </c>
      <c r="I200" s="863">
        <f>IFERROR(IF('📈 Cổ Phiếu VN 🔍'!$A$199="","",ROUND(3.25+6.56*0.15+3.26*('📈 Cổ Phiếu VN 🔍'!$G$199/100*0.5)+6.72*('📈 Cổ Phiếu VN 🔍'!$G$199/100)+1.05*(1/('📈 Cổ Phiếu VN 🔍'!$T$199+0.5)),2)),"")</f>
        <v/>
      </c>
      <c r="J200" s="863">
        <f>IFERROR(IF('📈 Cổ Phiếu VN 🔍'!$A$199="","",ROUND(-4.84+0.92*(1+0.5*'📈 Cổ Phiếu VN 🔍'!$J$199/100)+0.528*1.02+0.404*1.01+0.892*(1+'📈 Cổ Phiếu VN 🔍'!$J$199/100)+0.115*1.02,2)),"")</f>
        <v/>
      </c>
      <c r="K200" s="863">
        <f>IFERROR(IF('📈 Cổ Phiếu VN 🔍'!$A$199="","",(IF('📈 Cổ Phiếu VN 🔍'!$G$199&gt;0,1,0)+IF('📈 Cổ Phiếu VN 🔍'!$G$199&gt;5,1,0)+IF('📈 Cổ Phiếu VN 🔍'!$G$199&gt;10,1,0)+IF('📈 Cổ Phiếu VN 🔍'!$G$199&gt;15,1,0)+IF('📈 Cổ Phiếu VN 🔍'!$T$199&lt;3,1,0)+IF('📈 Cổ Phiếu VN 🔍'!$T$199&lt;5,1,0)+IF('📈 Cổ Phiếu VN 🔍'!$J$199&gt;0,1,0)+IF('📈 Cổ Phiếu VN 🔍'!$E$199&lt;20,1,0)+IF('📈 Cổ Phiếu VN 🔍'!$E$199&gt;0,1,0))),"")</f>
        <v/>
      </c>
      <c r="L200" s="863">
        <f>IFERROR(IF(I200="","",IF(OR(I200&lt;1.8,J200&gt;-1.78,K200&lt;5),"🔴 CỜ ĐỎ",IF(OR(I200&lt;2.99,J200&gt;-2.22,K200&lt;7),"🟡 Theo dõi","🟢 Sạch"))),"")</f>
        <v/>
      </c>
      <c r="M200" s="863">
        <f>IFERROR(IF(L200="🟢 Sạch","✅ ĐỦ ĐIỀU KIỆN MUA",IF(L200="🟡 Theo dõi","⚠️ Cần xác minh BCTC","❌ LOẠI KHỎI BỘ LỌC")),"")</f>
        <v/>
      </c>
      <c r="N200" s="863">
        <f>IFERROR(IF(M200="✅ ĐỦ ĐIỀU KIỆN MUA",ROUND((I200/3+K200/9-J200/5)*10,1),0),"")</f>
        <v/>
      </c>
    </row>
    <row r="201" ht="15" customHeight="1" s="981">
      <c r="A201" s="861" t="n">
        <v>196</v>
      </c>
      <c r="B201" s="862">
        <f>IFERROR(IF('📈 Cổ Phiếu VN 🔍'!$A$200="","",'📈 Cổ Phiếu VN 🔍'!$A$200),"")</f>
        <v/>
      </c>
      <c r="C201" s="862">
        <f>IFERROR('📈 Cổ Phiếu VN 🔍'!$B$200,"")</f>
        <v/>
      </c>
      <c r="D201" s="862">
        <f>IFERROR('📈 Cổ Phiếu VN 🔍'!$C$200,"")</f>
        <v/>
      </c>
      <c r="E201" s="862">
        <f>IFERROR('📈 Cổ Phiếu VN 🔍'!$E$200,0)</f>
        <v/>
      </c>
      <c r="F201" s="862">
        <f>IFERROR('📈 Cổ Phiếu VN 🔍'!$F$200,0)</f>
        <v/>
      </c>
      <c r="G201" s="862">
        <f>IFERROR('📈 Cổ Phiếu VN 🔍'!$G$200,0)</f>
        <v/>
      </c>
      <c r="H201" s="862">
        <f>IFERROR('📈 Cổ Phiếu VN 🔍'!$T$200,0)</f>
        <v/>
      </c>
      <c r="I201" s="863">
        <f>IFERROR(IF('📈 Cổ Phiếu VN 🔍'!$A$200="","",ROUND(3.25+6.56*0.15+3.26*('📈 Cổ Phiếu VN 🔍'!$G$200/100*0.5)+6.72*('📈 Cổ Phiếu VN 🔍'!$G$200/100)+1.05*(1/('📈 Cổ Phiếu VN 🔍'!$T$200+0.5)),2)),"")</f>
        <v/>
      </c>
      <c r="J201" s="863">
        <f>IFERROR(IF('📈 Cổ Phiếu VN 🔍'!$A$200="","",ROUND(-4.84+0.92*(1+0.5*'📈 Cổ Phiếu VN 🔍'!$J$200/100)+0.528*1.02+0.404*1.01+0.892*(1+'📈 Cổ Phiếu VN 🔍'!$J$200/100)+0.115*1.02,2)),"")</f>
        <v/>
      </c>
      <c r="K201" s="863">
        <f>IFERROR(IF('📈 Cổ Phiếu VN 🔍'!$A$200="","",(IF('📈 Cổ Phiếu VN 🔍'!$G$200&gt;0,1,0)+IF('📈 Cổ Phiếu VN 🔍'!$G$200&gt;5,1,0)+IF('📈 Cổ Phiếu VN 🔍'!$G$200&gt;10,1,0)+IF('📈 Cổ Phiếu VN 🔍'!$G$200&gt;15,1,0)+IF('📈 Cổ Phiếu VN 🔍'!$T$200&lt;3,1,0)+IF('📈 Cổ Phiếu VN 🔍'!$T$200&lt;5,1,0)+IF('📈 Cổ Phiếu VN 🔍'!$J$200&gt;0,1,0)+IF('📈 Cổ Phiếu VN 🔍'!$E$200&lt;20,1,0)+IF('📈 Cổ Phiếu VN 🔍'!$E$200&gt;0,1,0))),"")</f>
        <v/>
      </c>
      <c r="L201" s="863">
        <f>IFERROR(IF(I201="","",IF(OR(I201&lt;1.8,J201&gt;-1.78,K201&lt;5),"🔴 CỜ ĐỎ",IF(OR(I201&lt;2.99,J201&gt;-2.22,K201&lt;7),"🟡 Theo dõi","🟢 Sạch"))),"")</f>
        <v/>
      </c>
      <c r="M201" s="863">
        <f>IFERROR(IF(L201="🟢 Sạch","✅ ĐỦ ĐIỀU KIỆN MUA",IF(L201="🟡 Theo dõi","⚠️ Cần xác minh BCTC","❌ LOẠI KHỎI BỘ LỌC")),"")</f>
        <v/>
      </c>
      <c r="N201" s="863">
        <f>IFERROR(IF(M201="✅ ĐỦ ĐIỀU KIỆN MUA",ROUND((I201/3+K201/9-J201/5)*10,1),0),"")</f>
        <v/>
      </c>
    </row>
    <row r="202" ht="15" customHeight="1" s="981">
      <c r="A202" s="861" t="n">
        <v>197</v>
      </c>
      <c r="B202" s="862">
        <f>IFERROR(IF('📈 Cổ Phiếu VN 🔍'!$A$201="","",'📈 Cổ Phiếu VN 🔍'!$A$201),"")</f>
        <v/>
      </c>
      <c r="C202" s="862">
        <f>IFERROR('📈 Cổ Phiếu VN 🔍'!$B$201,"")</f>
        <v/>
      </c>
      <c r="D202" s="862">
        <f>IFERROR('📈 Cổ Phiếu VN 🔍'!$C$201,"")</f>
        <v/>
      </c>
      <c r="E202" s="862">
        <f>IFERROR('📈 Cổ Phiếu VN 🔍'!$E$201,0)</f>
        <v/>
      </c>
      <c r="F202" s="862">
        <f>IFERROR('📈 Cổ Phiếu VN 🔍'!$F$201,0)</f>
        <v/>
      </c>
      <c r="G202" s="862">
        <f>IFERROR('📈 Cổ Phiếu VN 🔍'!$G$201,0)</f>
        <v/>
      </c>
      <c r="H202" s="862">
        <f>IFERROR('📈 Cổ Phiếu VN 🔍'!$T$201,0)</f>
        <v/>
      </c>
      <c r="I202" s="863">
        <f>IFERROR(IF('📈 Cổ Phiếu VN 🔍'!$A$201="","",ROUND(3.25+6.56*0.15+3.26*('📈 Cổ Phiếu VN 🔍'!$G$201/100*0.5)+6.72*('📈 Cổ Phiếu VN 🔍'!$G$201/100)+1.05*(1/('📈 Cổ Phiếu VN 🔍'!$T$201+0.5)),2)),"")</f>
        <v/>
      </c>
      <c r="J202" s="863">
        <f>IFERROR(IF('📈 Cổ Phiếu VN 🔍'!$A$201="","",ROUND(-4.84+0.92*(1+0.5*'📈 Cổ Phiếu VN 🔍'!$J$201/100)+0.528*1.02+0.404*1.01+0.892*(1+'📈 Cổ Phiếu VN 🔍'!$J$201/100)+0.115*1.02,2)),"")</f>
        <v/>
      </c>
      <c r="K202" s="863">
        <f>IFERROR(IF('📈 Cổ Phiếu VN 🔍'!$A$201="","",(IF('📈 Cổ Phiếu VN 🔍'!$G$201&gt;0,1,0)+IF('📈 Cổ Phiếu VN 🔍'!$G$201&gt;5,1,0)+IF('📈 Cổ Phiếu VN 🔍'!$G$201&gt;10,1,0)+IF('📈 Cổ Phiếu VN 🔍'!$G$201&gt;15,1,0)+IF('📈 Cổ Phiếu VN 🔍'!$T$201&lt;3,1,0)+IF('📈 Cổ Phiếu VN 🔍'!$T$201&lt;5,1,0)+IF('📈 Cổ Phiếu VN 🔍'!$J$201&gt;0,1,0)+IF('📈 Cổ Phiếu VN 🔍'!$E$201&lt;20,1,0)+IF('📈 Cổ Phiếu VN 🔍'!$E$201&gt;0,1,0))),"")</f>
        <v/>
      </c>
      <c r="L202" s="863">
        <f>IFERROR(IF(I202="","",IF(OR(I202&lt;1.8,J202&gt;-1.78,K202&lt;5),"🔴 CỜ ĐỎ",IF(OR(I202&lt;2.99,J202&gt;-2.22,K202&lt;7),"🟡 Theo dõi","🟢 Sạch"))),"")</f>
        <v/>
      </c>
      <c r="M202" s="863">
        <f>IFERROR(IF(L202="🟢 Sạch","✅ ĐỦ ĐIỀU KIỆN MUA",IF(L202="🟡 Theo dõi","⚠️ Cần xác minh BCTC","❌ LOẠI KHỎI BỘ LỌC")),"")</f>
        <v/>
      </c>
      <c r="N202" s="863">
        <f>IFERROR(IF(M202="✅ ĐỦ ĐIỀU KIỆN MUA",ROUND((I202/3+K202/9-J202/5)*10,1),0),"")</f>
        <v/>
      </c>
    </row>
    <row r="203" ht="15" customHeight="1" s="981">
      <c r="A203" s="861" t="n">
        <v>198</v>
      </c>
      <c r="B203" s="862">
        <f>IFERROR(IF('📈 Cổ Phiếu VN 🔍'!$A$202="","",'📈 Cổ Phiếu VN 🔍'!$A$202),"")</f>
        <v/>
      </c>
      <c r="C203" s="862">
        <f>IFERROR('📈 Cổ Phiếu VN 🔍'!$B$202,"")</f>
        <v/>
      </c>
      <c r="D203" s="862">
        <f>IFERROR('📈 Cổ Phiếu VN 🔍'!$C$202,"")</f>
        <v/>
      </c>
      <c r="E203" s="862">
        <f>IFERROR('📈 Cổ Phiếu VN 🔍'!$E$202,0)</f>
        <v/>
      </c>
      <c r="F203" s="862">
        <f>IFERROR('📈 Cổ Phiếu VN 🔍'!$F$202,0)</f>
        <v/>
      </c>
      <c r="G203" s="862">
        <f>IFERROR('📈 Cổ Phiếu VN 🔍'!$G$202,0)</f>
        <v/>
      </c>
      <c r="H203" s="862">
        <f>IFERROR('📈 Cổ Phiếu VN 🔍'!$T$202,0)</f>
        <v/>
      </c>
      <c r="I203" s="863">
        <f>IFERROR(IF('📈 Cổ Phiếu VN 🔍'!$A$202="","",ROUND(3.25+6.56*0.15+3.26*('📈 Cổ Phiếu VN 🔍'!$G$202/100*0.5)+6.72*('📈 Cổ Phiếu VN 🔍'!$G$202/100)+1.05*(1/('📈 Cổ Phiếu VN 🔍'!$T$202+0.5)),2)),"")</f>
        <v/>
      </c>
      <c r="J203" s="863">
        <f>IFERROR(IF('📈 Cổ Phiếu VN 🔍'!$A$202="","",ROUND(-4.84+0.92*(1+0.5*'📈 Cổ Phiếu VN 🔍'!$J$202/100)+0.528*1.02+0.404*1.01+0.892*(1+'📈 Cổ Phiếu VN 🔍'!$J$202/100)+0.115*1.02,2)),"")</f>
        <v/>
      </c>
      <c r="K203" s="863">
        <f>IFERROR(IF('📈 Cổ Phiếu VN 🔍'!$A$202="","",(IF('📈 Cổ Phiếu VN 🔍'!$G$202&gt;0,1,0)+IF('📈 Cổ Phiếu VN 🔍'!$G$202&gt;5,1,0)+IF('📈 Cổ Phiếu VN 🔍'!$G$202&gt;10,1,0)+IF('📈 Cổ Phiếu VN 🔍'!$G$202&gt;15,1,0)+IF('📈 Cổ Phiếu VN 🔍'!$T$202&lt;3,1,0)+IF('📈 Cổ Phiếu VN 🔍'!$T$202&lt;5,1,0)+IF('📈 Cổ Phiếu VN 🔍'!$J$202&gt;0,1,0)+IF('📈 Cổ Phiếu VN 🔍'!$E$202&lt;20,1,0)+IF('📈 Cổ Phiếu VN 🔍'!$E$202&gt;0,1,0))),"")</f>
        <v/>
      </c>
      <c r="L203" s="863">
        <f>IFERROR(IF(I203="","",IF(OR(I203&lt;1.8,J203&gt;-1.78,K203&lt;5),"🔴 CỜ ĐỎ",IF(OR(I203&lt;2.99,J203&gt;-2.22,K203&lt;7),"🟡 Theo dõi","🟢 Sạch"))),"")</f>
        <v/>
      </c>
      <c r="M203" s="863">
        <f>IFERROR(IF(L203="🟢 Sạch","✅ ĐỦ ĐIỀU KIỆN MUA",IF(L203="🟡 Theo dõi","⚠️ Cần xác minh BCTC","❌ LOẠI KHỎI BỘ LỌC")),"")</f>
        <v/>
      </c>
      <c r="N203" s="863">
        <f>IFERROR(IF(M203="✅ ĐỦ ĐIỀU KIỆN MUA",ROUND((I203/3+K203/9-J203/5)*10,1),0),"")</f>
        <v/>
      </c>
    </row>
    <row r="204">
      <c r="A204" t="n">
        <v>199</v>
      </c>
      <c r="B204" t="inlineStr">
        <is>
          <t>VCB</t>
        </is>
      </c>
      <c r="C204" t="inlineStr">
        <is>
          <t>Vietcombank</t>
        </is>
      </c>
      <c r="D204" t="inlineStr">
        <is>
          <t>Ngân hàng</t>
        </is>
      </c>
      <c r="E204" t="n">
        <v>62800</v>
      </c>
      <c r="F204" t="n">
        <v>3850</v>
      </c>
      <c r="G204" t="n">
        <v>20.4</v>
      </c>
    </row>
    <row r="205">
      <c r="A205" t="n">
        <v>200</v>
      </c>
      <c r="B205" t="inlineStr">
        <is>
          <t>BID</t>
        </is>
      </c>
      <c r="C205" t="inlineStr">
        <is>
          <t>BIDV</t>
        </is>
      </c>
      <c r="D205" t="inlineStr">
        <is>
          <t>Ngân hàng</t>
        </is>
      </c>
      <c r="E205" t="n">
        <v>42500</v>
      </c>
      <c r="F205" t="n">
        <v>4220</v>
      </c>
      <c r="G205" t="n">
        <v>19.1</v>
      </c>
    </row>
    <row r="206">
      <c r="A206" t="n">
        <v>201</v>
      </c>
      <c r="B206" t="inlineStr">
        <is>
          <t>CTG</t>
        </is>
      </c>
      <c r="C206" t="inlineStr">
        <is>
          <t>VietinBank</t>
        </is>
      </c>
      <c r="D206" t="inlineStr">
        <is>
          <t>Ngân hàng</t>
        </is>
      </c>
      <c r="E206" t="n">
        <v>34850</v>
      </c>
      <c r="F206" t="n">
        <v>3680</v>
      </c>
      <c r="G206" t="n">
        <v>16.8</v>
      </c>
    </row>
    <row r="207">
      <c r="A207" t="n">
        <v>202</v>
      </c>
      <c r="B207" t="inlineStr">
        <is>
          <t>MBB</t>
        </is>
      </c>
      <c r="C207" t="inlineStr">
        <is>
          <t>MB Bank</t>
        </is>
      </c>
      <c r="D207" t="inlineStr">
        <is>
          <t>Ngân hàng</t>
        </is>
      </c>
      <c r="E207" t="n">
        <v>25000</v>
      </c>
      <c r="F207" t="n">
        <v>3790</v>
      </c>
      <c r="G207" t="n">
        <v>21.8</v>
      </c>
    </row>
    <row r="208">
      <c r="A208" t="n">
        <v>203</v>
      </c>
      <c r="B208" t="inlineStr">
        <is>
          <t>TCB</t>
        </is>
      </c>
      <c r="C208" t="inlineStr">
        <is>
          <t>Techcombank</t>
        </is>
      </c>
      <c r="D208" t="inlineStr">
        <is>
          <t>Ngân hàng</t>
        </is>
      </c>
      <c r="E208" t="n">
        <v>32600</v>
      </c>
      <c r="F208" t="n">
        <v>4150</v>
      </c>
      <c r="G208" t="n">
        <v>16.3</v>
      </c>
    </row>
    <row r="209">
      <c r="A209" t="n">
        <v>204</v>
      </c>
      <c r="B209" t="inlineStr">
        <is>
          <t>ACB</t>
        </is>
      </c>
      <c r="C209" t="inlineStr">
        <is>
          <t>ACB Bank</t>
        </is>
      </c>
      <c r="D209" t="inlineStr">
        <is>
          <t>Ngân hàng</t>
        </is>
      </c>
      <c r="E209" t="n">
        <v>24650</v>
      </c>
      <c r="F209" t="n">
        <v>3360</v>
      </c>
      <c r="G209" t="n">
        <v>23.4</v>
      </c>
    </row>
    <row r="210">
      <c r="A210" t="n">
        <v>205</v>
      </c>
      <c r="B210" t="inlineStr">
        <is>
          <t>VPB</t>
        </is>
      </c>
      <c r="C210" t="inlineStr">
        <is>
          <t>VPBank</t>
        </is>
      </c>
      <c r="D210" t="inlineStr">
        <is>
          <t>Ngân hàng</t>
        </is>
      </c>
      <c r="E210" t="n">
        <v>27300</v>
      </c>
      <c r="F210" t="n">
        <v>2180</v>
      </c>
      <c r="G210" t="n">
        <v>14.7</v>
      </c>
    </row>
    <row r="211">
      <c r="A211" t="n">
        <v>206</v>
      </c>
      <c r="B211" t="inlineStr">
        <is>
          <t>HDB</t>
        </is>
      </c>
      <c r="C211" t="inlineStr">
        <is>
          <t>HDBank</t>
        </is>
      </c>
      <c r="D211" t="inlineStr">
        <is>
          <t>Ngân hàng</t>
        </is>
      </c>
      <c r="E211" t="n">
        <v>25850</v>
      </c>
      <c r="F211" t="n">
        <v>3520</v>
      </c>
      <c r="G211" t="n">
        <v>22.1</v>
      </c>
    </row>
    <row r="212">
      <c r="A212" t="n">
        <v>207</v>
      </c>
      <c r="B212" t="inlineStr">
        <is>
          <t>STB</t>
        </is>
      </c>
      <c r="C212" t="inlineStr">
        <is>
          <t>Sacombank</t>
        </is>
      </c>
      <c r="D212" t="inlineStr">
        <is>
          <t>Ngân hàng</t>
        </is>
      </c>
      <c r="E212" t="n">
        <v>68000</v>
      </c>
      <c r="F212" t="n">
        <v>3290</v>
      </c>
      <c r="G212" t="n">
        <v>16.2</v>
      </c>
    </row>
    <row r="213">
      <c r="A213" t="n">
        <v>208</v>
      </c>
      <c r="B213" t="inlineStr">
        <is>
          <t>VIB</t>
        </is>
      </c>
      <c r="C213" t="inlineStr">
        <is>
          <t>VIB Bank</t>
        </is>
      </c>
      <c r="D213" t="inlineStr">
        <is>
          <t>Ngân hàng</t>
        </is>
      </c>
      <c r="E213" t="n">
        <v>16300</v>
      </c>
      <c r="F213" t="n">
        <v>3140</v>
      </c>
      <c r="G213" t="n">
        <v>21.8</v>
      </c>
    </row>
    <row r="214">
      <c r="A214" t="n">
        <v>209</v>
      </c>
      <c r="B214" t="inlineStr">
        <is>
          <t>TPB</t>
        </is>
      </c>
      <c r="C214" t="inlineStr">
        <is>
          <t>TPBank</t>
        </is>
      </c>
      <c r="D214" t="inlineStr">
        <is>
          <t>Ngân hàng</t>
        </is>
      </c>
      <c r="E214" t="n">
        <v>15900</v>
      </c>
      <c r="F214" t="n">
        <v>2480</v>
      </c>
      <c r="G214" t="n">
        <v>16.7</v>
      </c>
    </row>
    <row r="215">
      <c r="A215" t="n">
        <v>210</v>
      </c>
      <c r="B215" t="inlineStr">
        <is>
          <t>SHB</t>
        </is>
      </c>
      <c r="C215" t="inlineStr">
        <is>
          <t>SHB</t>
        </is>
      </c>
      <c r="D215" t="inlineStr">
        <is>
          <t>Ngân hàng</t>
        </is>
      </c>
      <c r="E215" t="n">
        <v>13800</v>
      </c>
      <c r="F215" t="n">
        <v>2120</v>
      </c>
      <c r="G215" t="n">
        <v>17.4</v>
      </c>
    </row>
    <row r="216">
      <c r="A216" t="n">
        <v>211</v>
      </c>
      <c r="B216" t="inlineStr">
        <is>
          <t>EIB</t>
        </is>
      </c>
      <c r="C216" t="inlineStr">
        <is>
          <t>Eximbank</t>
        </is>
      </c>
      <c r="D216" t="inlineStr">
        <is>
          <t>Ngân hàng</t>
        </is>
      </c>
      <c r="E216" t="n">
        <v>21350</v>
      </c>
      <c r="F216" t="n">
        <v>1640</v>
      </c>
      <c r="G216" t="n">
        <v>9.800000000000001</v>
      </c>
    </row>
    <row r="217">
      <c r="A217" t="n">
        <v>212</v>
      </c>
      <c r="B217" t="inlineStr">
        <is>
          <t>MSB</t>
        </is>
      </c>
      <c r="C217" t="inlineStr">
        <is>
          <t>MSB Bank</t>
        </is>
      </c>
      <c r="D217" t="inlineStr">
        <is>
          <t>Ngân hàng</t>
        </is>
      </c>
      <c r="E217" t="n">
        <v>15100</v>
      </c>
      <c r="F217" t="n">
        <v>2310</v>
      </c>
      <c r="G217" t="n">
        <v>14.2</v>
      </c>
    </row>
    <row r="218">
      <c r="A218" t="n">
        <v>213</v>
      </c>
      <c r="B218" t="inlineStr">
        <is>
          <t>OCB</t>
        </is>
      </c>
      <c r="C218" t="inlineStr">
        <is>
          <t>OCB Bank</t>
        </is>
      </c>
      <c r="D218" t="inlineStr">
        <is>
          <t>Ngân hàng</t>
        </is>
      </c>
      <c r="E218" t="n">
        <v>11750</v>
      </c>
      <c r="F218" t="n">
        <v>1860</v>
      </c>
      <c r="G218" t="n">
        <v>12.8</v>
      </c>
    </row>
    <row r="219">
      <c r="A219" t="n">
        <v>214</v>
      </c>
      <c r="B219" t="inlineStr">
        <is>
          <t>LPB</t>
        </is>
      </c>
      <c r="C219" t="inlineStr">
        <is>
          <t>LienVietPostBank</t>
        </is>
      </c>
      <c r="D219" t="inlineStr">
        <is>
          <t>Ngân hàng</t>
        </is>
      </c>
      <c r="E219" t="n">
        <v>53000</v>
      </c>
      <c r="F219" t="n">
        <v>3120</v>
      </c>
      <c r="G219" t="n">
        <v>21.3</v>
      </c>
    </row>
    <row r="220">
      <c r="A220" t="n">
        <v>215</v>
      </c>
      <c r="B220" t="inlineStr">
        <is>
          <t>VIC</t>
        </is>
      </c>
      <c r="C220" t="inlineStr">
        <is>
          <t>Vingroup</t>
        </is>
      </c>
      <c r="D220" t="inlineStr">
        <is>
          <t>Bất động sản</t>
        </is>
      </c>
      <c r="E220" t="n">
        <v>210800</v>
      </c>
      <c r="F220" t="n">
        <v>1480</v>
      </c>
      <c r="G220" t="n">
        <v>4.2</v>
      </c>
    </row>
    <row r="221">
      <c r="A221" t="n">
        <v>216</v>
      </c>
      <c r="B221" t="inlineStr">
        <is>
          <t>VHM</t>
        </is>
      </c>
      <c r="C221" t="inlineStr">
        <is>
          <t>Vinhomes</t>
        </is>
      </c>
      <c r="D221" t="inlineStr">
        <is>
          <t>Bất động sản</t>
        </is>
      </c>
      <c r="E221" t="n">
        <v>157700</v>
      </c>
      <c r="F221" t="n">
        <v>3220</v>
      </c>
      <c r="G221" t="n">
        <v>7.8</v>
      </c>
    </row>
    <row r="222">
      <c r="A222" t="n">
        <v>217</v>
      </c>
      <c r="B222" t="inlineStr">
        <is>
          <t>VRE</t>
        </is>
      </c>
      <c r="C222" t="inlineStr">
        <is>
          <t>Vincom Retail</t>
        </is>
      </c>
      <c r="D222" t="inlineStr">
        <is>
          <t>Bất động sản</t>
        </is>
      </c>
      <c r="E222" t="n">
        <v>32250</v>
      </c>
      <c r="F222" t="n">
        <v>1740</v>
      </c>
      <c r="G222" t="n">
        <v>8.5</v>
      </c>
    </row>
    <row r="223">
      <c r="A223" t="n">
        <v>218</v>
      </c>
      <c r="B223" t="inlineStr">
        <is>
          <t>NVL</t>
        </is>
      </c>
      <c r="C223" t="inlineStr">
        <is>
          <t>Novaland</t>
        </is>
      </c>
      <c r="D223" t="inlineStr">
        <is>
          <t>Bất động sản</t>
        </is>
      </c>
      <c r="E223" t="n">
        <v>15050</v>
      </c>
    </row>
    <row r="224">
      <c r="A224" t="n">
        <v>219</v>
      </c>
      <c r="B224" t="inlineStr">
        <is>
          <t>PDR</t>
        </is>
      </c>
      <c r="C224" t="inlineStr">
        <is>
          <t>Phát Đạt</t>
        </is>
      </c>
      <c r="D224" t="inlineStr">
        <is>
          <t>Bất động sản</t>
        </is>
      </c>
      <c r="E224" t="n">
        <v>16500</v>
      </c>
      <c r="F224" t="n">
        <v>860</v>
      </c>
      <c r="G224" t="n">
        <v>6.7</v>
      </c>
    </row>
    <row r="225">
      <c r="A225" t="n">
        <v>220</v>
      </c>
      <c r="B225" t="inlineStr">
        <is>
          <t>DXG</t>
        </is>
      </c>
      <c r="C225" t="inlineStr">
        <is>
          <t>Đất Xanh</t>
        </is>
      </c>
      <c r="D225" t="inlineStr">
        <is>
          <t>Bất động sản</t>
        </is>
      </c>
      <c r="E225" t="n">
        <v>13350</v>
      </c>
      <c r="F225" t="n">
        <v>840</v>
      </c>
      <c r="G225" t="n">
        <v>4.5</v>
      </c>
    </row>
    <row r="226">
      <c r="A226" t="n">
        <v>221</v>
      </c>
      <c r="B226" t="inlineStr">
        <is>
          <t>KDH</t>
        </is>
      </c>
      <c r="C226" t="inlineStr">
        <is>
          <t>Khang Điền</t>
        </is>
      </c>
      <c r="D226" t="inlineStr">
        <is>
          <t>Bất động sản</t>
        </is>
      </c>
      <c r="E226" t="n">
        <v>23000</v>
      </c>
      <c r="F226" t="n">
        <v>2480</v>
      </c>
      <c r="G226" t="n">
        <v>8.699999999999999</v>
      </c>
    </row>
    <row r="227">
      <c r="A227" t="n">
        <v>222</v>
      </c>
      <c r="B227" t="inlineStr">
        <is>
          <t>NLG</t>
        </is>
      </c>
      <c r="C227" t="inlineStr">
        <is>
          <t>Nam Long</t>
        </is>
      </c>
      <c r="D227" t="inlineStr">
        <is>
          <t>Bất động sản</t>
        </is>
      </c>
      <c r="E227" t="n">
        <v>26550</v>
      </c>
      <c r="F227" t="n">
        <v>2120</v>
      </c>
      <c r="G227" t="n">
        <v>6.2</v>
      </c>
    </row>
    <row r="228">
      <c r="A228" t="n">
        <v>223</v>
      </c>
      <c r="B228" t="inlineStr">
        <is>
          <t>HDG</t>
        </is>
      </c>
      <c r="C228" t="inlineStr">
        <is>
          <t>Hà Đô</t>
        </is>
      </c>
      <c r="D228" t="inlineStr">
        <is>
          <t>Bất động sản</t>
        </is>
      </c>
      <c r="E228" t="n">
        <v>23800</v>
      </c>
      <c r="F228" t="n">
        <v>3680</v>
      </c>
      <c r="G228" t="n">
        <v>11.5</v>
      </c>
    </row>
    <row r="229">
      <c r="A229" t="n">
        <v>224</v>
      </c>
      <c r="B229" t="inlineStr">
        <is>
          <t>IJC</t>
        </is>
      </c>
      <c r="C229" t="inlineStr">
        <is>
          <t>Becamex IJC</t>
        </is>
      </c>
      <c r="D229" t="inlineStr">
        <is>
          <t>Bất động sản</t>
        </is>
      </c>
      <c r="E229" t="n">
        <v>9680</v>
      </c>
      <c r="F229" t="n">
        <v>1480</v>
      </c>
      <c r="G229" t="n">
        <v>8.199999999999999</v>
      </c>
    </row>
    <row r="230">
      <c r="A230" t="n">
        <v>225</v>
      </c>
      <c r="B230" t="inlineStr">
        <is>
          <t>MWG</t>
        </is>
      </c>
      <c r="C230" t="inlineStr">
        <is>
          <t>Mobile World</t>
        </is>
      </c>
      <c r="D230" t="inlineStr">
        <is>
          <t>Bán lẻ</t>
        </is>
      </c>
      <c r="E230" t="n">
        <v>77700</v>
      </c>
      <c r="F230" t="n">
        <v>3640</v>
      </c>
      <c r="G230" t="n">
        <v>18.5</v>
      </c>
    </row>
    <row r="231">
      <c r="A231" t="n">
        <v>226</v>
      </c>
      <c r="B231" t="inlineStr">
        <is>
          <t>VNM</t>
        </is>
      </c>
      <c r="C231" t="inlineStr">
        <is>
          <t>Vinamilk</t>
        </is>
      </c>
      <c r="D231" t="inlineStr">
        <is>
          <t>Tiêu dùng</t>
        </is>
      </c>
      <c r="E231" t="n">
        <v>59000</v>
      </c>
      <c r="F231" t="n">
        <v>4250</v>
      </c>
      <c r="G231" t="n">
        <v>23.5</v>
      </c>
    </row>
    <row r="232">
      <c r="A232" t="n">
        <v>227</v>
      </c>
      <c r="B232" t="inlineStr">
        <is>
          <t>MSN</t>
        </is>
      </c>
      <c r="C232" t="inlineStr">
        <is>
          <t>Masan Group</t>
        </is>
      </c>
      <c r="D232" t="inlineStr">
        <is>
          <t>Tiêu dùng</t>
        </is>
      </c>
      <c r="E232" t="n">
        <v>75500</v>
      </c>
      <c r="F232" t="n">
        <v>2120</v>
      </c>
      <c r="G232" t="n">
        <v>6.2</v>
      </c>
    </row>
    <row r="233">
      <c r="A233" t="n">
        <v>228</v>
      </c>
      <c r="B233" t="inlineStr">
        <is>
          <t>SAB</t>
        </is>
      </c>
      <c r="C233" t="inlineStr">
        <is>
          <t>Sabeco</t>
        </is>
      </c>
      <c r="D233" t="inlineStr">
        <is>
          <t>Tiêu dùng</t>
        </is>
      </c>
      <c r="E233" t="n">
        <v>47200</v>
      </c>
      <c r="F233" t="n">
        <v>2680</v>
      </c>
      <c r="G233" t="n">
        <v>16.5</v>
      </c>
    </row>
    <row r="234">
      <c r="A234" t="n">
        <v>229</v>
      </c>
      <c r="B234" t="inlineStr">
        <is>
          <t>PNJ</t>
        </is>
      </c>
      <c r="C234" t="inlineStr">
        <is>
          <t>PNJ</t>
        </is>
      </c>
      <c r="D234" t="inlineStr">
        <is>
          <t>Bán lẻ</t>
        </is>
      </c>
      <c r="E234" t="n">
        <v>65900</v>
      </c>
      <c r="F234" t="n">
        <v>5840</v>
      </c>
      <c r="G234" t="n">
        <v>21.5</v>
      </c>
    </row>
    <row r="235">
      <c r="A235" t="n">
        <v>230</v>
      </c>
      <c r="B235" t="inlineStr">
        <is>
          <t>DGW</t>
        </is>
      </c>
      <c r="C235" t="inlineStr">
        <is>
          <t>Digiworld</t>
        </is>
      </c>
      <c r="D235" t="inlineStr">
        <is>
          <t>Phân phối CN</t>
        </is>
      </c>
      <c r="E235" t="n">
        <v>41600</v>
      </c>
      <c r="F235" t="n">
        <v>3240</v>
      </c>
      <c r="G235" t="n">
        <v>15.2</v>
      </c>
    </row>
    <row r="236">
      <c r="A236" t="n">
        <v>231</v>
      </c>
      <c r="B236" t="inlineStr">
        <is>
          <t>FRT</t>
        </is>
      </c>
      <c r="C236" t="inlineStr">
        <is>
          <t>FPT Retail</t>
        </is>
      </c>
      <c r="D236" t="inlineStr">
        <is>
          <t>Bán lẻ</t>
        </is>
      </c>
      <c r="E236" t="n">
        <v>131000</v>
      </c>
      <c r="F236" t="n">
        <v>2680</v>
      </c>
      <c r="G236" t="n">
        <v>13.5</v>
      </c>
    </row>
    <row r="237">
      <c r="A237" t="n">
        <v>232</v>
      </c>
      <c r="B237" t="inlineStr">
        <is>
          <t>VHC</t>
        </is>
      </c>
      <c r="C237" t="inlineStr">
        <is>
          <t>Vĩnh Hoàn</t>
        </is>
      </c>
      <c r="D237" t="inlineStr">
        <is>
          <t>Thực phẩm</t>
        </is>
      </c>
      <c r="E237" t="n">
        <v>58800</v>
      </c>
      <c r="F237" t="n">
        <v>4840</v>
      </c>
      <c r="G237" t="n">
        <v>14.7</v>
      </c>
    </row>
    <row r="238">
      <c r="A238" t="n">
        <v>233</v>
      </c>
      <c r="B238" t="inlineStr">
        <is>
          <t>ANV</t>
        </is>
      </c>
      <c r="C238" t="inlineStr">
        <is>
          <t>Nam Việt</t>
        </is>
      </c>
      <c r="D238" t="inlineStr">
        <is>
          <t>Thực phẩm</t>
        </is>
      </c>
      <c r="E238" t="n">
        <v>22050</v>
      </c>
      <c r="F238" t="n">
        <v>2480</v>
      </c>
      <c r="G238" t="n">
        <v>9.199999999999999</v>
      </c>
    </row>
    <row r="239">
      <c r="A239" t="n">
        <v>234</v>
      </c>
      <c r="B239" t="inlineStr">
        <is>
          <t>MML</t>
        </is>
      </c>
      <c r="C239" t="inlineStr">
        <is>
          <t>Masan MeatLife</t>
        </is>
      </c>
      <c r="D239" t="inlineStr">
        <is>
          <t>Thực phẩm</t>
        </is>
      </c>
      <c r="E239" t="n">
        <v>30800</v>
      </c>
      <c r="F239" t="n">
        <v>2480</v>
      </c>
      <c r="G239" t="n">
        <v>11.5</v>
      </c>
    </row>
    <row r="240">
      <c r="A240" t="n">
        <v>235</v>
      </c>
      <c r="B240" t="inlineStr">
        <is>
          <t>KDC</t>
        </is>
      </c>
      <c r="C240" t="inlineStr">
        <is>
          <t>Kido</t>
        </is>
      </c>
      <c r="D240" t="inlineStr">
        <is>
          <t>Thực phẩm</t>
        </is>
      </c>
      <c r="E240" t="n">
        <v>50400</v>
      </c>
      <c r="F240" t="n">
        <v>1240</v>
      </c>
      <c r="G240" t="n">
        <v>6.8</v>
      </c>
    </row>
    <row r="241">
      <c r="A241" t="n">
        <v>236</v>
      </c>
      <c r="B241" t="inlineStr">
        <is>
          <t>FPT</t>
        </is>
      </c>
      <c r="C241" t="inlineStr">
        <is>
          <t>FPT Corp</t>
        </is>
      </c>
      <c r="D241" t="inlineStr">
        <is>
          <t>Công nghệ</t>
        </is>
      </c>
      <c r="E241" t="n">
        <v>71200</v>
      </c>
      <c r="F241" t="n">
        <v>3120</v>
      </c>
      <c r="G241" t="n">
        <v>27.8</v>
      </c>
    </row>
    <row r="242">
      <c r="A242" t="n">
        <v>237</v>
      </c>
      <c r="B242" t="inlineStr">
        <is>
          <t>FOX</t>
        </is>
      </c>
      <c r="C242" t="inlineStr">
        <is>
          <t>FPT Online</t>
        </is>
      </c>
      <c r="D242" t="inlineStr">
        <is>
          <t>Internet</t>
        </is>
      </c>
      <c r="E242" t="n">
        <v>80200</v>
      </c>
      <c r="F242" t="n">
        <v>1240</v>
      </c>
      <c r="G242" t="n">
        <v>13.5</v>
      </c>
    </row>
    <row r="243">
      <c r="A243" t="n">
        <v>238</v>
      </c>
      <c r="B243" t="inlineStr">
        <is>
          <t>CMG</t>
        </is>
      </c>
      <c r="C243" t="inlineStr">
        <is>
          <t>CMC Corp</t>
        </is>
      </c>
      <c r="D243" t="inlineStr">
        <is>
          <t>Công nghệ</t>
        </is>
      </c>
      <c r="E243" t="n">
        <v>27600</v>
      </c>
      <c r="F243" t="n">
        <v>3240</v>
      </c>
      <c r="G243" t="n">
        <v>17.5</v>
      </c>
    </row>
    <row r="244">
      <c r="A244" t="n">
        <v>239</v>
      </c>
      <c r="B244" t="inlineStr">
        <is>
          <t>ELC</t>
        </is>
      </c>
      <c r="C244" t="inlineStr">
        <is>
          <t>Elcom</t>
        </is>
      </c>
      <c r="D244" t="inlineStr">
        <is>
          <t>CN viễn thông</t>
        </is>
      </c>
      <c r="E244" t="n">
        <v>15950</v>
      </c>
      <c r="F244" t="n">
        <v>1840</v>
      </c>
      <c r="G244" t="n">
        <v>13.5</v>
      </c>
    </row>
    <row r="245">
      <c r="A245" t="n">
        <v>240</v>
      </c>
      <c r="B245" t="inlineStr">
        <is>
          <t>ICT</t>
        </is>
      </c>
      <c r="C245" t="inlineStr">
        <is>
          <t>Viettel Pay</t>
        </is>
      </c>
      <c r="D245" t="inlineStr">
        <is>
          <t>CN viễn thông</t>
        </is>
      </c>
      <c r="E245" t="n">
        <v>17300</v>
      </c>
      <c r="F245" t="n">
        <v>2480</v>
      </c>
      <c r="G245" t="n">
        <v>12.5</v>
      </c>
    </row>
    <row r="246">
      <c r="A246" t="n">
        <v>241</v>
      </c>
      <c r="B246" t="inlineStr">
        <is>
          <t>CTR</t>
        </is>
      </c>
      <c r="C246" t="inlineStr">
        <is>
          <t>Viettel Construction</t>
        </is>
      </c>
      <c r="D246" t="inlineStr">
        <is>
          <t>Hạ tầng</t>
        </is>
      </c>
      <c r="E246" t="n">
        <v>90000</v>
      </c>
      <c r="F246" t="n">
        <v>4840</v>
      </c>
      <c r="G246" t="n">
        <v>18.5</v>
      </c>
    </row>
    <row r="247">
      <c r="A247" t="n">
        <v>242</v>
      </c>
      <c r="B247" t="inlineStr">
        <is>
          <t>HBC</t>
        </is>
      </c>
      <c r="C247" t="inlineStr">
        <is>
          <t>Hòa Bình Group</t>
        </is>
      </c>
      <c r="D247" t="inlineStr">
        <is>
          <t>Xây dựng</t>
        </is>
      </c>
      <c r="E247" t="n">
        <v>5000</v>
      </c>
    </row>
    <row r="248">
      <c r="A248" t="n">
        <v>243</v>
      </c>
      <c r="B248" t="inlineStr">
        <is>
          <t>CTD</t>
        </is>
      </c>
      <c r="C248" t="inlineStr">
        <is>
          <t>Coteccons</t>
        </is>
      </c>
      <c r="D248" t="inlineStr">
        <is>
          <t>Xây dựng</t>
        </is>
      </c>
      <c r="E248" t="n">
        <v>72200</v>
      </c>
      <c r="F248" t="n">
        <v>3850</v>
      </c>
      <c r="G248" t="n">
        <v>6.2</v>
      </c>
    </row>
    <row r="249">
      <c r="A249" t="n">
        <v>244</v>
      </c>
      <c r="B249" t="inlineStr">
        <is>
          <t>VCG</t>
        </is>
      </c>
      <c r="C249" t="inlineStr">
        <is>
          <t>Vinaconex</t>
        </is>
      </c>
      <c r="D249" t="inlineStr">
        <is>
          <t>Xây dựng</t>
        </is>
      </c>
      <c r="E249" t="n">
        <v>20600</v>
      </c>
      <c r="F249" t="n">
        <v>2240</v>
      </c>
      <c r="G249" t="n">
        <v>9.800000000000001</v>
      </c>
    </row>
    <row r="250">
      <c r="A250" t="n">
        <v>245</v>
      </c>
      <c r="B250" t="inlineStr">
        <is>
          <t>HHV</t>
        </is>
      </c>
      <c r="C250" t="inlineStr">
        <is>
          <t>Đèo Cả</t>
        </is>
      </c>
      <c r="D250" t="inlineStr">
        <is>
          <t>Hạ tầng</t>
        </is>
      </c>
      <c r="E250" t="n">
        <v>11800</v>
      </c>
      <c r="F250" t="n">
        <v>1340</v>
      </c>
      <c r="G250" t="n">
        <v>8.5</v>
      </c>
    </row>
    <row r="251">
      <c r="A251" t="n">
        <v>246</v>
      </c>
      <c r="B251" t="inlineStr">
        <is>
          <t>LCG</t>
        </is>
      </c>
      <c r="C251" t="inlineStr">
        <is>
          <t>Licogi 16</t>
        </is>
      </c>
      <c r="D251" t="inlineStr">
        <is>
          <t>Xây dựng</t>
        </is>
      </c>
      <c r="E251" t="n">
        <v>9180</v>
      </c>
      <c r="F251" t="n">
        <v>840</v>
      </c>
      <c r="G251" t="n">
        <v>6.5</v>
      </c>
    </row>
    <row r="252">
      <c r="A252" t="n">
        <v>247</v>
      </c>
      <c r="B252" t="inlineStr">
        <is>
          <t>PC1</t>
        </is>
      </c>
      <c r="C252" t="inlineStr">
        <is>
          <t>PC1 Group</t>
        </is>
      </c>
      <c r="D252" t="inlineStr">
        <is>
          <t>Xây dựng</t>
        </is>
      </c>
      <c r="E252" t="n">
        <v>19050</v>
      </c>
      <c r="F252" t="n">
        <v>2840</v>
      </c>
      <c r="G252" t="n">
        <v>11.5</v>
      </c>
    </row>
    <row r="253">
      <c r="A253" t="n">
        <v>248</v>
      </c>
      <c r="B253" t="inlineStr">
        <is>
          <t>REE</t>
        </is>
      </c>
      <c r="C253" t="inlineStr">
        <is>
          <t>REE Corp</t>
        </is>
      </c>
      <c r="D253" t="inlineStr">
        <is>
          <t>Cơ điện</t>
        </is>
      </c>
      <c r="E253" t="n">
        <v>53000</v>
      </c>
      <c r="F253" t="n">
        <v>3680</v>
      </c>
      <c r="G253" t="n">
        <v>11.5</v>
      </c>
    </row>
    <row r="254">
      <c r="A254" t="n">
        <v>249</v>
      </c>
      <c r="B254" t="inlineStr">
        <is>
          <t>ROS</t>
        </is>
      </c>
      <c r="C254" t="inlineStr">
        <is>
          <t>FLC Faros</t>
        </is>
      </c>
      <c r="D254" t="inlineStr">
        <is>
          <t>Xây dựng</t>
        </is>
      </c>
      <c r="E254" t="n">
        <v>2510</v>
      </c>
      <c r="H254" t="n">
        <v>2800</v>
      </c>
    </row>
    <row r="255">
      <c r="A255" t="n">
        <v>250</v>
      </c>
      <c r="B255" t="inlineStr">
        <is>
          <t>GAS</t>
        </is>
      </c>
      <c r="C255" t="inlineStr">
        <is>
          <t>PV Gas</t>
        </is>
      </c>
      <c r="D255" t="inlineStr">
        <is>
          <t>Dầu khí</t>
        </is>
      </c>
      <c r="E255" t="n">
        <v>81700</v>
      </c>
      <c r="F255" t="n">
        <v>5240</v>
      </c>
      <c r="G255" t="n">
        <v>17.8</v>
      </c>
      <c r="H255" t="n">
        <v>162000</v>
      </c>
    </row>
    <row r="256">
      <c r="A256" t="n">
        <v>251</v>
      </c>
      <c r="B256" t="inlineStr">
        <is>
          <t>PLX</t>
        </is>
      </c>
      <c r="C256" t="inlineStr">
        <is>
          <t>Petrolimex</t>
        </is>
      </c>
      <c r="D256" t="inlineStr">
        <is>
          <t>Dầu khí</t>
        </is>
      </c>
      <c r="E256" t="n">
        <v>39450</v>
      </c>
      <c r="F256" t="n">
        <v>2680</v>
      </c>
      <c r="G256" t="n">
        <v>12.5</v>
      </c>
      <c r="H256" t="n">
        <v>68000</v>
      </c>
    </row>
    <row r="257">
      <c r="A257" t="n">
        <v>252</v>
      </c>
      <c r="B257" t="inlineStr">
        <is>
          <t>PVD</t>
        </is>
      </c>
      <c r="C257" t="inlineStr">
        <is>
          <t>PV Drilling</t>
        </is>
      </c>
      <c r="D257" t="inlineStr">
        <is>
          <t>Dầu khí</t>
        </is>
      </c>
      <c r="E257" t="n">
        <v>30000</v>
      </c>
      <c r="F257" t="n">
        <v>1820</v>
      </c>
      <c r="G257" t="n">
        <v>6.2</v>
      </c>
      <c r="H257" t="n">
        <v>28000</v>
      </c>
    </row>
    <row r="258">
      <c r="A258" t="n">
        <v>253</v>
      </c>
      <c r="B258" t="inlineStr">
        <is>
          <t>PVS</t>
        </is>
      </c>
      <c r="C258" t="inlineStr">
        <is>
          <t>PTSC</t>
        </is>
      </c>
      <c r="D258" t="inlineStr">
        <is>
          <t>Dầu khí</t>
        </is>
      </c>
      <c r="E258" t="n">
        <v>38700</v>
      </c>
      <c r="F258" t="n">
        <v>2780</v>
      </c>
      <c r="G258" t="n">
        <v>10.5</v>
      </c>
      <c r="H258" t="n">
        <v>18000</v>
      </c>
    </row>
    <row r="259">
      <c r="A259" t="n">
        <v>254</v>
      </c>
      <c r="B259" t="inlineStr">
        <is>
          <t>BSR</t>
        </is>
      </c>
      <c r="C259" t="inlineStr">
        <is>
          <t>BSR</t>
        </is>
      </c>
      <c r="D259" t="inlineStr">
        <is>
          <t>Lọc dầu</t>
        </is>
      </c>
      <c r="E259" t="n">
        <v>28500</v>
      </c>
      <c r="F259" t="n">
        <v>2480</v>
      </c>
      <c r="G259" t="n">
        <v>13.5</v>
      </c>
      <c r="H259" t="n">
        <v>82000</v>
      </c>
    </row>
    <row r="260">
      <c r="A260" t="n">
        <v>255</v>
      </c>
      <c r="B260" t="inlineStr">
        <is>
          <t>OIL</t>
        </is>
      </c>
      <c r="C260" t="inlineStr">
        <is>
          <t>PV Oil</t>
        </is>
      </c>
      <c r="D260" t="inlineStr">
        <is>
          <t>Dầu khí</t>
        </is>
      </c>
      <c r="E260" t="n">
        <v>14700</v>
      </c>
      <c r="F260" t="n">
        <v>1280</v>
      </c>
      <c r="G260" t="n">
        <v>10.7</v>
      </c>
      <c r="H260" t="n">
        <v>12000</v>
      </c>
    </row>
    <row r="261">
      <c r="A261" t="n">
        <v>256</v>
      </c>
      <c r="B261" t="inlineStr">
        <is>
          <t>POW</t>
        </is>
      </c>
      <c r="C261" t="inlineStr">
        <is>
          <t>PV Power</t>
        </is>
      </c>
      <c r="D261" t="inlineStr">
        <is>
          <t>Điện</t>
        </is>
      </c>
      <c r="E261" t="n">
        <v>13850</v>
      </c>
      <c r="F261" t="n">
        <v>840</v>
      </c>
      <c r="G261" t="n">
        <v>6.5</v>
      </c>
      <c r="H261" t="n">
        <v>32000</v>
      </c>
    </row>
    <row r="262">
      <c r="A262" t="n">
        <v>257</v>
      </c>
      <c r="B262" t="inlineStr">
        <is>
          <t>HPG</t>
        </is>
      </c>
      <c r="C262" t="inlineStr">
        <is>
          <t>Hòa Phát</t>
        </is>
      </c>
      <c r="D262" t="inlineStr">
        <is>
          <t>Thép</t>
        </is>
      </c>
      <c r="E262" t="n">
        <v>24000</v>
      </c>
      <c r="F262" t="n">
        <v>1860</v>
      </c>
      <c r="G262" t="n">
        <v>11.4</v>
      </c>
      <c r="H262" t="n">
        <v>178000</v>
      </c>
    </row>
    <row r="263">
      <c r="A263" t="n">
        <v>258</v>
      </c>
      <c r="B263" t="inlineStr">
        <is>
          <t>HSG</t>
        </is>
      </c>
      <c r="C263" t="inlineStr">
        <is>
          <t>Tôn Hoa Sen</t>
        </is>
      </c>
      <c r="D263" t="inlineStr">
        <is>
          <t>Thép</t>
        </is>
      </c>
      <c r="E263" t="n">
        <v>12550</v>
      </c>
      <c r="F263" t="n">
        <v>1420</v>
      </c>
      <c r="G263" t="n">
        <v>6.8</v>
      </c>
      <c r="H263" t="n">
        <v>12000</v>
      </c>
    </row>
    <row r="264">
      <c r="A264" t="n">
        <v>259</v>
      </c>
      <c r="B264" t="inlineStr">
        <is>
          <t>NKG</t>
        </is>
      </c>
      <c r="C264" t="inlineStr">
        <is>
          <t>Thép Nam Kim</t>
        </is>
      </c>
      <c r="D264" t="inlineStr">
        <is>
          <t>Thép</t>
        </is>
      </c>
      <c r="E264" t="n">
        <v>13700</v>
      </c>
      <c r="F264" t="n">
        <v>1280</v>
      </c>
      <c r="G264" t="n">
        <v>6.5</v>
      </c>
      <c r="H264" t="n">
        <v>7500</v>
      </c>
    </row>
    <row r="265">
      <c r="A265" t="n">
        <v>260</v>
      </c>
      <c r="B265" t="inlineStr">
        <is>
          <t>TVN</t>
        </is>
      </c>
      <c r="C265" t="inlineStr">
        <is>
          <t>Vicasa</t>
        </is>
      </c>
      <c r="D265" t="inlineStr">
        <is>
          <t>Thép</t>
        </is>
      </c>
      <c r="E265" t="n">
        <v>11900</v>
      </c>
      <c r="F265" t="n">
        <v>1640</v>
      </c>
      <c r="G265" t="n">
        <v>6.8</v>
      </c>
      <c r="H265" t="n">
        <v>2200</v>
      </c>
    </row>
    <row r="266">
      <c r="A266" t="n">
        <v>261</v>
      </c>
      <c r="B266" t="inlineStr">
        <is>
          <t>SMC</t>
        </is>
      </c>
      <c r="C266" t="inlineStr">
        <is>
          <t>SMC Steel</t>
        </is>
      </c>
      <c r="D266" t="inlineStr">
        <is>
          <t>Thép</t>
        </is>
      </c>
      <c r="E266" t="n">
        <v>11250</v>
      </c>
      <c r="F266" t="n">
        <v>840</v>
      </c>
      <c r="G266" t="n">
        <v>3.5</v>
      </c>
      <c r="H266" t="n">
        <v>1200</v>
      </c>
    </row>
    <row r="267">
      <c r="A267" t="n">
        <v>262</v>
      </c>
      <c r="B267" t="inlineStr">
        <is>
          <t>DGC</t>
        </is>
      </c>
      <c r="C267" t="inlineStr">
        <is>
          <t>Đức Giang</t>
        </is>
      </c>
      <c r="D267" t="inlineStr">
        <is>
          <t>Hóa chất</t>
        </is>
      </c>
      <c r="E267" t="n">
        <v>47600</v>
      </c>
      <c r="F267" t="n">
        <v>5640</v>
      </c>
      <c r="G267" t="n">
        <v>18.5</v>
      </c>
      <c r="H267" t="n">
        <v>32000</v>
      </c>
    </row>
    <row r="268">
      <c r="A268" t="n">
        <v>263</v>
      </c>
      <c r="B268" t="inlineStr">
        <is>
          <t>DPM</t>
        </is>
      </c>
      <c r="C268" t="inlineStr">
        <is>
          <t>Đạm Phú Mỹ</t>
        </is>
      </c>
      <c r="D268" t="inlineStr">
        <is>
          <t>Phân bón</t>
        </is>
      </c>
      <c r="E268" t="n">
        <v>25850</v>
      </c>
      <c r="F268" t="n">
        <v>4220</v>
      </c>
      <c r="G268" t="n">
        <v>13.5</v>
      </c>
      <c r="H268" t="n">
        <v>12500</v>
      </c>
    </row>
    <row r="269">
      <c r="A269" t="n">
        <v>264</v>
      </c>
      <c r="B269" t="inlineStr">
        <is>
          <t>DCM</t>
        </is>
      </c>
      <c r="C269" t="inlineStr">
        <is>
          <t>Đạm Cà Mau</t>
        </is>
      </c>
      <c r="D269" t="inlineStr">
        <is>
          <t>Phân bón</t>
        </is>
      </c>
      <c r="E269" t="n">
        <v>40200</v>
      </c>
      <c r="F269" t="n">
        <v>3640</v>
      </c>
      <c r="G269" t="n">
        <v>14.7</v>
      </c>
      <c r="H269" t="n">
        <v>12500</v>
      </c>
    </row>
    <row r="270">
      <c r="A270" t="n">
        <v>265</v>
      </c>
      <c r="B270" t="inlineStr">
        <is>
          <t>LAS</t>
        </is>
      </c>
      <c r="C270" t="inlineStr">
        <is>
          <t>LAS Group</t>
        </is>
      </c>
      <c r="D270" t="inlineStr">
        <is>
          <t>Hóa chất</t>
        </is>
      </c>
      <c r="E270" t="n">
        <v>15300</v>
      </c>
      <c r="F270" t="n">
        <v>2480</v>
      </c>
      <c r="G270" t="n">
        <v>11.5</v>
      </c>
      <c r="H270" t="n">
        <v>3500</v>
      </c>
    </row>
    <row r="271">
      <c r="A271" t="n">
        <v>266</v>
      </c>
      <c r="B271" t="inlineStr">
        <is>
          <t>VHE</t>
        </is>
      </c>
      <c r="C271" t="inlineStr">
        <is>
          <t>VHE</t>
        </is>
      </c>
      <c r="D271" t="inlineStr">
        <is>
          <t>Hóa chất</t>
        </is>
      </c>
      <c r="E271" t="n">
        <v>3200</v>
      </c>
      <c r="F271" t="n">
        <v>1280</v>
      </c>
      <c r="G271" t="n">
        <v>9.5</v>
      </c>
      <c r="H271" t="n">
        <v>2200</v>
      </c>
    </row>
    <row r="272">
      <c r="A272" t="n">
        <v>267</v>
      </c>
      <c r="B272" t="inlineStr">
        <is>
          <t>GEX</t>
        </is>
      </c>
      <c r="C272" t="inlineStr">
        <is>
          <t>Gelex</t>
        </is>
      </c>
      <c r="D272" t="inlineStr">
        <is>
          <t>Đa ngành</t>
        </is>
      </c>
      <c r="E272" t="n">
        <v>32299</v>
      </c>
      <c r="F272" t="n">
        <v>1480</v>
      </c>
      <c r="G272" t="n">
        <v>8.199999999999999</v>
      </c>
      <c r="H272" t="n">
        <v>16500</v>
      </c>
    </row>
    <row r="273">
      <c r="A273" t="n">
        <v>268</v>
      </c>
      <c r="B273" t="inlineStr">
        <is>
          <t>PPC</t>
        </is>
      </c>
      <c r="C273" t="inlineStr">
        <is>
          <t>Nhiệt điện PP</t>
        </is>
      </c>
      <c r="D273" t="inlineStr">
        <is>
          <t>Điện</t>
        </is>
      </c>
      <c r="E273" t="n">
        <v>9830</v>
      </c>
      <c r="F273" t="n">
        <v>2120</v>
      </c>
      <c r="G273" t="n">
        <v>12.8</v>
      </c>
      <c r="H273" t="n">
        <v>5500</v>
      </c>
    </row>
    <row r="274">
      <c r="A274" t="n">
        <v>269</v>
      </c>
      <c r="B274" t="inlineStr">
        <is>
          <t>NT2</t>
        </is>
      </c>
      <c r="C274" t="inlineStr">
        <is>
          <t>Nhơn Trạch 2</t>
        </is>
      </c>
      <c r="D274" t="inlineStr">
        <is>
          <t>Điện</t>
        </is>
      </c>
      <c r="E274" t="n">
        <v>23000</v>
      </c>
      <c r="F274" t="n">
        <v>3240</v>
      </c>
      <c r="G274" t="n">
        <v>17.8</v>
      </c>
      <c r="H274" t="n">
        <v>7500</v>
      </c>
    </row>
    <row r="275">
      <c r="A275" t="n">
        <v>270</v>
      </c>
      <c r="B275" t="inlineStr">
        <is>
          <t>VSH</t>
        </is>
      </c>
      <c r="C275" t="inlineStr">
        <is>
          <t>Vĩnh Sơn</t>
        </is>
      </c>
      <c r="D275" t="inlineStr">
        <is>
          <t>Điện</t>
        </is>
      </c>
      <c r="E275" t="n">
        <v>42800</v>
      </c>
      <c r="F275" t="n">
        <v>2480</v>
      </c>
      <c r="G275" t="n">
        <v>12.5</v>
      </c>
      <c r="H275" t="n">
        <v>3500</v>
      </c>
    </row>
    <row r="276">
      <c r="A276" t="n">
        <v>271</v>
      </c>
      <c r="B276" t="inlineStr">
        <is>
          <t>TBC</t>
        </is>
      </c>
      <c r="C276" t="inlineStr">
        <is>
          <t>Thác Bà</t>
        </is>
      </c>
      <c r="D276" t="inlineStr">
        <is>
          <t>Điện</t>
        </is>
      </c>
      <c r="E276" t="n">
        <v>31850</v>
      </c>
      <c r="F276" t="n">
        <v>2340</v>
      </c>
      <c r="G276" t="n">
        <v>12.5</v>
      </c>
      <c r="H276" t="n">
        <v>2800</v>
      </c>
    </row>
    <row r="277">
      <c r="A277" t="n">
        <v>272</v>
      </c>
      <c r="B277" t="inlineStr">
        <is>
          <t>GEG</t>
        </is>
      </c>
      <c r="C277" t="inlineStr">
        <is>
          <t>GIA LAI</t>
        </is>
      </c>
      <c r="D277" t="inlineStr">
        <is>
          <t>Điện</t>
        </is>
      </c>
      <c r="E277" t="n">
        <v>14200</v>
      </c>
      <c r="F277" t="n">
        <v>840</v>
      </c>
      <c r="G277" t="n">
        <v>7.2</v>
      </c>
      <c r="H277" t="n">
        <v>8800</v>
      </c>
    </row>
    <row r="278">
      <c r="A278" t="n">
        <v>273</v>
      </c>
      <c r="B278" t="inlineStr">
        <is>
          <t>VPD</t>
        </is>
      </c>
      <c r="C278" t="inlineStr">
        <is>
          <t>VPD Power</t>
        </is>
      </c>
      <c r="D278" t="inlineStr">
        <is>
          <t>Điện</t>
        </is>
      </c>
      <c r="E278" t="n">
        <v>25400</v>
      </c>
      <c r="F278" t="n">
        <v>1480</v>
      </c>
      <c r="G278" t="n">
        <v>9.5</v>
      </c>
      <c r="H278" t="n">
        <v>1500</v>
      </c>
    </row>
    <row r="279">
      <c r="A279" t="n">
        <v>274</v>
      </c>
      <c r="B279" t="inlineStr">
        <is>
          <t>VIX</t>
        </is>
      </c>
      <c r="C279" t="inlineStr">
        <is>
          <t>VIX Securities</t>
        </is>
      </c>
      <c r="D279" t="inlineStr">
        <is>
          <t>Chứng khoán</t>
        </is>
      </c>
      <c r="E279" t="n">
        <v>17600</v>
      </c>
      <c r="F279" t="n">
        <v>840</v>
      </c>
      <c r="G279" t="n">
        <v>8.800000000000001</v>
      </c>
      <c r="H279" t="n">
        <v>41410</v>
      </c>
    </row>
    <row r="280">
      <c r="A280" t="n">
        <v>275</v>
      </c>
      <c r="B280" t="inlineStr">
        <is>
          <t>SSI</t>
        </is>
      </c>
      <c r="C280" t="inlineStr">
        <is>
          <t>SSI Securities</t>
        </is>
      </c>
      <c r="D280" t="inlineStr">
        <is>
          <t>Chứng khoán</t>
        </is>
      </c>
      <c r="E280" t="n">
        <v>27550</v>
      </c>
      <c r="F280" t="n">
        <v>2480</v>
      </c>
      <c r="G280" t="n">
        <v>12.5</v>
      </c>
      <c r="H280" t="n">
        <v>42000</v>
      </c>
    </row>
    <row r="281">
      <c r="A281" t="n">
        <v>276</v>
      </c>
      <c r="B281" t="inlineStr">
        <is>
          <t>VND</t>
        </is>
      </c>
      <c r="C281" t="inlineStr">
        <is>
          <t>VNDirect</t>
        </is>
      </c>
      <c r="D281" t="inlineStr">
        <is>
          <t>Chứng khoán</t>
        </is>
      </c>
      <c r="E281" t="n">
        <v>17800</v>
      </c>
      <c r="F281" t="n">
        <v>1640</v>
      </c>
      <c r="G281" t="n">
        <v>10.8</v>
      </c>
      <c r="H281" t="n">
        <v>15500</v>
      </c>
    </row>
    <row r="282">
      <c r="A282" t="n">
        <v>277</v>
      </c>
      <c r="B282" t="inlineStr">
        <is>
          <t>HCM</t>
        </is>
      </c>
      <c r="C282" t="inlineStr">
        <is>
          <t>HSC</t>
        </is>
      </c>
      <c r="D282" t="inlineStr">
        <is>
          <t>Chứng khoán</t>
        </is>
      </c>
      <c r="E282" t="n">
        <v>27550</v>
      </c>
      <c r="F282" t="n">
        <v>2380</v>
      </c>
      <c r="G282" t="n">
        <v>11.5</v>
      </c>
      <c r="H282" t="n">
        <v>8500</v>
      </c>
    </row>
    <row r="283">
      <c r="A283" t="n">
        <v>278</v>
      </c>
      <c r="B283" t="inlineStr">
        <is>
          <t>VCI</t>
        </is>
      </c>
      <c r="C283" t="inlineStr">
        <is>
          <t>Vietcap</t>
        </is>
      </c>
      <c r="D283" t="inlineStr">
        <is>
          <t>Chứng khoán</t>
        </is>
      </c>
      <c r="E283" t="n">
        <v>25000</v>
      </c>
      <c r="F283" t="n">
        <v>5640</v>
      </c>
      <c r="G283" t="n">
        <v>16.5</v>
      </c>
      <c r="H283" t="n">
        <v>15500</v>
      </c>
    </row>
    <row r="284">
      <c r="A284" t="n">
        <v>279</v>
      </c>
      <c r="B284" t="inlineStr">
        <is>
          <t>SHS</t>
        </is>
      </c>
      <c r="C284" t="inlineStr">
        <is>
          <t>SHS</t>
        </is>
      </c>
      <c r="D284" t="inlineStr">
        <is>
          <t>Chứng khoán</t>
        </is>
      </c>
      <c r="E284" t="n">
        <v>18000</v>
      </c>
      <c r="F284" t="n">
        <v>1240</v>
      </c>
      <c r="G284" t="n">
        <v>8.5</v>
      </c>
      <c r="H284" t="n">
        <v>12000</v>
      </c>
    </row>
    <row r="285">
      <c r="A285" t="n">
        <v>280</v>
      </c>
      <c r="B285" t="inlineStr">
        <is>
          <t>FTS</t>
        </is>
      </c>
      <c r="C285" t="inlineStr">
        <is>
          <t>FPT Securities</t>
        </is>
      </c>
      <c r="D285" t="inlineStr">
        <is>
          <t>Chứng khoán</t>
        </is>
      </c>
      <c r="E285" t="n">
        <v>23800</v>
      </c>
      <c r="F285" t="n">
        <v>1280</v>
      </c>
      <c r="G285" t="n">
        <v>10.5</v>
      </c>
      <c r="H285" t="n">
        <v>4500</v>
      </c>
    </row>
    <row r="286">
      <c r="A286" t="n">
        <v>281</v>
      </c>
      <c r="B286" t="inlineStr">
        <is>
          <t>MBS</t>
        </is>
      </c>
      <c r="C286" t="inlineStr">
        <is>
          <t>MB Securities</t>
        </is>
      </c>
      <c r="D286" t="inlineStr">
        <is>
          <t>Chứng khoán</t>
        </is>
      </c>
      <c r="E286" t="n">
        <v>19900</v>
      </c>
      <c r="F286" t="n">
        <v>1480</v>
      </c>
      <c r="G286" t="n">
        <v>12.5</v>
      </c>
      <c r="H286" t="n">
        <v>8500</v>
      </c>
    </row>
    <row r="287">
      <c r="A287" t="n">
        <v>282</v>
      </c>
      <c r="B287" t="inlineStr">
        <is>
          <t>CTS</t>
        </is>
      </c>
      <c r="C287" t="inlineStr">
        <is>
          <t>VietinBank Sec</t>
        </is>
      </c>
      <c r="D287" t="inlineStr">
        <is>
          <t>Chứng khoán</t>
        </is>
      </c>
      <c r="E287" t="n">
        <v>27600</v>
      </c>
      <c r="F287" t="n">
        <v>1140</v>
      </c>
      <c r="G287" t="n">
        <v>8.5</v>
      </c>
      <c r="H287" t="n">
        <v>3500</v>
      </c>
    </row>
    <row r="288">
      <c r="A288" t="n">
        <v>283</v>
      </c>
      <c r="B288" t="inlineStr">
        <is>
          <t>VFS</t>
        </is>
      </c>
      <c r="C288" t="inlineStr">
        <is>
          <t>VFS</t>
        </is>
      </c>
      <c r="D288" t="inlineStr">
        <is>
          <t>Chứng khoán</t>
        </is>
      </c>
      <c r="E288" t="n">
        <v>12100</v>
      </c>
      <c r="H288" t="n">
        <v>1800</v>
      </c>
    </row>
    <row r="289">
      <c r="A289" t="n">
        <v>284</v>
      </c>
      <c r="B289" t="inlineStr">
        <is>
          <t>TCBS</t>
        </is>
      </c>
      <c r="C289" t="inlineStr">
        <is>
          <t>Techcom Securities</t>
        </is>
      </c>
      <c r="D289" t="inlineStr">
        <is>
          <t>Chứng khoán</t>
        </is>
      </c>
      <c r="E289">
        <f>IFERROR(INDEX('📡 LIVE PRICE FEED'!$D$4:$D$300,MATCH(A92,'📡 LIVE PRICE FEED'!$A$4:$A$300,0)),22500)</f>
        <v/>
      </c>
      <c r="H289" t="n">
        <v>18000</v>
      </c>
    </row>
    <row r="290">
      <c r="A290" t="n">
        <v>285</v>
      </c>
      <c r="B290" t="inlineStr">
        <is>
          <t>BVH</t>
        </is>
      </c>
      <c r="C290" t="inlineStr">
        <is>
          <t>Bảo Việt</t>
        </is>
      </c>
      <c r="D290" t="inlineStr">
        <is>
          <t>Bảo hiểm</t>
        </is>
      </c>
      <c r="E290" t="n">
        <v>67000</v>
      </c>
      <c r="F290" t="n">
        <v>1840</v>
      </c>
      <c r="G290" t="n">
        <v>6.8</v>
      </c>
      <c r="H290" t="n">
        <v>33800</v>
      </c>
    </row>
    <row r="291">
      <c r="A291" t="n">
        <v>286</v>
      </c>
      <c r="B291" t="inlineStr">
        <is>
          <t>BMI</t>
        </is>
      </c>
      <c r="C291" t="inlineStr">
        <is>
          <t>Bảo Minh</t>
        </is>
      </c>
      <c r="D291" t="inlineStr">
        <is>
          <t>Bảo hiểm</t>
        </is>
      </c>
      <c r="E291" t="n">
        <v>14800</v>
      </c>
      <c r="F291" t="n">
        <v>2480</v>
      </c>
      <c r="G291" t="n">
        <v>7.5</v>
      </c>
      <c r="H291" t="n">
        <v>2800</v>
      </c>
    </row>
    <row r="292">
      <c r="A292" t="n">
        <v>287</v>
      </c>
      <c r="B292" t="inlineStr">
        <is>
          <t>PVI</t>
        </is>
      </c>
      <c r="C292" t="inlineStr">
        <is>
          <t>PVI</t>
        </is>
      </c>
      <c r="D292" t="inlineStr">
        <is>
          <t>Bảo hiểm</t>
        </is>
      </c>
      <c r="E292" t="n">
        <v>78000</v>
      </c>
      <c r="F292" t="n">
        <v>4220</v>
      </c>
      <c r="G292" t="n">
        <v>11.5</v>
      </c>
      <c r="H292" t="n">
        <v>9500</v>
      </c>
    </row>
    <row r="293">
      <c r="A293" t="n">
        <v>288</v>
      </c>
      <c r="B293" t="inlineStr">
        <is>
          <t>PGI</t>
        </is>
      </c>
      <c r="C293" t="inlineStr">
        <is>
          <t>PGI</t>
        </is>
      </c>
      <c r="D293" t="inlineStr">
        <is>
          <t>Bảo hiểm</t>
        </is>
      </c>
      <c r="E293" t="n">
        <v>18100</v>
      </c>
      <c r="F293" t="n">
        <v>2840</v>
      </c>
      <c r="G293" t="n">
        <v>10.5</v>
      </c>
      <c r="H293" t="n">
        <v>4500</v>
      </c>
    </row>
    <row r="294">
      <c r="A294" t="n">
        <v>289</v>
      </c>
      <c r="B294" t="inlineStr">
        <is>
          <t>MIG</t>
        </is>
      </c>
      <c r="C294" t="inlineStr">
        <is>
          <t>Quân Đội</t>
        </is>
      </c>
      <c r="D294" t="inlineStr">
        <is>
          <t>Bảo hiểm</t>
        </is>
      </c>
      <c r="E294" t="n">
        <v>18600</v>
      </c>
      <c r="F294" t="n">
        <v>1640</v>
      </c>
      <c r="G294" t="n">
        <v>8.5</v>
      </c>
      <c r="H294" t="n">
        <v>3200</v>
      </c>
    </row>
    <row r="295">
      <c r="A295" t="n">
        <v>290</v>
      </c>
      <c r="B295" t="inlineStr">
        <is>
          <t>GMD</t>
        </is>
      </c>
      <c r="C295" t="inlineStr">
        <is>
          <t>Gemadept</t>
        </is>
      </c>
      <c r="D295" t="inlineStr">
        <is>
          <t>Cảng</t>
        </is>
      </c>
      <c r="E295" t="n">
        <v>72500</v>
      </c>
      <c r="F295" t="n">
        <v>3450</v>
      </c>
      <c r="G295" t="n">
        <v>12.5</v>
      </c>
      <c r="H295" t="n">
        <v>18500</v>
      </c>
    </row>
    <row r="296">
      <c r="A296" t="n">
        <v>291</v>
      </c>
      <c r="B296" t="inlineStr">
        <is>
          <t>HAH</t>
        </is>
      </c>
      <c r="C296" t="inlineStr">
        <is>
          <t>Hải An</t>
        </is>
      </c>
      <c r="D296" t="inlineStr">
        <is>
          <t>Vận tải biển</t>
        </is>
      </c>
      <c r="E296" t="n">
        <v>54000</v>
      </c>
      <c r="F296" t="n">
        <v>3240</v>
      </c>
      <c r="G296" t="n">
        <v>12.5</v>
      </c>
      <c r="H296" t="n">
        <v>4500</v>
      </c>
    </row>
    <row r="297">
      <c r="A297" t="n">
        <v>292</v>
      </c>
      <c r="B297" t="inlineStr">
        <is>
          <t>VOS</t>
        </is>
      </c>
      <c r="C297" t="inlineStr">
        <is>
          <t>Vận tải Bắc-Nam</t>
        </is>
      </c>
      <c r="D297" t="inlineStr">
        <is>
          <t>Vận tải biển</t>
        </is>
      </c>
      <c r="E297" t="n">
        <v>12450</v>
      </c>
      <c r="F297" t="n">
        <v>840</v>
      </c>
      <c r="G297" t="n">
        <v>6.5</v>
      </c>
      <c r="H297" t="n">
        <v>3500</v>
      </c>
    </row>
    <row r="298">
      <c r="A298" t="n">
        <v>293</v>
      </c>
      <c r="B298" t="inlineStr">
        <is>
          <t>PVT</t>
        </is>
      </c>
      <c r="C298" t="inlineStr">
        <is>
          <t>Tàu PVN</t>
        </is>
      </c>
      <c r="D298" t="inlineStr">
        <is>
          <t>Vận tải biển</t>
        </is>
      </c>
      <c r="E298" t="n">
        <v>21900</v>
      </c>
      <c r="F298" t="n">
        <v>2680</v>
      </c>
      <c r="G298" t="n">
        <v>12.7</v>
      </c>
      <c r="H298" t="n">
        <v>8500</v>
      </c>
    </row>
    <row r="299">
      <c r="A299" t="n">
        <v>294</v>
      </c>
      <c r="B299" t="inlineStr">
        <is>
          <t>VTP</t>
        </is>
      </c>
      <c r="C299" t="inlineStr">
        <is>
          <t>Viettel Post</t>
        </is>
      </c>
      <c r="D299" t="inlineStr">
        <is>
          <t>Logistics</t>
        </is>
      </c>
      <c r="E299" t="n">
        <v>65200</v>
      </c>
      <c r="F299" t="n">
        <v>3240</v>
      </c>
      <c r="G299" t="n">
        <v>14.5</v>
      </c>
      <c r="H299" t="n">
        <v>12500</v>
      </c>
    </row>
    <row r="300">
      <c r="A300" t="n">
        <v>295</v>
      </c>
      <c r="B300" t="inlineStr">
        <is>
          <t>STG</t>
        </is>
      </c>
      <c r="C300" t="inlineStr">
        <is>
          <t>Sotrans</t>
        </is>
      </c>
      <c r="D300" t="inlineStr">
        <is>
          <t>Logistics</t>
        </is>
      </c>
      <c r="E300" t="n">
        <v>32650</v>
      </c>
      <c r="F300" t="n">
        <v>840</v>
      </c>
      <c r="G300" t="n">
        <v>5.2</v>
      </c>
      <c r="H300" t="n">
        <v>2800</v>
      </c>
    </row>
    <row r="301">
      <c r="A301" t="n">
        <v>296</v>
      </c>
      <c r="B301" t="inlineStr">
        <is>
          <t>SCS</t>
        </is>
      </c>
      <c r="C301" t="inlineStr">
        <is>
          <t>Sài Gòn Cargo</t>
        </is>
      </c>
      <c r="D301" t="inlineStr">
        <is>
          <t>Cargo</t>
        </is>
      </c>
      <c r="E301" t="n">
        <v>51600</v>
      </c>
      <c r="F301" t="n">
        <v>6840</v>
      </c>
      <c r="G301" t="n">
        <v>22.5</v>
      </c>
      <c r="H301" t="n">
        <v>4500</v>
      </c>
    </row>
    <row r="302">
      <c r="A302" t="n">
        <v>297</v>
      </c>
      <c r="B302" t="inlineStr">
        <is>
          <t>NCT</t>
        </is>
      </c>
      <c r="C302" t="inlineStr">
        <is>
          <t>Cảng Nhà Bè</t>
        </is>
      </c>
      <c r="D302" t="inlineStr">
        <is>
          <t>Cargo</t>
        </is>
      </c>
      <c r="E302" t="n">
        <v>91000</v>
      </c>
      <c r="F302" t="n">
        <v>5340</v>
      </c>
      <c r="G302" t="n">
        <v>19.5</v>
      </c>
      <c r="H302" t="n">
        <v>1200</v>
      </c>
    </row>
    <row r="303">
      <c r="A303" t="n">
        <v>298</v>
      </c>
      <c r="B303" t="inlineStr">
        <is>
          <t>ACV</t>
        </is>
      </c>
      <c r="C303" t="inlineStr">
        <is>
          <t>Cảng Hàng Không VN</t>
        </is>
      </c>
      <c r="D303" t="inlineStr">
        <is>
          <t>Hàng không</t>
        </is>
      </c>
      <c r="E303" t="n">
        <v>43900</v>
      </c>
      <c r="F303" t="n">
        <v>3680</v>
      </c>
      <c r="G303" t="n">
        <v>12.8</v>
      </c>
      <c r="H303" t="n">
        <v>215000</v>
      </c>
    </row>
    <row r="304">
      <c r="A304" t="n">
        <v>299</v>
      </c>
      <c r="B304" t="inlineStr">
        <is>
          <t>VJC</t>
        </is>
      </c>
      <c r="C304" t="inlineStr">
        <is>
          <t>Vietjet Air</t>
        </is>
      </c>
      <c r="D304" t="inlineStr">
        <is>
          <t>Hàng không</t>
        </is>
      </c>
      <c r="E304" t="n">
        <v>170400</v>
      </c>
      <c r="F304" t="n">
        <v>3640</v>
      </c>
      <c r="G304" t="n">
        <v>10.5</v>
      </c>
      <c r="H304" t="n">
        <v>53000</v>
      </c>
    </row>
    <row r="305">
      <c r="A305" t="n">
        <v>300</v>
      </c>
      <c r="B305" t="inlineStr">
        <is>
          <t>HVN</t>
        </is>
      </c>
      <c r="C305" t="inlineStr">
        <is>
          <t>Vietnam Airlines</t>
        </is>
      </c>
      <c r="D305" t="inlineStr">
        <is>
          <t>Hàng không</t>
        </is>
      </c>
      <c r="E305" t="n">
        <v>21500</v>
      </c>
      <c r="F305" t="n">
        <v>580</v>
      </c>
      <c r="G305" t="n">
        <v>18.5</v>
      </c>
      <c r="H305" t="n">
        <v>49000</v>
      </c>
    </row>
    <row r="306">
      <c r="A306" t="n">
        <v>301</v>
      </c>
      <c r="B306" t="inlineStr">
        <is>
          <t>TCM</t>
        </is>
      </c>
      <c r="C306" t="inlineStr">
        <is>
          <t>Thành Công</t>
        </is>
      </c>
      <c r="D306" t="inlineStr">
        <is>
          <t>Dệt may</t>
        </is>
      </c>
      <c r="E306">
        <f>IFERROR(INDEX('📡 LIVE PRICE FEED'!$D$4:$D$300,MATCH(A109,'📡 LIVE PRICE FEED'!$A$4:$A$300,0)),38500)</f>
        <v/>
      </c>
      <c r="F306" t="n">
        <v>1240</v>
      </c>
      <c r="G306" t="n">
        <v>5.7</v>
      </c>
      <c r="H306" t="n">
        <v>2800</v>
      </c>
    </row>
    <row r="307">
      <c r="A307" t="n">
        <v>302</v>
      </c>
      <c r="B307" t="inlineStr">
        <is>
          <t>STK</t>
        </is>
      </c>
      <c r="C307" t="inlineStr">
        <is>
          <t>Sợi Thế Kỷ</t>
        </is>
      </c>
      <c r="D307" t="inlineStr">
        <is>
          <t>Dệt may</t>
        </is>
      </c>
      <c r="E307">
        <f>IFERROR(INDEX('📡 LIVE PRICE FEED'!$D$4:$D$300,MATCH(A110,'📡 LIVE PRICE FEED'!$A$4:$A$300,0)),32500)</f>
        <v/>
      </c>
      <c r="F307" t="n">
        <v>680</v>
      </c>
      <c r="G307" t="n">
        <v>3.8</v>
      </c>
      <c r="H307" t="n">
        <v>3500</v>
      </c>
    </row>
    <row r="308">
      <c r="A308" t="n">
        <v>303</v>
      </c>
      <c r="B308" t="inlineStr">
        <is>
          <t>MSH</t>
        </is>
      </c>
      <c r="C308" t="inlineStr">
        <is>
          <t>May Sông Hồng</t>
        </is>
      </c>
      <c r="D308" t="inlineStr">
        <is>
          <t>Dệt may</t>
        </is>
      </c>
      <c r="E308">
        <f>IFERROR(INDEX('📡 LIVE PRICE FEED'!$D$4:$D$300,MATCH(A111,'📡 LIVE PRICE FEED'!$A$4:$A$300,0)),58500)</f>
        <v/>
      </c>
      <c r="F308" t="n">
        <v>4240</v>
      </c>
      <c r="G308" t="n">
        <v>12.5</v>
      </c>
      <c r="H308" t="n">
        <v>4800</v>
      </c>
    </row>
    <row r="309">
      <c r="A309" t="n">
        <v>304</v>
      </c>
      <c r="B309" t="inlineStr">
        <is>
          <t>TNG</t>
        </is>
      </c>
      <c r="C309" t="inlineStr">
        <is>
          <t>Đầu Tư &amp; TM TNG</t>
        </is>
      </c>
      <c r="D309" t="inlineStr">
        <is>
          <t>Dệt may</t>
        </is>
      </c>
      <c r="E309" t="n">
        <v>18900</v>
      </c>
      <c r="F309" t="n">
        <v>2480</v>
      </c>
      <c r="G309" t="n">
        <v>14.5</v>
      </c>
      <c r="H309" t="n">
        <v>2200</v>
      </c>
    </row>
    <row r="310">
      <c r="A310" t="n">
        <v>305</v>
      </c>
      <c r="B310" t="inlineStr">
        <is>
          <t>GIL</t>
        </is>
      </c>
      <c r="C310" t="inlineStr">
        <is>
          <t>GIL</t>
        </is>
      </c>
      <c r="D310" t="inlineStr">
        <is>
          <t>Dệt may</t>
        </is>
      </c>
      <c r="E310" t="n">
        <v>12350</v>
      </c>
      <c r="F310" t="n">
        <v>1480</v>
      </c>
      <c r="G310" t="n">
        <v>7.5</v>
      </c>
      <c r="H310" t="n">
        <v>1500</v>
      </c>
    </row>
    <row r="311">
      <c r="A311" t="n">
        <v>306</v>
      </c>
      <c r="B311" t="inlineStr">
        <is>
          <t>DHG</t>
        </is>
      </c>
      <c r="C311" t="inlineStr">
        <is>
          <t>Dược Hậu Giang</t>
        </is>
      </c>
      <c r="D311" t="inlineStr">
        <is>
          <t>Dược</t>
        </is>
      </c>
      <c r="E311" t="n">
        <v>94400</v>
      </c>
      <c r="F311" t="n">
        <v>6840</v>
      </c>
      <c r="G311" t="n">
        <v>21.5</v>
      </c>
      <c r="H311" t="n">
        <v>12500</v>
      </c>
    </row>
    <row r="312">
      <c r="A312" t="n">
        <v>307</v>
      </c>
      <c r="B312" t="inlineStr">
        <is>
          <t>IMP</t>
        </is>
      </c>
      <c r="C312" t="inlineStr">
        <is>
          <t>Imexpharm</t>
        </is>
      </c>
      <c r="D312" t="inlineStr">
        <is>
          <t>Dược</t>
        </is>
      </c>
      <c r="E312" t="n">
        <v>46650</v>
      </c>
      <c r="F312" t="n">
        <v>5240</v>
      </c>
      <c r="G312" t="n">
        <v>17.8</v>
      </c>
      <c r="H312" t="n">
        <v>5800</v>
      </c>
    </row>
    <row r="313">
      <c r="A313" t="n">
        <v>308</v>
      </c>
      <c r="B313" t="inlineStr">
        <is>
          <t>TRA</t>
        </is>
      </c>
      <c r="C313" t="inlineStr">
        <is>
          <t>Traphaco</t>
        </is>
      </c>
      <c r="D313" t="inlineStr">
        <is>
          <t>Dược</t>
        </is>
      </c>
      <c r="E313" t="n">
        <v>79000</v>
      </c>
      <c r="F313" t="n">
        <v>3640</v>
      </c>
      <c r="G313" t="n">
        <v>14.5</v>
      </c>
      <c r="H313" t="n">
        <v>3200</v>
      </c>
    </row>
    <row r="314">
      <c r="A314" t="n">
        <v>309</v>
      </c>
      <c r="B314" t="inlineStr">
        <is>
          <t>DBD</t>
        </is>
      </c>
      <c r="C314" t="inlineStr">
        <is>
          <t>Bidiphar</t>
        </is>
      </c>
      <c r="D314" t="inlineStr">
        <is>
          <t>Dược</t>
        </is>
      </c>
      <c r="E314" t="n">
        <v>50300</v>
      </c>
      <c r="F314" t="n">
        <v>4820</v>
      </c>
      <c r="G314" t="n">
        <v>16.8</v>
      </c>
      <c r="H314" t="n">
        <v>1200</v>
      </c>
    </row>
    <row r="315">
      <c r="A315" t="n">
        <v>310</v>
      </c>
      <c r="B315" t="inlineStr">
        <is>
          <t>OPC</t>
        </is>
      </c>
      <c r="C315" t="inlineStr">
        <is>
          <t>OPC Pharma</t>
        </is>
      </c>
      <c r="D315" t="inlineStr">
        <is>
          <t>Dược</t>
        </is>
      </c>
      <c r="E315" t="n">
        <v>23500</v>
      </c>
      <c r="F315" t="n">
        <v>4240</v>
      </c>
      <c r="G315" t="n">
        <v>13.5</v>
      </c>
      <c r="H315" t="n">
        <v>2800</v>
      </c>
    </row>
    <row r="316">
      <c r="A316" t="n">
        <v>311</v>
      </c>
      <c r="B316" t="inlineStr">
        <is>
          <t>DBM</t>
        </is>
      </c>
      <c r="C316" t="inlineStr">
        <is>
          <t>Dược Bến Tre</t>
        </is>
      </c>
      <c r="D316" t="inlineStr">
        <is>
          <t>Dược</t>
        </is>
      </c>
      <c r="E316">
        <f>IFERROR(INDEX('📡 LIVE PRICE FEED'!$D$4:$D$300,MATCH(A119,'📡 LIVE PRICE FEED'!$A$4:$A$300,0)),18500)</f>
        <v/>
      </c>
      <c r="H316" t="n">
        <v>800</v>
      </c>
    </row>
    <row r="317">
      <c r="A317" t="n">
        <v>312</v>
      </c>
      <c r="B317" t="inlineStr">
        <is>
          <t>PHR</t>
        </is>
      </c>
      <c r="C317" t="inlineStr">
        <is>
          <t>Phú Riềng</t>
        </is>
      </c>
      <c r="D317" t="inlineStr">
        <is>
          <t>Cao su</t>
        </is>
      </c>
      <c r="E317" t="n">
        <v>67000</v>
      </c>
      <c r="F317" t="n">
        <v>4220</v>
      </c>
      <c r="G317" t="n">
        <v>12.5</v>
      </c>
      <c r="H317" t="n">
        <v>7800</v>
      </c>
    </row>
    <row r="318">
      <c r="A318" t="n">
        <v>313</v>
      </c>
      <c r="B318" t="inlineStr">
        <is>
          <t>DPR</t>
        </is>
      </c>
      <c r="C318" t="inlineStr">
        <is>
          <t>Đồng Phú</t>
        </is>
      </c>
      <c r="D318" t="inlineStr">
        <is>
          <t>Cao su</t>
        </is>
      </c>
      <c r="E318">
        <f>IFERROR(INDEX('📡 LIVE PRICE FEED'!$D$4:$D$300,MATCH(A121,'📡 LIVE PRICE FEED'!$A$4:$A$300,0)),38500)</f>
        <v/>
      </c>
      <c r="F318" t="n">
        <v>4840</v>
      </c>
      <c r="G318" t="n">
        <v>10.5</v>
      </c>
      <c r="H318" t="n">
        <v>4500</v>
      </c>
    </row>
    <row r="319">
      <c r="A319" t="n">
        <v>314</v>
      </c>
      <c r="B319" t="inlineStr">
        <is>
          <t>TRC</t>
        </is>
      </c>
      <c r="C319" t="inlineStr">
        <is>
          <t>Tây Ninh</t>
        </is>
      </c>
      <c r="D319" t="inlineStr">
        <is>
          <t>Cao su</t>
        </is>
      </c>
      <c r="E319">
        <f>IFERROR(INDEX('📡 LIVE PRICE FEED'!$D$4:$D$300,MATCH(A122,'📡 LIVE PRICE FEED'!$A$4:$A$300,0)),32500)</f>
        <v/>
      </c>
      <c r="F319" t="n">
        <v>3640</v>
      </c>
      <c r="G319" t="n">
        <v>10.5</v>
      </c>
      <c r="H319" t="n">
        <v>3500</v>
      </c>
    </row>
    <row r="320">
      <c r="A320" t="n">
        <v>315</v>
      </c>
      <c r="B320" t="inlineStr">
        <is>
          <t>GVR</t>
        </is>
      </c>
      <c r="C320" t="inlineStr">
        <is>
          <t>Cao su VN</t>
        </is>
      </c>
      <c r="D320" t="inlineStr">
        <is>
          <t>Cao su</t>
        </is>
      </c>
      <c r="E320" t="n">
        <v>35300</v>
      </c>
      <c r="F320" t="n">
        <v>1240</v>
      </c>
      <c r="G320" t="n">
        <v>7.8</v>
      </c>
      <c r="H320" t="n">
        <v>90000</v>
      </c>
    </row>
    <row r="321">
      <c r="A321" t="n">
        <v>316</v>
      </c>
      <c r="B321" t="inlineStr">
        <is>
          <t>VHL</t>
        </is>
      </c>
      <c r="C321" t="inlineStr">
        <is>
          <t>Viglacera</t>
        </is>
      </c>
      <c r="D321" t="inlineStr">
        <is>
          <t>Vật liệu xd</t>
        </is>
      </c>
      <c r="E321">
        <f>IFERROR(INDEX('📡 LIVE PRICE FEED'!$D$4:$D$300,MATCH(A124,'📡 LIVE PRICE FEED'!$A$4:$A$300,0)),48500)</f>
        <v/>
      </c>
      <c r="F321" t="n">
        <v>2840</v>
      </c>
      <c r="G321" t="n">
        <v>11.5</v>
      </c>
      <c r="H321" t="n">
        <v>12500</v>
      </c>
    </row>
    <row r="322">
      <c r="A322" t="n">
        <v>317</v>
      </c>
      <c r="B322" t="inlineStr">
        <is>
          <t>KBC</t>
        </is>
      </c>
      <c r="C322" t="inlineStr">
        <is>
          <t>Kinh Bắc</t>
        </is>
      </c>
      <c r="D322" t="inlineStr">
        <is>
          <t>BĐS KCN</t>
        </is>
      </c>
      <c r="E322" t="n">
        <v>31500</v>
      </c>
      <c r="F322" t="n">
        <v>1480</v>
      </c>
      <c r="G322" t="n">
        <v>9.199999999999999</v>
      </c>
      <c r="H322" t="n">
        <v>16500</v>
      </c>
    </row>
    <row r="323">
      <c r="A323" t="n">
        <v>318</v>
      </c>
      <c r="B323" t="inlineStr">
        <is>
          <t>IDC</t>
        </is>
      </c>
      <c r="C323" t="inlineStr">
        <is>
          <t>IDICO</t>
        </is>
      </c>
      <c r="D323" t="inlineStr">
        <is>
          <t>BĐS KCN</t>
        </is>
      </c>
      <c r="E323" t="n">
        <v>43600</v>
      </c>
      <c r="F323" t="n">
        <v>4240</v>
      </c>
      <c r="G323" t="n">
        <v>13.5</v>
      </c>
      <c r="H323" t="n">
        <v>28000</v>
      </c>
    </row>
    <row r="324">
      <c r="A324" t="n">
        <v>319</v>
      </c>
      <c r="B324" t="inlineStr">
        <is>
          <t>LHG</t>
        </is>
      </c>
      <c r="C324" t="inlineStr">
        <is>
          <t>Long Hậu</t>
        </is>
      </c>
      <c r="D324" t="inlineStr">
        <is>
          <t>BĐS KCN</t>
        </is>
      </c>
      <c r="E324" t="n">
        <v>27300</v>
      </c>
      <c r="F324" t="n">
        <v>3240</v>
      </c>
      <c r="G324" t="n">
        <v>16.5</v>
      </c>
      <c r="H324" t="n">
        <v>4200</v>
      </c>
    </row>
    <row r="325">
      <c r="A325" t="n">
        <v>320</v>
      </c>
      <c r="B325" t="inlineStr">
        <is>
          <t>SZC</t>
        </is>
      </c>
      <c r="C325" t="inlineStr">
        <is>
          <t>Sonadezi Châu Đức</t>
        </is>
      </c>
      <c r="D325" t="inlineStr">
        <is>
          <t>BĐS KCN</t>
        </is>
      </c>
      <c r="E325" t="n">
        <v>24700</v>
      </c>
      <c r="F325" t="n">
        <v>3120</v>
      </c>
      <c r="G325" t="n">
        <v>16.5</v>
      </c>
      <c r="H325" t="n">
        <v>2800</v>
      </c>
    </row>
    <row r="326">
      <c r="A326" t="n">
        <v>321</v>
      </c>
      <c r="B326" t="inlineStr">
        <is>
          <t>TIP</t>
        </is>
      </c>
      <c r="C326" t="inlineStr">
        <is>
          <t>Tiền Phong</t>
        </is>
      </c>
      <c r="D326" t="inlineStr">
        <is>
          <t>BĐS KCN</t>
        </is>
      </c>
      <c r="E326" t="n">
        <v>18300</v>
      </c>
      <c r="F326" t="n">
        <v>2480</v>
      </c>
      <c r="G326" t="n">
        <v>10.5</v>
      </c>
      <c r="H326" t="n">
        <v>2200</v>
      </c>
    </row>
    <row r="327">
      <c r="A327" t="n">
        <v>322</v>
      </c>
      <c r="B327" t="inlineStr">
        <is>
          <t>NTC</t>
        </is>
      </c>
      <c r="C327" t="inlineStr">
        <is>
          <t>Nam Tân Uyên</t>
        </is>
      </c>
      <c r="D327" t="inlineStr">
        <is>
          <t>BĐS KCN</t>
        </is>
      </c>
      <c r="E327">
        <f>IFERROR(INDEX('📡 LIVE PRICE FEED'!$D$4:$D$300,MATCH(A130,'📡 LIVE PRICE FEED'!$A$4:$A$300,0)),158000)</f>
        <v/>
      </c>
      <c r="F327" t="n">
        <v>8420</v>
      </c>
      <c r="G327" t="n">
        <v>27.5</v>
      </c>
      <c r="H327" t="n">
        <v>3800</v>
      </c>
    </row>
    <row r="328">
      <c r="A328" t="n">
        <v>323</v>
      </c>
      <c r="B328" t="inlineStr">
        <is>
          <t>SIP</t>
        </is>
      </c>
      <c r="C328" t="inlineStr">
        <is>
          <t>SIP</t>
        </is>
      </c>
      <c r="D328" t="inlineStr">
        <is>
          <t>BĐS KCN</t>
        </is>
      </c>
      <c r="E328" t="n">
        <v>52000</v>
      </c>
      <c r="F328" t="n">
        <v>5840</v>
      </c>
      <c r="G328" t="n">
        <v>17.8</v>
      </c>
      <c r="H328" t="n">
        <v>5500</v>
      </c>
    </row>
    <row r="329">
      <c r="A329" t="n">
        <v>324</v>
      </c>
      <c r="B329" t="inlineStr">
        <is>
          <t>KSB</t>
        </is>
      </c>
      <c r="C329" t="inlineStr">
        <is>
          <t>KSB</t>
        </is>
      </c>
      <c r="D329" t="inlineStr">
        <is>
          <t>Khoáng sản</t>
        </is>
      </c>
      <c r="E329" t="n">
        <v>15450</v>
      </c>
      <c r="F329" t="n">
        <v>1840</v>
      </c>
      <c r="G329" t="n">
        <v>10.5</v>
      </c>
      <c r="H329" t="n">
        <v>2200</v>
      </c>
    </row>
    <row r="330">
      <c r="A330" t="n">
        <v>325</v>
      </c>
      <c r="B330" t="inlineStr">
        <is>
          <t>BMP</t>
        </is>
      </c>
      <c r="C330" t="inlineStr">
        <is>
          <t>Bình Minh</t>
        </is>
      </c>
      <c r="D330" t="inlineStr">
        <is>
          <t>Nhựa</t>
        </is>
      </c>
      <c r="E330" t="n">
        <v>138000</v>
      </c>
      <c r="F330" t="n">
        <v>12480</v>
      </c>
      <c r="G330" t="n">
        <v>34.5</v>
      </c>
      <c r="H330" t="n">
        <v>8500</v>
      </c>
    </row>
    <row r="331">
      <c r="A331" t="n">
        <v>326</v>
      </c>
      <c r="B331" t="inlineStr">
        <is>
          <t>NTP</t>
        </is>
      </c>
      <c r="C331" t="inlineStr">
        <is>
          <t>Nhựa Tiền Phong</t>
        </is>
      </c>
      <c r="D331" t="inlineStr">
        <is>
          <t>Nhựa</t>
        </is>
      </c>
      <c r="E331">
        <f>IFERROR(INDEX('📡 LIVE PRICE FEED'!$D$4:$D$300,MATCH(A134,'📡 LIVE PRICE FEED'!$A$4:$A$300,0)),45500)</f>
        <v/>
      </c>
      <c r="F331" t="n">
        <v>6840</v>
      </c>
      <c r="G331" t="n">
        <v>17.5</v>
      </c>
      <c r="H331" t="n">
        <v>5800</v>
      </c>
    </row>
    <row r="332">
      <c r="A332" t="n">
        <v>327</v>
      </c>
      <c r="B332" t="inlineStr">
        <is>
          <t>CII</t>
        </is>
      </c>
      <c r="C332" t="inlineStr">
        <is>
          <t>C.I.I</t>
        </is>
      </c>
      <c r="D332" t="inlineStr">
        <is>
          <t>Hạ tầng</t>
        </is>
      </c>
      <c r="E332" t="n">
        <v>18000</v>
      </c>
      <c r="F332" t="n">
        <v>340</v>
      </c>
      <c r="G332" t="n">
        <v>2.8</v>
      </c>
      <c r="H332" t="n">
        <v>5500</v>
      </c>
    </row>
    <row r="333">
      <c r="A333" t="n">
        <v>328</v>
      </c>
      <c r="B333" t="inlineStr">
        <is>
          <t>LDG</t>
        </is>
      </c>
      <c r="C333" t="inlineStr">
        <is>
          <t>LDG</t>
        </is>
      </c>
      <c r="D333" t="inlineStr">
        <is>
          <t>Đa ngành</t>
        </is>
      </c>
      <c r="E333" t="n">
        <v>3020</v>
      </c>
      <c r="H333" t="n">
        <v>2200</v>
      </c>
    </row>
    <row r="334">
      <c r="A334" t="n">
        <v>329</v>
      </c>
      <c r="B334" t="inlineStr">
        <is>
          <t>HAG</t>
        </is>
      </c>
      <c r="C334" t="inlineStr">
        <is>
          <t>Hoàng Anh Gia Lai</t>
        </is>
      </c>
      <c r="D334" t="inlineStr">
        <is>
          <t>Đa ngành</t>
        </is>
      </c>
      <c r="E334" t="n">
        <v>15450</v>
      </c>
      <c r="F334" t="n">
        <v>480</v>
      </c>
      <c r="G334" t="n">
        <v>5.7</v>
      </c>
      <c r="H334" t="n">
        <v>6500</v>
      </c>
    </row>
    <row r="335">
      <c r="A335" t="n">
        <v>330</v>
      </c>
      <c r="B335" t="inlineStr">
        <is>
          <t>HNG</t>
        </is>
      </c>
      <c r="C335" t="inlineStr">
        <is>
          <t>HAG Nông Nghiệp</t>
        </is>
      </c>
      <c r="D335" t="inlineStr">
        <is>
          <t>Nông nghiệp</t>
        </is>
      </c>
      <c r="E335" t="n">
        <v>7200</v>
      </c>
      <c r="H335" t="n">
        <v>4200</v>
      </c>
    </row>
    <row r="336">
      <c r="A336" t="n">
        <v>331</v>
      </c>
      <c r="B336" t="inlineStr">
        <is>
          <t>DXS</t>
        </is>
      </c>
      <c r="C336" t="inlineStr">
        <is>
          <t>Đất Xanh Services</t>
        </is>
      </c>
      <c r="D336" t="inlineStr">
        <is>
          <t>BĐS</t>
        </is>
      </c>
      <c r="E336">
        <f>IFERROR(INDEX('📡 LIVE PRICE FEED'!$D$4:$D$300,MATCH(A139,'📡 LIVE PRICE FEED'!$A$4:$A$300,0)),6500)</f>
        <v/>
      </c>
      <c r="F336" t="n">
        <v>1180</v>
      </c>
      <c r="G336" t="n">
        <v>7.2</v>
      </c>
      <c r="H336" t="n">
        <v>1500</v>
      </c>
    </row>
    <row r="337">
      <c r="A337" t="n">
        <v>332</v>
      </c>
      <c r="B337" t="inlineStr">
        <is>
          <t>CEO</t>
        </is>
      </c>
      <c r="C337" t="inlineStr">
        <is>
          <t>CEO Group</t>
        </is>
      </c>
      <c r="D337" t="inlineStr">
        <is>
          <t>BĐS</t>
        </is>
      </c>
      <c r="E337" t="n">
        <v>16700</v>
      </c>
      <c r="F337" t="n">
        <v>360</v>
      </c>
      <c r="G337" t="n">
        <v>3.1</v>
      </c>
      <c r="H337" t="n">
        <v>2800</v>
      </c>
    </row>
    <row r="338">
      <c r="A338" t="n">
        <v>333</v>
      </c>
      <c r="B338" t="inlineStr">
        <is>
          <t>TCH</t>
        </is>
      </c>
      <c r="C338" t="inlineStr">
        <is>
          <t>Thắng Lợi</t>
        </is>
      </c>
      <c r="D338" t="inlineStr">
        <is>
          <t>BĐS</t>
        </is>
      </c>
      <c r="E338" t="n">
        <v>15650</v>
      </c>
      <c r="F338" t="n">
        <v>1240</v>
      </c>
      <c r="G338" t="n">
        <v>6.5</v>
      </c>
      <c r="H338" t="n">
        <v>5500</v>
      </c>
    </row>
    <row r="339">
      <c r="A339" t="n">
        <v>334</v>
      </c>
      <c r="B339" t="inlineStr">
        <is>
          <t>HDC</t>
        </is>
      </c>
      <c r="C339" t="inlineStr">
        <is>
          <t>Hodeco</t>
        </is>
      </c>
      <c r="D339" t="inlineStr">
        <is>
          <t>BĐS</t>
        </is>
      </c>
      <c r="E339" t="n">
        <v>18000</v>
      </c>
      <c r="F339" t="n">
        <v>1980</v>
      </c>
      <c r="G339" t="n">
        <v>7.2</v>
      </c>
      <c r="H339" t="n">
        <v>3200</v>
      </c>
    </row>
    <row r="340">
      <c r="A340" t="n">
        <v>335</v>
      </c>
      <c r="B340" t="inlineStr">
        <is>
          <t>TIG</t>
        </is>
      </c>
      <c r="C340" t="inlineStr">
        <is>
          <t>TIG</t>
        </is>
      </c>
      <c r="D340" t="inlineStr">
        <is>
          <t>Đa ngành</t>
        </is>
      </c>
      <c r="E340" t="n">
        <v>7100</v>
      </c>
      <c r="F340" t="n">
        <v>640</v>
      </c>
      <c r="G340" t="n">
        <v>4.2</v>
      </c>
      <c r="H340" t="n">
        <v>1200</v>
      </c>
    </row>
    <row r="341">
      <c r="A341" t="n">
        <v>336</v>
      </c>
      <c r="B341" t="inlineStr">
        <is>
          <t>SCG</t>
        </is>
      </c>
      <c r="C341" t="inlineStr">
        <is>
          <t>SCG</t>
        </is>
      </c>
      <c r="D341" t="inlineStr">
        <is>
          <t>Đa ngành</t>
        </is>
      </c>
      <c r="E341">
        <f>IFERROR(INDEX('📡 LIVE PRICE FEED'!$D$4:$D$300,MATCH(A144,'📡 LIVE PRICE FEED'!$A$4:$A$300,0)),12500)</f>
        <v/>
      </c>
      <c r="H341" t="n">
        <v>2800</v>
      </c>
    </row>
    <row r="342">
      <c r="A342" t="n">
        <v>337</v>
      </c>
      <c r="B342" t="inlineStr">
        <is>
          <t>FMC</t>
        </is>
      </c>
      <c r="C342" t="inlineStr">
        <is>
          <t>Sao Ta Foods</t>
        </is>
      </c>
      <c r="D342" t="inlineStr">
        <is>
          <t>Thủy sản</t>
        </is>
      </c>
      <c r="E342" t="n">
        <v>35950</v>
      </c>
      <c r="F342" t="n">
        <v>3680</v>
      </c>
      <c r="G342" t="n">
        <v>13.5</v>
      </c>
      <c r="H342" t="n">
        <v>3800</v>
      </c>
    </row>
    <row r="343">
      <c r="A343" t="n">
        <v>338</v>
      </c>
      <c r="B343" t="inlineStr">
        <is>
          <t>MPC</t>
        </is>
      </c>
      <c r="C343" t="inlineStr">
        <is>
          <t>Minh Phú</t>
        </is>
      </c>
      <c r="D343" t="inlineStr">
        <is>
          <t>Thủy sản</t>
        </is>
      </c>
      <c r="E343" t="n">
        <v>15800</v>
      </c>
      <c r="F343" t="n">
        <v>1480</v>
      </c>
      <c r="G343" t="n">
        <v>5.8</v>
      </c>
      <c r="H343" t="n">
        <v>11000</v>
      </c>
    </row>
    <row r="344">
      <c r="A344" t="n">
        <v>339</v>
      </c>
      <c r="B344" t="inlineStr">
        <is>
          <t>ASM</t>
        </is>
      </c>
      <c r="C344" t="inlineStr">
        <is>
          <t>Sao Mai</t>
        </is>
      </c>
      <c r="D344" t="inlineStr">
        <is>
          <t>Thủy sản</t>
        </is>
      </c>
      <c r="E344" t="n">
        <v>5850</v>
      </c>
      <c r="F344" t="n">
        <v>1240</v>
      </c>
      <c r="G344" t="n">
        <v>7.4</v>
      </c>
      <c r="H344" t="n">
        <v>3500</v>
      </c>
    </row>
    <row r="345">
      <c r="A345" t="n">
        <v>340</v>
      </c>
      <c r="B345" t="inlineStr">
        <is>
          <t>IDI</t>
        </is>
      </c>
      <c r="C345" t="inlineStr">
        <is>
          <t>I.D.I</t>
        </is>
      </c>
      <c r="D345" t="inlineStr">
        <is>
          <t>Thủy sản</t>
        </is>
      </c>
      <c r="E345" t="n">
        <v>5750</v>
      </c>
      <c r="F345" t="n">
        <v>1240</v>
      </c>
      <c r="G345" t="n">
        <v>6.4</v>
      </c>
      <c r="H345" t="n">
        <v>2200</v>
      </c>
    </row>
    <row r="346">
      <c r="A346" t="n">
        <v>341</v>
      </c>
      <c r="B346" t="inlineStr">
        <is>
          <t>ABB</t>
        </is>
      </c>
      <c r="C346" t="inlineStr">
        <is>
          <t>An Bình</t>
        </is>
      </c>
      <c r="D346" t="inlineStr">
        <is>
          <t>Ngân hàng</t>
        </is>
      </c>
      <c r="E346">
        <f>IFERROR(INDEX('📡 LIVE PRICE FEED'!$D$4:$D$300,MATCH(A150,'📡 LIVE PRICE FEED'!$A$4:$A$300,0)),12500)</f>
        <v/>
      </c>
      <c r="F346" t="n">
        <v>1680</v>
      </c>
      <c r="G346" t="n">
        <v>11.5</v>
      </c>
      <c r="H346" t="n">
        <v>11000</v>
      </c>
    </row>
    <row r="347">
      <c r="A347" t="n">
        <v>342</v>
      </c>
      <c r="B347" t="inlineStr">
        <is>
          <t>SGB</t>
        </is>
      </c>
      <c r="C347" t="inlineStr">
        <is>
          <t>Saigonbank</t>
        </is>
      </c>
      <c r="D347" t="inlineStr">
        <is>
          <t>Ngân hàng</t>
        </is>
      </c>
      <c r="E347" t="n">
        <v>12200</v>
      </c>
      <c r="F347" t="n">
        <v>1240</v>
      </c>
      <c r="G347" t="n">
        <v>7.5</v>
      </c>
      <c r="H347" t="n">
        <v>4500</v>
      </c>
    </row>
    <row r="348">
      <c r="A348" t="n">
        <v>343</v>
      </c>
      <c r="B348" t="inlineStr">
        <is>
          <t>VAB</t>
        </is>
      </c>
      <c r="C348" t="inlineStr">
        <is>
          <t>VietABank</t>
        </is>
      </c>
      <c r="D348" t="inlineStr">
        <is>
          <t>Ngân hàng</t>
        </is>
      </c>
      <c r="E348" t="n">
        <v>10100</v>
      </c>
      <c r="F348" t="n">
        <v>1450</v>
      </c>
      <c r="G348" t="n">
        <v>9.5</v>
      </c>
      <c r="H348" t="n">
        <v>4200</v>
      </c>
    </row>
    <row r="349">
      <c r="A349" t="n">
        <v>344</v>
      </c>
      <c r="B349" t="inlineStr">
        <is>
          <t>BVB</t>
        </is>
      </c>
      <c r="C349" t="inlineStr">
        <is>
          <t>Bản Việt</t>
        </is>
      </c>
      <c r="D349" t="inlineStr">
        <is>
          <t>Ngân hàng</t>
        </is>
      </c>
      <c r="E349" t="n">
        <v>12200</v>
      </c>
      <c r="F349" t="n">
        <v>1080</v>
      </c>
      <c r="G349" t="n">
        <v>7.2</v>
      </c>
      <c r="H349" t="n">
        <v>5500</v>
      </c>
    </row>
    <row r="350">
      <c r="A350" t="n">
        <v>345</v>
      </c>
      <c r="B350" t="inlineStr">
        <is>
          <t>PGB</t>
        </is>
      </c>
      <c r="C350" t="inlineStr">
        <is>
          <t>PG Bank</t>
        </is>
      </c>
      <c r="D350" t="inlineStr">
        <is>
          <t>Ngân hàng</t>
        </is>
      </c>
      <c r="E350" t="n">
        <v>11000</v>
      </c>
      <c r="F350" t="n">
        <v>1320</v>
      </c>
      <c r="G350" t="n">
        <v>9.199999999999999</v>
      </c>
      <c r="H350" t="n">
        <v>2800</v>
      </c>
    </row>
    <row r="351">
      <c r="A351" t="n">
        <v>346</v>
      </c>
      <c r="B351" t="inlineStr">
        <is>
          <t>NAB</t>
        </is>
      </c>
      <c r="C351" t="inlineStr">
        <is>
          <t>Nam Á</t>
        </is>
      </c>
      <c r="D351" t="inlineStr">
        <is>
          <t>Ngân hàng</t>
        </is>
      </c>
      <c r="E351" t="n">
        <v>12300</v>
      </c>
      <c r="F351" t="n">
        <v>2940</v>
      </c>
      <c r="G351" t="n">
        <v>21.5</v>
      </c>
      <c r="H351" t="n">
        <v>7500</v>
      </c>
    </row>
    <row r="352">
      <c r="A352" t="n">
        <v>347</v>
      </c>
      <c r="B352" t="inlineStr">
        <is>
          <t>BAB</t>
        </is>
      </c>
      <c r="C352" t="inlineStr">
        <is>
          <t>Bắc Á</t>
        </is>
      </c>
      <c r="D352" t="inlineStr">
        <is>
          <t>Ngân hàng</t>
        </is>
      </c>
      <c r="E352" t="n">
        <v>11100</v>
      </c>
      <c r="H352" t="n">
        <v>8200</v>
      </c>
    </row>
    <row r="353">
      <c r="A353" t="n">
        <v>348</v>
      </c>
      <c r="B353" t="inlineStr">
        <is>
          <t>KLB</t>
        </is>
      </c>
      <c r="C353" t="inlineStr">
        <is>
          <t>Kiên Long</t>
        </is>
      </c>
      <c r="D353" t="inlineStr">
        <is>
          <t>Ngân hàng</t>
        </is>
      </c>
      <c r="E353" t="n">
        <v>14050</v>
      </c>
      <c r="F353" t="n">
        <v>1480</v>
      </c>
      <c r="G353" t="n">
        <v>10.5</v>
      </c>
      <c r="H353" t="n">
        <v>3500</v>
      </c>
    </row>
    <row r="354">
      <c r="A354" t="n">
        <v>349</v>
      </c>
      <c r="B354" t="inlineStr">
        <is>
          <t>VBB</t>
        </is>
      </c>
      <c r="C354" t="inlineStr">
        <is>
          <t>VietBank</t>
        </is>
      </c>
      <c r="D354" t="inlineStr">
        <is>
          <t>Ngân hàng</t>
        </is>
      </c>
      <c r="E354" t="n">
        <v>13000</v>
      </c>
      <c r="H354" t="n">
        <v>4200</v>
      </c>
    </row>
    <row r="355">
      <c r="A355" t="n">
        <v>350</v>
      </c>
      <c r="B355" t="inlineStr">
        <is>
          <t>FE CREDIT</t>
        </is>
      </c>
      <c r="C355" t="inlineStr">
        <is>
          <t>FE Credit</t>
        </is>
      </c>
      <c r="D355" t="inlineStr">
        <is>
          <t>Cho vay TD</t>
        </is>
      </c>
      <c r="E355">
        <f>IFERROR(INDEX('📡 LIVE PRICE FEED'!$D$4:$D$300,MATCH(A159,'📡 LIVE PRICE FEED'!$A$4:$A$300,0)),0)</f>
        <v/>
      </c>
    </row>
    <row r="356">
      <c r="A356" t="n">
        <v>351</v>
      </c>
      <c r="B356" t="inlineStr">
        <is>
          <t>HCM FINANCE</t>
        </is>
      </c>
      <c r="C356" t="inlineStr">
        <is>
          <t>HCM Finance</t>
        </is>
      </c>
      <c r="D356" t="inlineStr">
        <is>
          <t>Cho vay TD</t>
        </is>
      </c>
      <c r="E356">
        <f>IFERROR(INDEX('📡 LIVE PRICE FEED'!$D$4:$D$300,MATCH(A160,'📡 LIVE PRICE FEED'!$A$4:$A$300,0)),0)</f>
        <v/>
      </c>
    </row>
    <row r="357">
      <c r="A357" t="n">
        <v>352</v>
      </c>
      <c r="B357" t="inlineStr">
        <is>
          <t>SBT</t>
        </is>
      </c>
      <c r="C357" t="inlineStr">
        <is>
          <t>Sài Gòn Sugar</t>
        </is>
      </c>
      <c r="D357" t="inlineStr">
        <is>
          <t>Đường</t>
        </is>
      </c>
      <c r="E357" t="n">
        <v>21150</v>
      </c>
      <c r="F357" t="n">
        <v>1240</v>
      </c>
      <c r="G357" t="n">
        <v>6.5</v>
      </c>
      <c r="H357" t="n">
        <v>8500</v>
      </c>
    </row>
    <row r="358">
      <c r="A358" t="n">
        <v>353</v>
      </c>
      <c r="B358" t="inlineStr">
        <is>
          <t>SLS</t>
        </is>
      </c>
      <c r="C358" t="inlineStr">
        <is>
          <t>Đường Sơn La</t>
        </is>
      </c>
      <c r="D358" t="inlineStr">
        <is>
          <t>Đường</t>
        </is>
      </c>
      <c r="E358">
        <f>IFERROR(INDEX('📡 LIVE PRICE FEED'!$D$4:$D$300,MATCH(A163,'📡 LIVE PRICE FEED'!$A$4:$A$300,0)),158000)</f>
        <v/>
      </c>
      <c r="F358" t="n">
        <v>4240</v>
      </c>
      <c r="G358" t="n">
        <v>13.5</v>
      </c>
      <c r="H358" t="n">
        <v>1800</v>
      </c>
    </row>
    <row r="359">
      <c r="A359" t="n">
        <v>354</v>
      </c>
      <c r="B359" t="inlineStr">
        <is>
          <t>LSS</t>
        </is>
      </c>
      <c r="C359" t="inlineStr">
        <is>
          <t>Lam Sơn Sugar</t>
        </is>
      </c>
      <c r="D359" t="inlineStr">
        <is>
          <t>Đường</t>
        </is>
      </c>
      <c r="E359" t="n">
        <v>8260</v>
      </c>
      <c r="F359" t="n">
        <v>640</v>
      </c>
      <c r="G359" t="n">
        <v>3.8</v>
      </c>
      <c r="H359" t="n">
        <v>2200</v>
      </c>
    </row>
    <row r="360">
      <c r="A360" t="n">
        <v>355</v>
      </c>
      <c r="B360" t="inlineStr">
        <is>
          <t>BHN</t>
        </is>
      </c>
      <c r="C360" t="inlineStr">
        <is>
          <t>Habeco</t>
        </is>
      </c>
      <c r="D360" t="inlineStr">
        <is>
          <t>Bia</t>
        </is>
      </c>
      <c r="E360" t="n">
        <v>29250</v>
      </c>
      <c r="F360" t="n">
        <v>3140</v>
      </c>
      <c r="G360" t="n">
        <v>10.5</v>
      </c>
      <c r="H360" t="n">
        <v>18000</v>
      </c>
    </row>
    <row r="361">
      <c r="A361" t="n">
        <v>356</v>
      </c>
      <c r="B361" t="inlineStr">
        <is>
          <t>SDA</t>
        </is>
      </c>
      <c r="C361" t="inlineStr">
        <is>
          <t>Sông Đà</t>
        </is>
      </c>
      <c r="D361" t="inlineStr">
        <is>
          <t>Xây dựng</t>
        </is>
      </c>
      <c r="E361" t="n">
        <v>1500</v>
      </c>
      <c r="H361" t="n">
        <v>8500</v>
      </c>
    </row>
    <row r="362">
      <c r="A362" t="n">
        <v>357</v>
      </c>
      <c r="B362" t="inlineStr">
        <is>
          <t>SD5</t>
        </is>
      </c>
      <c r="C362" t="inlineStr">
        <is>
          <t>Sông Đà 5</t>
        </is>
      </c>
      <c r="D362" t="inlineStr">
        <is>
          <t>Xây dựng</t>
        </is>
      </c>
      <c r="E362">
        <f>IFERROR(INDEX('📡 LIVE PRICE FEED'!$D$4:$D$300,MATCH(A167,'📡 LIVE PRICE FEED'!$A$4:$A$300,0)),8500)</f>
        <v/>
      </c>
      <c r="H362" t="n">
        <v>2200</v>
      </c>
    </row>
    <row r="363">
      <c r="A363" t="n">
        <v>358</v>
      </c>
      <c r="B363" t="inlineStr">
        <is>
          <t>GMC</t>
        </is>
      </c>
      <c r="C363" t="inlineStr">
        <is>
          <t>Gilimex</t>
        </is>
      </c>
      <c r="D363" t="inlineStr">
        <is>
          <t>Dệt may</t>
        </is>
      </c>
      <c r="E363" t="n">
        <v>4800</v>
      </c>
      <c r="H363" t="n">
        <v>2200</v>
      </c>
    </row>
    <row r="364">
      <c r="A364" t="n">
        <v>359</v>
      </c>
      <c r="B364" t="inlineStr">
        <is>
          <t>VGT</t>
        </is>
      </c>
      <c r="C364" t="inlineStr">
        <is>
          <t>Vinatex</t>
        </is>
      </c>
      <c r="D364" t="inlineStr">
        <is>
          <t>Dệt may</t>
        </is>
      </c>
      <c r="E364" t="n">
        <v>11700</v>
      </c>
      <c r="H364" t="n">
        <v>4500</v>
      </c>
    </row>
    <row r="365">
      <c r="A365" t="n">
        <v>360</v>
      </c>
      <c r="B365" t="inlineStr">
        <is>
          <t>CMX</t>
        </is>
      </c>
      <c r="C365" t="inlineStr">
        <is>
          <t>Camimex</t>
        </is>
      </c>
      <c r="D365" t="inlineStr">
        <is>
          <t>Thực phẩm</t>
        </is>
      </c>
      <c r="E365" t="n">
        <v>5740</v>
      </c>
      <c r="F365" t="n">
        <v>1240</v>
      </c>
      <c r="G365" t="n">
        <v>7.5</v>
      </c>
      <c r="H365" t="n">
        <v>1200</v>
      </c>
    </row>
    <row r="366">
      <c r="A366" t="n">
        <v>361</v>
      </c>
      <c r="B366" t="inlineStr">
        <is>
          <t>ITD</t>
        </is>
      </c>
      <c r="C366" t="inlineStr">
        <is>
          <t>ITD</t>
        </is>
      </c>
      <c r="D366" t="inlineStr">
        <is>
          <t>Công nghệ</t>
        </is>
      </c>
      <c r="E366" t="n">
        <v>16100</v>
      </c>
      <c r="F366" t="n">
        <v>1380</v>
      </c>
      <c r="G366" t="n">
        <v>8.5</v>
      </c>
      <c r="H366" t="n">
        <v>3200</v>
      </c>
    </row>
    <row r="367">
      <c r="A367" t="n">
        <v>362</v>
      </c>
      <c r="B367" t="inlineStr">
        <is>
          <t>VLA</t>
        </is>
      </c>
      <c r="C367" t="inlineStr">
        <is>
          <t>Viễn Liên</t>
        </is>
      </c>
      <c r="D367" t="inlineStr">
        <is>
          <t>CN viễn thông</t>
        </is>
      </c>
      <c r="E367">
        <f>IFERROR(INDEX('📡 LIVE PRICE FEED'!$D$4:$D$300,MATCH(A172,'📡 LIVE PRICE FEED'!$A$4:$A$300,0)),12500)</f>
        <v/>
      </c>
      <c r="H367" t="n">
        <v>1500</v>
      </c>
    </row>
    <row r="368">
      <c r="A368" t="n">
        <v>363</v>
      </c>
      <c r="B368" t="inlineStr">
        <is>
          <t>TYA</t>
        </is>
      </c>
      <c r="C368" t="inlineStr">
        <is>
          <t>Taya</t>
        </is>
      </c>
      <c r="D368" t="inlineStr">
        <is>
          <t>CN viễn thông</t>
        </is>
      </c>
      <c r="E368">
        <f>IFERROR(INDEX('📡 LIVE PRICE FEED'!$D$4:$D$300,MATCH(A173,'📡 LIVE PRICE FEED'!$A$4:$A$300,0)),22500)</f>
        <v/>
      </c>
      <c r="H368" t="n">
        <v>2800</v>
      </c>
    </row>
    <row r="369">
      <c r="A369" t="n">
        <v>364</v>
      </c>
      <c r="B369" t="inlineStr">
        <is>
          <t>VFC</t>
        </is>
      </c>
      <c r="C369" t="inlineStr">
        <is>
          <t>VietFranchise</t>
        </is>
      </c>
      <c r="D369" t="inlineStr">
        <is>
          <t>Tài chính</t>
        </is>
      </c>
      <c r="E369" t="n">
        <v>104000</v>
      </c>
      <c r="H369" t="n">
        <v>3500</v>
      </c>
    </row>
    <row r="370">
      <c r="A370" t="n">
        <v>365</v>
      </c>
      <c r="B370" t="inlineStr">
        <is>
          <t>TIN</t>
        </is>
      </c>
      <c r="C370" t="inlineStr">
        <is>
          <t>VPS Finance</t>
        </is>
      </c>
      <c r="D370" t="inlineStr">
        <is>
          <t>Tài chính</t>
        </is>
      </c>
      <c r="E370">
        <f>IFERROR(INDEX('📡 LIVE PRICE FEED'!$D$4:$D$300,MATCH(A175,'📡 LIVE PRICE FEED'!$A$4:$A$300,0)),8500)</f>
        <v/>
      </c>
      <c r="H370" t="n">
        <v>2200</v>
      </c>
    </row>
    <row r="371">
      <c r="A371" t="n">
        <v>366</v>
      </c>
      <c r="B371" t="inlineStr">
        <is>
          <t>VEA</t>
        </is>
      </c>
      <c r="C371" t="inlineStr">
        <is>
          <t>VEAM</t>
        </is>
      </c>
      <c r="D371" t="inlineStr">
        <is>
          <t>Cơ khí</t>
        </is>
      </c>
      <c r="E371">
        <f>IFERROR(INDEX('📡 LIVE PRICE FEED'!$D$4:$D$300,MATCH(A176,'📡 LIVE PRICE FEED'!$A$4:$A$300,0)),58500)</f>
        <v/>
      </c>
      <c r="F371" t="n">
        <v>6840</v>
      </c>
      <c r="G371" t="n">
        <v>16.5</v>
      </c>
      <c r="H371" t="n">
        <v>77000</v>
      </c>
    </row>
    <row r="372">
      <c r="A372" t="n">
        <v>367</v>
      </c>
      <c r="B372" t="inlineStr">
        <is>
          <t>PHN</t>
        </is>
      </c>
      <c r="C372" t="inlineStr">
        <is>
          <t>PHN</t>
        </is>
      </c>
      <c r="D372" t="inlineStr">
        <is>
          <t>Cơ khí</t>
        </is>
      </c>
      <c r="E372">
        <f>IFERROR(INDEX('📡 LIVE PRICE FEED'!$D$4:$D$300,MATCH(A177,'📡 LIVE PRICE FEED'!$A$4:$A$300,0)),12500)</f>
        <v/>
      </c>
      <c r="H372" t="n">
        <v>2200</v>
      </c>
    </row>
    <row r="373">
      <c r="A373" t="n">
        <v>368</v>
      </c>
      <c r="B373" t="inlineStr">
        <is>
          <t>YEG</t>
        </is>
      </c>
      <c r="C373" t="inlineStr">
        <is>
          <t>Yeah1</t>
        </is>
      </c>
      <c r="D373" t="inlineStr">
        <is>
          <t>Truyền thông</t>
        </is>
      </c>
      <c r="E373">
        <f>IFERROR(INDEX('📡 LIVE PRICE FEED'!$D$4:$D$300,MATCH(A178,'📡 LIVE PRICE FEED'!$A$4:$A$300,0)),8500)</f>
        <v/>
      </c>
      <c r="H373" t="n">
        <v>1500</v>
      </c>
    </row>
    <row r="374">
      <c r="A374" t="n">
        <v>369</v>
      </c>
      <c r="B374" t="inlineStr">
        <is>
          <t>VTV</t>
        </is>
      </c>
      <c r="C374" t="inlineStr">
        <is>
          <t>Truyền hình VN</t>
        </is>
      </c>
      <c r="D374" t="inlineStr">
        <is>
          <t>Truyền thông</t>
        </is>
      </c>
      <c r="E374">
        <f>IFERROR(INDEX('📡 LIVE PRICE FEED'!$D$4:$D$300,MATCH(A180,'📡 LIVE PRICE FEED'!$A$4:$A$300,0)),22500)</f>
        <v/>
      </c>
      <c r="F374" t="n">
        <v>1240</v>
      </c>
      <c r="G374" t="n">
        <v>8.5</v>
      </c>
      <c r="H374" t="n">
        <v>4500</v>
      </c>
    </row>
    <row r="375">
      <c r="A375" t="n">
        <v>370</v>
      </c>
      <c r="B375" t="inlineStr">
        <is>
          <t>VEC</t>
        </is>
      </c>
      <c r="C375" t="inlineStr">
        <is>
          <t>VEC</t>
        </is>
      </c>
      <c r="D375" t="inlineStr">
        <is>
          <t>Hạ tầng</t>
        </is>
      </c>
      <c r="E375">
        <f>IFERROR(INDEX('📡 LIVE PRICE FEED'!$D$4:$D$300,MATCH(A181,'📡 LIVE PRICE FEED'!$A$4:$A$300,0)),12500)</f>
        <v/>
      </c>
      <c r="H375" t="n">
        <v>5500</v>
      </c>
    </row>
    <row r="376">
      <c r="A376" t="n">
        <v>371</v>
      </c>
      <c r="B376" t="inlineStr">
        <is>
          <t>VGC</t>
        </is>
      </c>
      <c r="C376" t="inlineStr">
        <is>
          <t>Viglacera</t>
        </is>
      </c>
      <c r="D376" t="inlineStr">
        <is>
          <t>VLXD + KCN</t>
        </is>
      </c>
      <c r="E376" t="n">
        <v>43000</v>
      </c>
      <c r="F376" t="n">
        <v>2640</v>
      </c>
      <c r="G376" t="n">
        <v>11.5</v>
      </c>
      <c r="H376" t="n">
        <v>28500</v>
      </c>
    </row>
    <row r="377">
      <c r="A377" t="n">
        <v>372</v>
      </c>
      <c r="B377" t="inlineStr">
        <is>
          <t>D2D</t>
        </is>
      </c>
      <c r="C377" t="inlineStr">
        <is>
          <t>D2D</t>
        </is>
      </c>
      <c r="D377" t="inlineStr">
        <is>
          <t>BĐS</t>
        </is>
      </c>
      <c r="E377" t="n">
        <v>33250</v>
      </c>
      <c r="F377" t="n">
        <v>4240</v>
      </c>
      <c r="G377" t="n">
        <v>15.5</v>
      </c>
      <c r="H377" t="n">
        <v>2800</v>
      </c>
    </row>
    <row r="378">
      <c r="A378" t="n">
        <v>373</v>
      </c>
      <c r="B378" t="inlineStr">
        <is>
          <t>NDN</t>
        </is>
      </c>
      <c r="C378" t="inlineStr">
        <is>
          <t>NDN</t>
        </is>
      </c>
      <c r="D378" t="inlineStr">
        <is>
          <t>BĐS</t>
        </is>
      </c>
      <c r="E378">
        <f>IFERROR(INDEX('📡 LIVE PRICE FEED'!$D$4:$D$300,MATCH(A184,'📡 LIVE PRICE FEED'!$A$4:$A$300,0)),12500)</f>
        <v/>
      </c>
      <c r="F378" t="n">
        <v>2240</v>
      </c>
      <c r="G378" t="n">
        <v>10.5</v>
      </c>
      <c r="H378" t="n">
        <v>1500</v>
      </c>
    </row>
    <row r="379">
      <c r="A379" t="n">
        <v>374</v>
      </c>
      <c r="B379" t="inlineStr">
        <is>
          <t>TDC</t>
        </is>
      </c>
      <c r="C379" t="inlineStr">
        <is>
          <t>TDC</t>
        </is>
      </c>
      <c r="D379" t="inlineStr">
        <is>
          <t>BĐS</t>
        </is>
      </c>
      <c r="E379" t="n">
        <v>10850</v>
      </c>
      <c r="F379" t="n">
        <v>1840</v>
      </c>
      <c r="G379" t="n">
        <v>9.5</v>
      </c>
      <c r="H379" t="n">
        <v>2200</v>
      </c>
    </row>
    <row r="380">
      <c r="A380" t="n">
        <v>375</v>
      </c>
      <c r="B380" t="inlineStr">
        <is>
          <t>TDM</t>
        </is>
      </c>
      <c r="C380" t="inlineStr">
        <is>
          <t>TDM</t>
        </is>
      </c>
      <c r="D380" t="inlineStr">
        <is>
          <t>Cấp nước</t>
        </is>
      </c>
      <c r="E380">
        <f>IFERROR(INDEX('📡 LIVE PRICE FEED'!$D$4:$D$300,MATCH(A186,'📡 LIVE PRICE FEED'!$A$4:$A$300,0)),32500)</f>
        <v/>
      </c>
      <c r="F380" t="n">
        <v>1840</v>
      </c>
      <c r="G380" t="n">
        <v>11.5</v>
      </c>
      <c r="H380" t="n">
        <v>3800</v>
      </c>
    </row>
    <row r="381">
      <c r="A381" t="n">
        <v>376</v>
      </c>
      <c r="B381" t="inlineStr">
        <is>
          <t>BWE</t>
        </is>
      </c>
      <c r="C381" t="inlineStr">
        <is>
          <t>Bình Dương Water</t>
        </is>
      </c>
      <c r="D381" t="inlineStr">
        <is>
          <t>Cấp nước</t>
        </is>
      </c>
      <c r="E381" t="n">
        <v>44000</v>
      </c>
      <c r="F381" t="n">
        <v>2840</v>
      </c>
      <c r="G381" t="n">
        <v>13.5</v>
      </c>
      <c r="H381" t="n">
        <v>7800</v>
      </c>
    </row>
    <row r="382">
      <c r="A382" t="n">
        <v>377</v>
      </c>
      <c r="B382" t="inlineStr">
        <is>
          <t>DNW</t>
        </is>
      </c>
      <c r="C382" t="inlineStr">
        <is>
          <t>Đồng Nai Water</t>
        </is>
      </c>
      <c r="D382" t="inlineStr">
        <is>
          <t>Cấp nước</t>
        </is>
      </c>
      <c r="E382">
        <f>IFERROR(INDEX('📡 LIVE PRICE FEED'!$D$4:$D$300,MATCH(A188,'📡 LIVE PRICE FEED'!$A$4:$A$300,0)),22500)</f>
        <v/>
      </c>
      <c r="F382" t="n">
        <v>2480</v>
      </c>
      <c r="G382" t="n">
        <v>10.5</v>
      </c>
      <c r="H382" t="n">
        <v>3500</v>
      </c>
    </row>
    <row r="383">
      <c r="A383" t="n">
        <v>378</v>
      </c>
      <c r="B383" t="inlineStr">
        <is>
          <t>NTW</t>
        </is>
      </c>
      <c r="C383" t="inlineStr">
        <is>
          <t>Nhà Bè Water</t>
        </is>
      </c>
      <c r="D383" t="inlineStr">
        <is>
          <t>Cấp nước</t>
        </is>
      </c>
      <c r="E383">
        <f>IFERROR(INDEX('📡 LIVE PRICE FEED'!$D$4:$D$300,MATCH(A189,'📡 LIVE PRICE FEED'!$A$4:$A$300,0)),32500)</f>
        <v/>
      </c>
      <c r="F383" t="n">
        <v>1840</v>
      </c>
      <c r="G383" t="n">
        <v>9.5</v>
      </c>
      <c r="H383" t="n">
        <v>2200</v>
      </c>
    </row>
    <row r="384">
      <c r="A384" t="n">
        <v>379</v>
      </c>
      <c r="B384" t="inlineStr">
        <is>
          <t>HND</t>
        </is>
      </c>
      <c r="C384" t="inlineStr">
        <is>
          <t>Hải Nguyên</t>
        </is>
      </c>
      <c r="D384" t="inlineStr">
        <is>
          <t>Điện gió</t>
        </is>
      </c>
      <c r="E384" t="n">
        <v>10700</v>
      </c>
      <c r="F384" t="n">
        <v>2180</v>
      </c>
      <c r="G384" t="n">
        <v>13.4</v>
      </c>
      <c r="H384" t="n">
        <v>3200</v>
      </c>
    </row>
    <row r="385">
      <c r="A385" t="n">
        <v>380</v>
      </c>
      <c r="B385" t="inlineStr">
        <is>
          <t>LBM</t>
        </is>
      </c>
      <c r="C385" t="inlineStr">
        <is>
          <t>Lâm Đồng</t>
        </is>
      </c>
      <c r="D385" t="inlineStr">
        <is>
          <t>Bauxit</t>
        </is>
      </c>
      <c r="E385">
        <f>IFERROR(INDEX('📡 LIVE PRICE FEED'!$D$4:$D$300,MATCH(A191,'📡 LIVE PRICE FEED'!$A$4:$A$300,0)),8500)</f>
        <v/>
      </c>
      <c r="F385" t="n">
        <v>1840</v>
      </c>
      <c r="G385" t="n">
        <v>9.5</v>
      </c>
      <c r="H385" t="n">
        <v>1500</v>
      </c>
    </row>
    <row r="386">
      <c r="A386" t="n">
        <v>381</v>
      </c>
      <c r="B386" t="inlineStr">
        <is>
          <t>SGN</t>
        </is>
      </c>
      <c r="C386" t="inlineStr">
        <is>
          <t>Sài Gòn Ground</t>
        </is>
      </c>
      <c r="D386" t="inlineStr">
        <is>
          <t>DV mặt đất</t>
        </is>
      </c>
      <c r="E386" t="n">
        <v>51900</v>
      </c>
      <c r="F386" t="n">
        <v>5840</v>
      </c>
      <c r="G386" t="n">
        <v>22.5</v>
      </c>
      <c r="H386" t="n">
        <v>3800</v>
      </c>
    </row>
    <row r="387">
      <c r="A387" t="n">
        <v>382</v>
      </c>
      <c r="B387" t="inlineStr">
        <is>
          <t>VNG</t>
        </is>
      </c>
      <c r="C387" t="inlineStr">
        <is>
          <t>VNG</t>
        </is>
      </c>
      <c r="D387" t="inlineStr">
        <is>
          <t>CN giải trí</t>
        </is>
      </c>
      <c r="E387">
        <f>IFERROR(INDEX('📡 LIVE PRICE FEED'!$D$4:$D$300,MATCH(A193,'📡 LIVE PRICE FEED'!$A$4:$A$300,0)),358000)</f>
        <v/>
      </c>
      <c r="H387" t="n">
        <v>18000</v>
      </c>
    </row>
    <row r="388">
      <c r="A388" t="n">
        <v>383</v>
      </c>
      <c r="B388" t="inlineStr">
        <is>
          <t>HT1</t>
        </is>
      </c>
      <c r="C388" t="inlineStr">
        <is>
          <t>Xi măng Hà Tiên</t>
        </is>
      </c>
      <c r="D388" t="inlineStr">
        <is>
          <t>Xi măng</t>
        </is>
      </c>
      <c r="E388">
        <f>IFERROR(INDEX('📡 LIVE PRICE FEED'!$D$4:$D$300,MATCH(A194,'📡 LIVE PRICE FEED'!$A$4:$A$300,0)),12500)</f>
        <v/>
      </c>
      <c r="F388" t="n">
        <v>1240</v>
      </c>
      <c r="G388" t="n">
        <v>7.5</v>
      </c>
      <c r="H388" t="n">
        <v>4500</v>
      </c>
    </row>
    <row r="389">
      <c r="A389" t="n">
        <v>384</v>
      </c>
      <c r="B389" t="inlineStr">
        <is>
          <t>BCC</t>
        </is>
      </c>
      <c r="C389" t="inlineStr">
        <is>
          <t>Bỉm Sơn</t>
        </is>
      </c>
      <c r="D389" t="inlineStr">
        <is>
          <t>Xi măng</t>
        </is>
      </c>
      <c r="E389">
        <f>IFERROR(INDEX('📡 LIVE PRICE FEED'!$D$4:$D$300,MATCH(A195,'📡 LIVE PRICE FEED'!$A$4:$A$300,0)),8500)</f>
        <v/>
      </c>
      <c r="F389" t="n">
        <v>640</v>
      </c>
      <c r="G389" t="n">
        <v>3.5</v>
      </c>
      <c r="H389" t="n">
        <v>1200</v>
      </c>
    </row>
    <row r="390">
      <c r="A390" t="n">
        <v>385</v>
      </c>
      <c r="B390" t="inlineStr">
        <is>
          <t>HOM</t>
        </is>
      </c>
      <c r="C390" t="inlineStr">
        <is>
          <t>Hoàng Mai</t>
        </is>
      </c>
      <c r="D390" t="inlineStr">
        <is>
          <t>Xi măng</t>
        </is>
      </c>
      <c r="E390">
        <f>IFERROR(INDEX('📡 LIVE PRICE FEED'!$D$4:$D$300,MATCH(A196,'📡 LIVE PRICE FEED'!$A$4:$A$300,0)),5500)</f>
        <v/>
      </c>
      <c r="F390" t="n">
        <v>1240</v>
      </c>
      <c r="G390" t="n">
        <v>7.5</v>
      </c>
      <c r="H390" t="n">
        <v>800</v>
      </c>
    </row>
    <row r="391">
      <c r="A391" t="n">
        <v>386</v>
      </c>
      <c r="B391" t="inlineStr">
        <is>
          <t>DRC</t>
        </is>
      </c>
      <c r="C391" t="inlineStr">
        <is>
          <t>Cao su Đà Nẵng</t>
        </is>
      </c>
      <c r="D391" t="inlineStr">
        <is>
          <t>Lốp xe</t>
        </is>
      </c>
      <c r="E391">
        <f>IFERROR(INDEX('📡 LIVE PRICE FEED'!$D$4:$D$300,MATCH(A197,'📡 LIVE PRICE FEED'!$A$4:$A$300,0)),38500)</f>
        <v/>
      </c>
      <c r="F391" t="n">
        <v>2840</v>
      </c>
      <c r="G391" t="n">
        <v>14.5</v>
      </c>
      <c r="H391" t="n">
        <v>4500</v>
      </c>
    </row>
    <row r="392">
      <c r="A392" t="n">
        <v>387</v>
      </c>
      <c r="B392" t="inlineStr">
        <is>
          <t>CSM</t>
        </is>
      </c>
      <c r="C392" t="inlineStr">
        <is>
          <t>CSM</t>
        </is>
      </c>
      <c r="D392" t="inlineStr">
        <is>
          <t>Cao su</t>
        </is>
      </c>
      <c r="E392">
        <f>IFERROR(INDEX('📡 LIVE PRICE FEED'!$D$4:$D$300,MATCH(A198,'📡 LIVE PRICE FEED'!$A$4:$A$300,0)),8500)</f>
        <v/>
      </c>
      <c r="F392" t="n">
        <v>1180</v>
      </c>
      <c r="G392" t="n">
        <v>7.5</v>
      </c>
      <c r="H392" t="n">
        <v>2200</v>
      </c>
    </row>
    <row r="393">
      <c r="A393" t="n">
        <v>388</v>
      </c>
      <c r="B393" t="inlineStr">
        <is>
          <t>E1VFVN30</t>
        </is>
      </c>
      <c r="C393" t="inlineStr">
        <is>
          <t>VFMVN30 ETF</t>
        </is>
      </c>
      <c r="D393" t="inlineStr">
        <is>
          <t>ETF</t>
        </is>
      </c>
      <c r="E393">
        <f>IFERROR(INDEX('📡 LIVE PRICE FEED'!$D$4:$D$300,MATCH(A199,'📡 LIVE PRICE FEED'!$A$4:$A$300,0)),23500)</f>
        <v/>
      </c>
      <c r="H393" t="n">
        <v>8500</v>
      </c>
    </row>
    <row r="394">
      <c r="A394" t="n">
        <v>389</v>
      </c>
      <c r="B394" t="inlineStr">
        <is>
          <t>FUEVFVND</t>
        </is>
      </c>
      <c r="C394" t="inlineStr">
        <is>
          <t>VFMVN Diamond ETF</t>
        </is>
      </c>
      <c r="D394" t="inlineStr">
        <is>
          <t>ETF</t>
        </is>
      </c>
      <c r="E394">
        <f>IFERROR(INDEX('📡 LIVE PRICE FEED'!$D$4:$D$300,MATCH(A200,'📡 LIVE PRICE FEED'!$A$4:$A$300,0)),32500)</f>
        <v/>
      </c>
      <c r="H394" t="n">
        <v>12000</v>
      </c>
    </row>
    <row r="395">
      <c r="A395" t="n">
        <v>390</v>
      </c>
      <c r="B395" t="inlineStr">
        <is>
          <t>FUEMAV30</t>
        </is>
      </c>
      <c r="C395" t="inlineStr">
        <is>
          <t>MAFM VN30 ETF</t>
        </is>
      </c>
      <c r="D395" t="inlineStr">
        <is>
          <t>ETF</t>
        </is>
      </c>
      <c r="E395">
        <f>IFERROR(INDEX('📡 LIVE PRICE FEED'!$D$4:$D$300,MATCH(A201,'📡 LIVE PRICE FEED'!$A$4:$A$300,0)),22500)</f>
        <v/>
      </c>
      <c r="H395" t="n">
        <v>2200</v>
      </c>
    </row>
    <row r="396">
      <c r="A396" t="n">
        <v>391</v>
      </c>
      <c r="B396" t="inlineStr">
        <is>
          <t>FUESSVFL</t>
        </is>
      </c>
      <c r="C396" t="inlineStr">
        <is>
          <t>SSI VNFin Lead ETF</t>
        </is>
      </c>
      <c r="D396" t="inlineStr">
        <is>
          <t>ETF</t>
        </is>
      </c>
      <c r="E396">
        <f>IFERROR(INDEX('📡 LIVE PRICE FEED'!$D$4:$D$300,MATCH(A202,'📡 LIVE PRICE FEED'!$A$4:$A$300,0)),32500)</f>
        <v/>
      </c>
      <c r="H396" t="n">
        <v>3500</v>
      </c>
    </row>
    <row r="397">
      <c r="A397" t="n">
        <v>392</v>
      </c>
      <c r="B397" t="inlineStr">
        <is>
          <t>SSB</t>
        </is>
      </c>
      <c r="C397" t="inlineStr">
        <is>
          <t>SeABank</t>
        </is>
      </c>
      <c r="D397" t="inlineStr">
        <is>
          <t>Ngân hàng</t>
        </is>
      </c>
      <c r="E397" t="n">
        <v>16700</v>
      </c>
      <c r="F397" t="n">
        <v>1840</v>
      </c>
      <c r="G397" t="n">
        <v>11.5</v>
      </c>
      <c r="H397" t="n">
        <v>28500</v>
      </c>
    </row>
    <row r="398">
      <c r="A398" t="n">
        <v>393</v>
      </c>
      <c r="B398" t="inlineStr">
        <is>
          <t>AGG</t>
        </is>
      </c>
      <c r="C398" t="inlineStr">
        <is>
          <t>An Gia Group</t>
        </is>
      </c>
      <c r="D398" t="inlineStr">
        <is>
          <t>BĐS</t>
        </is>
      </c>
      <c r="E398" t="n">
        <v>11950</v>
      </c>
      <c r="F398" t="n">
        <v>1240</v>
      </c>
      <c r="G398" t="n">
        <v>7.5</v>
      </c>
      <c r="H398" t="n">
        <v>4800</v>
      </c>
    </row>
  </sheetData>
  <mergeCells count="3">
    <mergeCell ref="A3:N3"/>
    <mergeCell ref="A2:N2"/>
    <mergeCell ref="A1:N1"/>
  </mergeCells>
  <conditionalFormatting sqref="L6:L203">
    <cfRule type="expression" priority="2" dxfId="2">
      <formula>$L6="🔴 CỜ ĐỎ"</formula>
    </cfRule>
    <cfRule type="expression" priority="3" dxfId="1">
      <formula>$L6="🟢 Sạch"</formula>
    </cfRule>
    <cfRule type="expression" priority="4" dxfId="0">
      <formula>$L6="🟡 Theo dõi"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8" customWidth="1" style="981" min="2" max="2"/>
    <col width="18" customWidth="1" style="981" min="3" max="3"/>
    <col width="10" customWidth="1" style="981" min="4" max="4"/>
    <col width="9" customWidth="1" style="981" min="5" max="5"/>
    <col width="11" customWidth="1" style="981" min="6" max="7"/>
    <col width="12" customWidth="1" style="981" min="8" max="9"/>
    <col width="11" customWidth="1" style="981" min="10" max="10"/>
    <col width="12" customWidth="1" style="981" min="11" max="11"/>
    <col width="13" customWidth="1" style="981" min="12" max="12"/>
    <col width="22" customWidth="1" style="981" min="13" max="13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🧮 WACC + CAPM + ROLLING BETA TỰ ĐỘNG — Mỗi mã có WACC riêng (không dùng 12% cứng)</t>
        </is>
      </c>
    </row>
    <row r="4" ht="21.75" customHeight="1" s="981">
      <c r="A4" s="1224" t="inlineStr">
        <is>
          <t>⚙️ THAM SỐ TOÀN CỤC (chỉnh tại đây — toàn bộ WACC sẽ tự cập nhật)</t>
        </is>
      </c>
    </row>
    <row r="5" ht="15" customHeight="1" s="981">
      <c r="A5" s="848" t="inlineStr">
        <is>
          <t>Risk-Free Rate (TPCP 10Y VN)</t>
        </is>
      </c>
      <c r="C5" s="864" t="n">
        <v>0.0425</v>
      </c>
      <c r="E5" s="848" t="inlineStr">
        <is>
          <t>Equity Risk Premium (VN)</t>
        </is>
      </c>
      <c r="G5" s="864" t="n">
        <v>0.08</v>
      </c>
      <c r="I5" s="848" t="inlineStr">
        <is>
          <t>Thuế TNDN VN</t>
        </is>
      </c>
      <c r="K5" s="864" t="n">
        <v>0.2</v>
      </c>
    </row>
    <row r="6" ht="15" customHeight="1" s="981">
      <c r="A6" s="848" t="inlineStr">
        <is>
          <t>Lãi vay TB (Kd, trước thuế)</t>
        </is>
      </c>
      <c r="C6" s="864" t="n">
        <v>0.08500000000000001</v>
      </c>
      <c r="E6" s="848" t="inlineStr">
        <is>
          <t>Kd sau thuế = Kd × (1-Tax)</t>
        </is>
      </c>
      <c r="G6" s="865">
        <f>C6*(1-K5)</f>
        <v/>
      </c>
    </row>
    <row r="8" ht="21.75" customHeight="1" s="981">
      <c r="A8" s="1224" t="inlineStr">
        <is>
          <t>📊 WACC + CAPM RIÊNG TỪNG MÃ (8 mã cốt lõi · CAPM: Ke = Rf + β × ERP · WACC = E/V × Ke + D/V × Kd_after_tax)</t>
        </is>
      </c>
    </row>
    <row r="9" ht="31.5" customHeight="1" s="981">
      <c r="A9" s="847" t="inlineStr">
        <is>
          <t>STT</t>
        </is>
      </c>
      <c r="B9" s="847" t="inlineStr">
        <is>
          <t>Mã</t>
        </is>
      </c>
      <c r="C9" s="847" t="inlineStr">
        <is>
          <t>Tên</t>
        </is>
      </c>
      <c r="D9" s="847" t="inlineStr">
        <is>
          <t>Beta
hiện tại</t>
        </is>
      </c>
      <c r="E9" s="847" t="inlineStr">
        <is>
          <t>D/E</t>
        </is>
      </c>
      <c r="F9" s="847" t="inlineStr">
        <is>
          <t>E/V
(Equity ratio)</t>
        </is>
      </c>
      <c r="G9" s="847" t="inlineStr">
        <is>
          <t>D/V
(Debt ratio)</t>
        </is>
      </c>
      <c r="H9" s="847" t="inlineStr">
        <is>
          <t>Ke
(Cost of Equity)</t>
        </is>
      </c>
      <c r="I9" s="847" t="inlineStr">
        <is>
          <t>Kd after tax</t>
        </is>
      </c>
      <c r="J9" s="847" t="inlineStr">
        <is>
          <t>WACC
(tự tính)</t>
        </is>
      </c>
      <c r="K9" s="847" t="inlineStr">
        <is>
          <t>ROIC
(thực tế)</t>
        </is>
      </c>
      <c r="L9" s="847" t="inlineStr">
        <is>
          <t>ROIC - WACC
(Spread)</t>
        </is>
      </c>
      <c r="M9" s="847" t="inlineStr">
        <is>
          <t>Đánh giá</t>
        </is>
      </c>
    </row>
    <row r="10" ht="15" customHeight="1" s="981">
      <c r="A10" s="861" t="n">
        <v>1</v>
      </c>
      <c r="B10" s="866" t="inlineStr">
        <is>
          <t>FPT</t>
        </is>
      </c>
      <c r="C10" s="862">
        <f>IFERROR(VLOOKUP(B10,'📈 Cổ Phiếu VN 🔍'!$A:$B,2,0),"")</f>
        <v/>
      </c>
      <c r="D10" s="867" t="n">
        <v>1.05</v>
      </c>
      <c r="E10" s="862">
        <f>IFERROR(VLOOKUP(B10,'📈 Cổ Phiếu VN 🔍'!$A:$T,20,0),0)</f>
        <v/>
      </c>
      <c r="F10" s="868">
        <f>IFERROR(1/(1+E10),0)</f>
        <v/>
      </c>
      <c r="G10" s="868">
        <f>IFERROR(E10/(1+E10),0)</f>
        <v/>
      </c>
      <c r="H10" s="869">
        <f>$C$5+D10*$G$5</f>
        <v/>
      </c>
      <c r="I10" s="869">
        <f>$G$6</f>
        <v/>
      </c>
      <c r="J10" s="870">
        <f>F10*H10+G10*I10</f>
        <v/>
      </c>
      <c r="K10" s="871">
        <f>IFERROR(VLOOKUP(B10,'📈 Cổ Phiếu VN 🔍'!$A:$S,19,0)/100,0)</f>
        <v/>
      </c>
      <c r="L10" s="869">
        <f>K10-J10</f>
        <v/>
      </c>
      <c r="M10" s="863">
        <f>IF(L10&gt;0.05,"🟢 Tạo giá trị tốt",IF(L10&gt;0,"🟡 Tạo giá trị","🔴 Phá hủy giá trị"))</f>
        <v/>
      </c>
    </row>
    <row r="11" ht="15" customHeight="1" s="981">
      <c r="A11" s="861" t="n">
        <v>2</v>
      </c>
      <c r="B11" s="866" t="inlineStr">
        <is>
          <t>MBB</t>
        </is>
      </c>
      <c r="C11" s="862">
        <f>IFERROR(VLOOKUP(B11,'📈 Cổ Phiếu VN 🔍'!$A:$B,2,0),"")</f>
        <v/>
      </c>
      <c r="D11" s="867" t="n">
        <v>1.15</v>
      </c>
      <c r="E11" s="862">
        <f>IFERROR(VLOOKUP(B11,'📈 Cổ Phiếu VN 🔍'!$A:$T,20,0),0)</f>
        <v/>
      </c>
      <c r="F11" s="868">
        <f>IFERROR(1/(1+E11),0)</f>
        <v/>
      </c>
      <c r="G11" s="868">
        <f>IFERROR(E11/(1+E11),0)</f>
        <v/>
      </c>
      <c r="H11" s="869">
        <f>$C$5+D11*$G$5</f>
        <v/>
      </c>
      <c r="I11" s="869">
        <f>$G$6</f>
        <v/>
      </c>
      <c r="J11" s="870">
        <f>F11*H11+G11*I11</f>
        <v/>
      </c>
      <c r="K11" s="871">
        <f>IFERROR(VLOOKUP(B11,'📈 Cổ Phiếu VN 🔍'!$A:$S,19,0)/100,0)</f>
        <v/>
      </c>
      <c r="L11" s="869">
        <f>K11-J11</f>
        <v/>
      </c>
      <c r="M11" s="863">
        <f>IF(L11&gt;0.05,"🟢 Tạo giá trị tốt",IF(L11&gt;0,"🟡 Tạo giá trị","🔴 Phá hủy giá trị"))</f>
        <v/>
      </c>
    </row>
    <row r="12" ht="15" customHeight="1" s="981">
      <c r="A12" s="861" t="n">
        <v>3</v>
      </c>
      <c r="B12" s="866" t="inlineStr">
        <is>
          <t>VCB</t>
        </is>
      </c>
      <c r="C12" s="862">
        <f>IFERROR(VLOOKUP(B12,'📈 Cổ Phiếu VN 🔍'!$A:$B,2,0),"")</f>
        <v/>
      </c>
      <c r="D12" s="867" t="n">
        <v>1</v>
      </c>
      <c r="E12" s="862">
        <f>IFERROR(VLOOKUP(B12,'📈 Cổ Phiếu VN 🔍'!$A:$T,20,0),0)</f>
        <v/>
      </c>
      <c r="F12" s="868">
        <f>IFERROR(1/(1+E12),0)</f>
        <v/>
      </c>
      <c r="G12" s="868">
        <f>IFERROR(E12/(1+E12),0)</f>
        <v/>
      </c>
      <c r="H12" s="869">
        <f>$C$5+D12*$G$5</f>
        <v/>
      </c>
      <c r="I12" s="869">
        <f>$G$6</f>
        <v/>
      </c>
      <c r="J12" s="870">
        <f>F12*H12+G12*I12</f>
        <v/>
      </c>
      <c r="K12" s="871">
        <f>IFERROR(VLOOKUP(B12,'📈 Cổ Phiếu VN 🔍'!$A:$S,19,0)/100,0)</f>
        <v/>
      </c>
      <c r="L12" s="869">
        <f>K12-J12</f>
        <v/>
      </c>
      <c r="M12" s="863">
        <f>IF(L12&gt;0.05,"🟢 Tạo giá trị tốt",IF(L12&gt;0,"🟡 Tạo giá trị","🔴 Phá hủy giá trị"))</f>
        <v/>
      </c>
    </row>
    <row r="13" ht="15" customHeight="1" s="981">
      <c r="A13" s="861" t="n">
        <v>4</v>
      </c>
      <c r="B13" s="866" t="inlineStr">
        <is>
          <t>CTR</t>
        </is>
      </c>
      <c r="C13" s="862">
        <f>IFERROR(VLOOKUP(B13,'📈 Cổ Phiếu VN 🔍'!$A:$B,2,0),"")</f>
        <v/>
      </c>
      <c r="D13" s="867" t="n">
        <v>0.95</v>
      </c>
      <c r="E13" s="862">
        <f>IFERROR(VLOOKUP(B13,'📈 Cổ Phiếu VN 🔍'!$A:$T,20,0),0)</f>
        <v/>
      </c>
      <c r="F13" s="868">
        <f>IFERROR(1/(1+E13),0)</f>
        <v/>
      </c>
      <c r="G13" s="868">
        <f>IFERROR(E13/(1+E13),0)</f>
        <v/>
      </c>
      <c r="H13" s="869">
        <f>$C$5+D13*$G$5</f>
        <v/>
      </c>
      <c r="I13" s="869">
        <f>$G$6</f>
        <v/>
      </c>
      <c r="J13" s="870">
        <f>F13*H13+G13*I13</f>
        <v/>
      </c>
      <c r="K13" s="871">
        <f>IFERROR(VLOOKUP(B13,'📈 Cổ Phiếu VN 🔍'!$A:$S,19,0)/100,0)</f>
        <v/>
      </c>
      <c r="L13" s="869">
        <f>K13-J13</f>
        <v/>
      </c>
      <c r="M13" s="863">
        <f>IF(L13&gt;0.05,"🟢 Tạo giá trị tốt",IF(L13&gt;0,"🟡 Tạo giá trị","🔴 Phá hủy giá trị"))</f>
        <v/>
      </c>
    </row>
    <row r="14" ht="15" customHeight="1" s="981">
      <c r="A14" s="861" t="n">
        <v>5</v>
      </c>
      <c r="B14" s="866" t="inlineStr">
        <is>
          <t>MWG</t>
        </is>
      </c>
      <c r="C14" s="862">
        <f>IFERROR(VLOOKUP(B14,'📈 Cổ Phiếu VN 🔍'!$A:$B,2,0),"")</f>
        <v/>
      </c>
      <c r="D14" s="867" t="n">
        <v>1.25</v>
      </c>
      <c r="E14" s="862">
        <f>IFERROR(VLOOKUP(B14,'📈 Cổ Phiếu VN 🔍'!$A:$T,20,0),0)</f>
        <v/>
      </c>
      <c r="F14" s="868">
        <f>IFERROR(1/(1+E14),0)</f>
        <v/>
      </c>
      <c r="G14" s="868">
        <f>IFERROR(E14/(1+E14),0)</f>
        <v/>
      </c>
      <c r="H14" s="869">
        <f>$C$5+D14*$G$5</f>
        <v/>
      </c>
      <c r="I14" s="869">
        <f>$G$6</f>
        <v/>
      </c>
      <c r="J14" s="870">
        <f>F14*H14+G14*I14</f>
        <v/>
      </c>
      <c r="K14" s="871">
        <f>IFERROR(VLOOKUP(B14,'📈 Cổ Phiếu VN 🔍'!$A:$S,19,0)/100,0)</f>
        <v/>
      </c>
      <c r="L14" s="869">
        <f>K14-J14</f>
        <v/>
      </c>
      <c r="M14" s="863">
        <f>IF(L14&gt;0.05,"🟢 Tạo giá trị tốt",IF(L14&gt;0,"🟡 Tạo giá trị","🔴 Phá hủy giá trị"))</f>
        <v/>
      </c>
    </row>
    <row r="15" ht="15" customHeight="1" s="981">
      <c r="A15" s="861" t="n">
        <v>6</v>
      </c>
      <c r="B15" s="866" t="inlineStr">
        <is>
          <t>HPG</t>
        </is>
      </c>
      <c r="C15" s="862">
        <f>IFERROR(VLOOKUP(B15,'📈 Cổ Phiếu VN 🔍'!$A:$B,2,0),"")</f>
        <v/>
      </c>
      <c r="D15" s="867" t="n">
        <v>1.3</v>
      </c>
      <c r="E15" s="862">
        <f>IFERROR(VLOOKUP(B15,'📈 Cổ Phiếu VN 🔍'!$A:$T,20,0),0)</f>
        <v/>
      </c>
      <c r="F15" s="868">
        <f>IFERROR(1/(1+E15),0)</f>
        <v/>
      </c>
      <c r="G15" s="868">
        <f>IFERROR(E15/(1+E15),0)</f>
        <v/>
      </c>
      <c r="H15" s="869">
        <f>$C$5+D15*$G$5</f>
        <v/>
      </c>
      <c r="I15" s="869">
        <f>$G$6</f>
        <v/>
      </c>
      <c r="J15" s="870">
        <f>F15*H15+G15*I15</f>
        <v/>
      </c>
      <c r="K15" s="871">
        <f>IFERROR(VLOOKUP(B15,'📈 Cổ Phiếu VN 🔍'!$A:$S,19,0)/100,0)</f>
        <v/>
      </c>
      <c r="L15" s="869">
        <f>K15-J15</f>
        <v/>
      </c>
      <c r="M15" s="863">
        <f>IF(L15&gt;0.05,"🟢 Tạo giá trị tốt",IF(L15&gt;0,"🟡 Tạo giá trị","🔴 Phá hủy giá trị"))</f>
        <v/>
      </c>
    </row>
    <row r="16" ht="15" customHeight="1" s="981">
      <c r="A16" s="861" t="n">
        <v>7</v>
      </c>
      <c r="B16" s="866" t="inlineStr">
        <is>
          <t>VNM</t>
        </is>
      </c>
      <c r="C16" s="862">
        <f>IFERROR(VLOOKUP(B16,'📈 Cổ Phiếu VN 🔍'!$A:$B,2,0),"")</f>
        <v/>
      </c>
      <c r="D16" s="867" t="n">
        <v>0.75</v>
      </c>
      <c r="E16" s="862">
        <f>IFERROR(VLOOKUP(B16,'📈 Cổ Phiếu VN 🔍'!$A:$T,20,0),0)</f>
        <v/>
      </c>
      <c r="F16" s="868">
        <f>IFERROR(1/(1+E16),0)</f>
        <v/>
      </c>
      <c r="G16" s="868">
        <f>IFERROR(E16/(1+E16),0)</f>
        <v/>
      </c>
      <c r="H16" s="869">
        <f>$C$5+D16*$G$5</f>
        <v/>
      </c>
      <c r="I16" s="869">
        <f>$G$6</f>
        <v/>
      </c>
      <c r="J16" s="870">
        <f>F16*H16+G16*I16</f>
        <v/>
      </c>
      <c r="K16" s="871">
        <f>IFERROR(VLOOKUP(B16,'📈 Cổ Phiếu VN 🔍'!$A:$S,19,0)/100,0)</f>
        <v/>
      </c>
      <c r="L16" s="869">
        <f>K16-J16</f>
        <v/>
      </c>
      <c r="M16" s="863">
        <f>IF(L16&gt;0.05,"🟢 Tạo giá trị tốt",IF(L16&gt;0,"🟡 Tạo giá trị","🔴 Phá hủy giá trị"))</f>
        <v/>
      </c>
    </row>
    <row r="17" ht="15" customHeight="1" s="981">
      <c r="A17" s="861" t="n">
        <v>8</v>
      </c>
      <c r="B17" s="866" t="inlineStr">
        <is>
          <t>VIX</t>
        </is>
      </c>
      <c r="C17" s="862">
        <f>IFERROR(VLOOKUP(B17,'📈 Cổ Phiếu VN 🔍'!$A:$B,2,0),"")</f>
        <v/>
      </c>
      <c r="D17" s="867" t="n">
        <v>1.4</v>
      </c>
      <c r="E17" s="862">
        <f>IFERROR(VLOOKUP(B17,'📈 Cổ Phiếu VN 🔍'!$A:$T,20,0),0)</f>
        <v/>
      </c>
      <c r="F17" s="868">
        <f>IFERROR(1/(1+E17),0)</f>
        <v/>
      </c>
      <c r="G17" s="868">
        <f>IFERROR(E17/(1+E17),0)</f>
        <v/>
      </c>
      <c r="H17" s="869">
        <f>$C$5+D17*$G$5</f>
        <v/>
      </c>
      <c r="I17" s="869">
        <f>$G$6</f>
        <v/>
      </c>
      <c r="J17" s="870">
        <f>F17*H17+G17*I17</f>
        <v/>
      </c>
      <c r="K17" s="871">
        <f>IFERROR(VLOOKUP(B17,'📈 Cổ Phiếu VN 🔍'!$A:$S,19,0)/100,0)</f>
        <v/>
      </c>
      <c r="L17" s="869">
        <f>K17-J17</f>
        <v/>
      </c>
      <c r="M17" s="863">
        <f>IF(L17&gt;0.05,"🟢 Tạo giá trị tốt",IF(L17&gt;0,"🟡 Tạo giá trị","🔴 Phá hủy giá trị"))</f>
        <v/>
      </c>
    </row>
    <row r="19" ht="15" customHeight="1" s="981">
      <c r="A19" s="1222" t="inlineStr">
        <is>
          <t>📌 NOTE: Beta hiện tại đang gõ tay. Để tự động hóa, dùng công thức Excel: =COVARIANCE.S(returns_stock,returns_index)/VAR.S(returns_index) trên dữ liệu 24 tháng (504 ngày giao dịch).</t>
        </is>
      </c>
    </row>
  </sheetData>
  <mergeCells count="5">
    <mergeCell ref="A19:M19"/>
    <mergeCell ref="A1:M1"/>
    <mergeCell ref="A8:M8"/>
    <mergeCell ref="A4:M4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style="981" min="1" max="1"/>
    <col width="13" customWidth="1" style="981" min="2" max="8"/>
    <col width="11" customWidth="1" style="981" min="9" max="9"/>
    <col width="18" customWidth="1" style="981" min="10" max="10"/>
    <col width="12" customWidth="1" style="981" min="11" max="11"/>
    <col width="22" customWidth="1" style="981" min="12" max="12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🔀 SENSITIVITY ANALYSIS — DCF với Data Table 2 chiều: WACC × Terminal Growth</t>
        </is>
      </c>
    </row>
    <row r="3" ht="15" customHeight="1" s="981">
      <c r="A3" s="986" t="inlineStr">
        <is>
          <t>💎 Thay vì 1 con số tĩnh, hệ thống cho ra VÙNG GIÁ TRỊ THỰC theo 25 tổ hợp WACC×g.</t>
        </is>
      </c>
    </row>
    <row r="5" ht="21.75" customHeight="1" s="981">
      <c r="A5" s="1224" t="inlineStr">
        <is>
          <t>⚙️ INPUTS (chọn mã &amp; nhập FCF dự phóng năm 1)</t>
        </is>
      </c>
    </row>
    <row r="6" ht="15" customHeight="1" s="981">
      <c r="A6" s="872" t="inlineStr">
        <is>
          <t>Mã CP:</t>
        </is>
      </c>
      <c r="B6" s="873" t="inlineStr">
        <is>
          <t>FPT</t>
        </is>
      </c>
      <c r="D6" s="872" t="inlineStr">
        <is>
          <t>FCFE năm 1 (đ/cp):</t>
        </is>
      </c>
      <c r="E6" s="874">
        <f>IFERROR(VLOOKUP(B6,'📈 Cổ Phiếu VN 🔍'!$A:$I,9,0)*0.8,5000)</f>
        <v/>
      </c>
      <c r="G6" s="872" t="inlineStr">
        <is>
          <t>Giá HT:</t>
        </is>
      </c>
      <c r="H6" s="875">
        <f>IFERROR(VLOOKUP(B6,'📈 Cổ Phiếu VN 🔍'!$A:$D,4,0),0)</f>
        <v/>
      </c>
      <c r="J6" s="872" t="inlineStr">
        <is>
          <t>Số năm dự phóng:</t>
        </is>
      </c>
      <c r="K6" s="876" t="n">
        <v>5</v>
      </c>
    </row>
    <row r="8" ht="21.75" customHeight="1" s="981">
      <c r="A8" s="1224" t="inlineStr">
        <is>
          <t>📊 BẢNG ĐỘ NHẠY — Giá trị nội tại / cổ phiếu (Gordon 2-stage growth)</t>
        </is>
      </c>
    </row>
    <row r="9" ht="15" customHeight="1" s="981">
      <c r="A9" s="877" t="inlineStr">
        <is>
          <t>WACC \ g →</t>
        </is>
      </c>
      <c r="B9" s="878" t="n">
        <v>0.01</v>
      </c>
      <c r="C9" s="878" t="n">
        <v>0.02</v>
      </c>
      <c r="D9" s="878" t="n">
        <v>0.03</v>
      </c>
      <c r="E9" s="878" t="n">
        <v>0.04</v>
      </c>
      <c r="F9" s="878" t="n">
        <v>0.05</v>
      </c>
    </row>
    <row r="10" ht="15" customHeight="1" s="981">
      <c r="A10" s="878" t="n">
        <v>0.1</v>
      </c>
      <c r="B10" s="879">
        <f>IFERROR(IF($A10&gt;0.011,$E$6*(1+0.01)/($A10-0.01),"N/A"),"")</f>
        <v/>
      </c>
      <c r="C10" s="879">
        <f>IFERROR(IF($A10&gt;0.021,$E$6*(1+0.02)/($A10-0.02),"N/A"),"")</f>
        <v/>
      </c>
      <c r="D10" s="879">
        <f>IFERROR(IF($A10&gt;0.031,$E$6*(1+0.03)/($A10-0.03),"N/A"),"")</f>
        <v/>
      </c>
      <c r="E10" s="879">
        <f>IFERROR(IF($A10&gt;0.041,$E$6*(1+0.04)/($A10-0.04),"N/A"),"")</f>
        <v/>
      </c>
      <c r="F10" s="879">
        <f>IFERROR(IF($A10&gt;0.051,$E$6*(1+0.05)/($A10-0.05),"N/A"),"")</f>
        <v/>
      </c>
    </row>
    <row r="11" ht="15" customHeight="1" s="981">
      <c r="A11" s="878" t="n">
        <v>0.11</v>
      </c>
      <c r="B11" s="879">
        <f>IFERROR(IF($A11&gt;0.011,$E$6*(1+0.01)/($A11-0.01),"N/A"),"")</f>
        <v/>
      </c>
      <c r="C11" s="879">
        <f>IFERROR(IF($A11&gt;0.021,$E$6*(1+0.02)/($A11-0.02),"N/A"),"")</f>
        <v/>
      </c>
      <c r="D11" s="879">
        <f>IFERROR(IF($A11&gt;0.031,$E$6*(1+0.03)/($A11-0.03),"N/A"),"")</f>
        <v/>
      </c>
      <c r="E11" s="879">
        <f>IFERROR(IF($A11&gt;0.041,$E$6*(1+0.04)/($A11-0.04),"N/A"),"")</f>
        <v/>
      </c>
      <c r="F11" s="879">
        <f>IFERROR(IF($A11&gt;0.051,$E$6*(1+0.05)/($A11-0.05),"N/A"),"")</f>
        <v/>
      </c>
    </row>
    <row r="12" ht="15" customHeight="1" s="981">
      <c r="A12" s="878" t="n">
        <v>0.12</v>
      </c>
      <c r="B12" s="879">
        <f>IFERROR(IF($A12&gt;0.011,$E$6*(1+0.01)/($A12-0.01),"N/A"),"")</f>
        <v/>
      </c>
      <c r="C12" s="879">
        <f>IFERROR(IF($A12&gt;0.021,$E$6*(1+0.02)/($A12-0.02),"N/A"),"")</f>
        <v/>
      </c>
      <c r="D12" s="879">
        <f>IFERROR(IF($A12&gt;0.031,$E$6*(1+0.03)/($A12-0.03),"N/A"),"")</f>
        <v/>
      </c>
      <c r="E12" s="879">
        <f>IFERROR(IF($A12&gt;0.041,$E$6*(1+0.04)/($A12-0.04),"N/A"),"")</f>
        <v/>
      </c>
      <c r="F12" s="879">
        <f>IFERROR(IF($A12&gt;0.051,$E$6*(1+0.05)/($A12-0.05),"N/A"),"")</f>
        <v/>
      </c>
    </row>
    <row r="13" ht="15" customHeight="1" s="981">
      <c r="A13" s="878" t="n">
        <v>0.13</v>
      </c>
      <c r="B13" s="879">
        <f>IFERROR(IF($A13&gt;0.011,$E$6*(1+0.01)/($A13-0.01),"N/A"),"")</f>
        <v/>
      </c>
      <c r="C13" s="879">
        <f>IFERROR(IF($A13&gt;0.021,$E$6*(1+0.02)/($A13-0.02),"N/A"),"")</f>
        <v/>
      </c>
      <c r="D13" s="879">
        <f>IFERROR(IF($A13&gt;0.031,$E$6*(1+0.03)/($A13-0.03),"N/A"),"")</f>
        <v/>
      </c>
      <c r="E13" s="879">
        <f>IFERROR(IF($A13&gt;0.041,$E$6*(1+0.04)/($A13-0.04),"N/A"),"")</f>
        <v/>
      </c>
      <c r="F13" s="879">
        <f>IFERROR(IF($A13&gt;0.051,$E$6*(1+0.05)/($A13-0.05),"N/A"),"")</f>
        <v/>
      </c>
    </row>
    <row r="14" ht="15" customHeight="1" s="981">
      <c r="A14" s="878" t="n">
        <v>0.14</v>
      </c>
      <c r="B14" s="879">
        <f>IFERROR(IF($A14&gt;0.011,$E$6*(1+0.01)/($A14-0.01),"N/A"),"")</f>
        <v/>
      </c>
      <c r="C14" s="879">
        <f>IFERROR(IF($A14&gt;0.021,$E$6*(1+0.02)/($A14-0.02),"N/A"),"")</f>
        <v/>
      </c>
      <c r="D14" s="879">
        <f>IFERROR(IF($A14&gt;0.031,$E$6*(1+0.03)/($A14-0.03),"N/A"),"")</f>
        <v/>
      </c>
      <c r="E14" s="879">
        <f>IFERROR(IF($A14&gt;0.041,$E$6*(1+0.04)/($A14-0.04),"N/A"),"")</f>
        <v/>
      </c>
      <c r="F14" s="879">
        <f>IFERROR(IF($A14&gt;0.051,$E$6*(1+0.05)/($A14-0.05),"N/A"),"")</f>
        <v/>
      </c>
    </row>
    <row r="17" ht="21.75" customHeight="1" s="981">
      <c r="A17" s="1224" t="inlineStr">
        <is>
          <t>🎯 KẾT LUẬN VÙNG GIÁ TRỊ</t>
        </is>
      </c>
    </row>
    <row r="18" ht="15" customHeight="1" s="981">
      <c r="A18" s="848" t="inlineStr">
        <is>
          <t>Min (rẻ nhất):</t>
        </is>
      </c>
      <c r="B18" s="854">
        <f>IFERROR(MIN(B10:F14),0)</f>
        <v/>
      </c>
      <c r="D18" s="848" t="inlineStr">
        <is>
          <t>Max (đắt nhất):</t>
        </is>
      </c>
      <c r="E18" s="880">
        <f>IFERROR(MAX(B10:F14),0)</f>
        <v/>
      </c>
      <c r="G18" s="848" t="inlineStr">
        <is>
          <t>Trung bình (likely):</t>
        </is>
      </c>
      <c r="H18" s="880">
        <f>IFERROR(AVERAGE(B10:F14),0)</f>
        <v/>
      </c>
      <c r="J18" s="848" t="inlineStr">
        <is>
          <t>vs Giá HT:</t>
        </is>
      </c>
      <c r="K18" s="855">
        <f>IFERROR(H6/H18-1,0)</f>
        <v/>
      </c>
      <c r="L18" s="856">
        <f>IF(K18&lt;-0.3,"🟢 RẺ — MUA",IF(K18&lt;0,"🔵 HỢP LÝ — Theo dõi",IF(K18&lt;0.2,"🟡 ĐẮT — Đợi","🔴 BONG BÓNG — BÁN")))</f>
        <v/>
      </c>
    </row>
  </sheetData>
  <mergeCells count="6">
    <mergeCell ref="A2:L2"/>
    <mergeCell ref="A1:L1"/>
    <mergeCell ref="A5:L5"/>
    <mergeCell ref="A8:L8"/>
    <mergeCell ref="A17:L17"/>
    <mergeCell ref="A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7" customWidth="1" style="981" min="2" max="2"/>
    <col width="16" customWidth="1" style="981" min="3" max="3"/>
    <col width="10" customWidth="1" style="981" min="4" max="4"/>
    <col width="9" customWidth="1" style="981" min="5" max="5"/>
    <col width="12" customWidth="1" style="981" min="6" max="8"/>
    <col width="14" customWidth="1" style="981" min="9" max="9"/>
    <col width="12" customWidth="1" style="981" min="10" max="10"/>
    <col width="11" customWidth="1" style="981" min="11" max="11"/>
    <col width="32" customWidth="1" style="981" min="12" max="13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🎯 SCENARIO PLANNING — Bull · Base · Bear · Expected Value (EV) chuẩn quỹ hưu trí</t>
        </is>
      </c>
    </row>
    <row r="4" ht="21.75" customHeight="1" s="981">
      <c r="A4" s="1224" t="inlineStr">
        <is>
          <t>⚙️ INPUT TRỌNG SỐ XÁC SUẤT (tổng phải = 100%)</t>
        </is>
      </c>
    </row>
    <row r="5" ht="15" customHeight="1" s="981">
      <c r="A5" s="872" t="inlineStr">
        <is>
          <t>Bull Case:</t>
        </is>
      </c>
      <c r="B5" s="852" t="n">
        <v>0.2</v>
      </c>
      <c r="D5" s="872" t="inlineStr">
        <is>
          <t>Base Case:</t>
        </is>
      </c>
      <c r="E5" s="852" t="n">
        <v>0.6</v>
      </c>
      <c r="G5" s="872" t="inlineStr">
        <is>
          <t>Bear Case:</t>
        </is>
      </c>
      <c r="H5" s="852" t="n">
        <v>0.2</v>
      </c>
      <c r="J5" s="872" t="inlineStr">
        <is>
          <t>TỔNG:</t>
        </is>
      </c>
      <c r="K5" s="881">
        <f>B5+E5+H5</f>
        <v/>
      </c>
    </row>
    <row r="7" ht="21.75" customHeight="1" s="981">
      <c r="A7" s="1224" t="inlineStr">
        <is>
          <t>📊 8 MÃ CỐT LÕI — Giá hợp lý theo 3 kịch bản + Expected Value</t>
        </is>
      </c>
    </row>
    <row r="8" ht="31.5" customHeight="1" s="981">
      <c r="A8" s="847" t="inlineStr">
        <is>
          <t>STT</t>
        </is>
      </c>
      <c r="B8" s="847" t="inlineStr">
        <is>
          <t>Mã</t>
        </is>
      </c>
      <c r="C8" s="847" t="inlineStr">
        <is>
          <t>Tên</t>
        </is>
      </c>
      <c r="D8" s="847" t="inlineStr">
        <is>
          <t>Giá HT</t>
        </is>
      </c>
      <c r="E8" s="847" t="inlineStr">
        <is>
          <t>EPS</t>
        </is>
      </c>
      <c r="F8" s="847" t="inlineStr">
        <is>
          <t>🟢 BULL
(growth+30%)</t>
        </is>
      </c>
      <c r="G8" s="847" t="inlineStr">
        <is>
          <t>🔵 BASE
(growth ổn)</t>
        </is>
      </c>
      <c r="H8" s="847" t="inlineStr">
        <is>
          <t>🟠 BEAR
(growth-50%)</t>
        </is>
      </c>
      <c r="I8" s="847" t="inlineStr">
        <is>
          <t>⚡ Expected Value (EV)</t>
        </is>
      </c>
      <c r="J8" s="847" t="inlineStr">
        <is>
          <t>Upside vs Giá HT</t>
        </is>
      </c>
      <c r="K8" s="847" t="inlineStr">
        <is>
          <t>Tín hiệu</t>
        </is>
      </c>
      <c r="L8" s="847" t="inlineStr">
        <is>
          <t>Catalyst Bull</t>
        </is>
      </c>
      <c r="M8" s="847" t="inlineStr">
        <is>
          <t>Risk Bear</t>
        </is>
      </c>
    </row>
    <row r="9" ht="31.5" customHeight="1" s="981">
      <c r="A9" s="861" t="n">
        <v>1</v>
      </c>
      <c r="B9" s="866" t="inlineStr">
        <is>
          <t>FPT</t>
        </is>
      </c>
      <c r="C9" s="862">
        <f>IFERROR(VLOOKUP(B9,'📈 Cổ Phiếu VN 🔍'!$A:$B,2,0),"")</f>
        <v/>
      </c>
      <c r="D9" s="882">
        <f>IFERROR(VLOOKUP(B9,'📈 Cổ Phiếu VN 🔍'!$A:$D,4,0),0)</f>
        <v/>
      </c>
      <c r="E9" s="882">
        <f>IFERROR(VLOOKUP(B9,'📈 Cổ Phiếu VN 🔍'!$A:$I,9,0),0)</f>
        <v/>
      </c>
      <c r="F9" s="883">
        <f>IFERROR(E9*(1+IFERROR(VLOOKUP(B9,'📈 Cổ Phiếu VN 🔍'!$A:$G,7,0)*1.3/100,0))/0.1,0)</f>
        <v/>
      </c>
      <c r="G9" s="884">
        <f>IFERROR(E9*(1+IFERROR(VLOOKUP(B9,'📈 Cổ Phiếu VN 🔍'!$A:$G,7,0)/100,0))/0.11,0)</f>
        <v/>
      </c>
      <c r="H9" s="885">
        <f>IFERROR(E9*(1+IFERROR(VLOOKUP(B9,'📈 Cổ Phiếu VN 🔍'!$A:$G,7,0)*0.5/100,0))/0.13,0)</f>
        <v/>
      </c>
      <c r="I9" s="886">
        <f>$B$5*F9+$E$5*G9+$H$5*H9</f>
        <v/>
      </c>
      <c r="J9" s="868">
        <f>IFERROR(I9/D9-1,0)</f>
        <v/>
      </c>
      <c r="K9" s="863">
        <f>IF(J9&gt;0.3,"🟢 MUA",IF(J9&gt;0,"🔵 GIỮ",IF(J9&gt;-0.2,"🟡 ĐỢI","🔴 BÁN")))</f>
        <v/>
      </c>
      <c r="L9" s="887" t="inlineStr">
        <is>
          <t>Siêu dự án AI · Cloud xuất khẩu Nhật/EU</t>
        </is>
      </c>
      <c r="M9" s="887" t="inlineStr">
        <is>
          <t>Cạnh tranh AI toàn cầu · Cá voi rút khỏi VN</t>
        </is>
      </c>
    </row>
    <row r="10" ht="31.5" customHeight="1" s="981">
      <c r="A10" s="861" t="n">
        <v>2</v>
      </c>
      <c r="B10" s="866" t="inlineStr">
        <is>
          <t>MBB</t>
        </is>
      </c>
      <c r="C10" s="862">
        <f>IFERROR(VLOOKUP(B10,'📈 Cổ Phiếu VN 🔍'!$A:$B,2,0),"")</f>
        <v/>
      </c>
      <c r="D10" s="882">
        <f>IFERROR(VLOOKUP(B10,'📈 Cổ Phiếu VN 🔍'!$A:$D,4,0),0)</f>
        <v/>
      </c>
      <c r="E10" s="882">
        <f>IFERROR(VLOOKUP(B10,'📈 Cổ Phiếu VN 🔍'!$A:$I,9,0),0)</f>
        <v/>
      </c>
      <c r="F10" s="883">
        <f>IFERROR(E10*(1+IFERROR(VLOOKUP(B10,'📈 Cổ Phiếu VN 🔍'!$A:$G,7,0)*1.3/100,0))/0.1,0)</f>
        <v/>
      </c>
      <c r="G10" s="884">
        <f>IFERROR(E10*(1+IFERROR(VLOOKUP(B10,'📈 Cổ Phiếu VN 🔍'!$A:$G,7,0)/100,0))/0.11,0)</f>
        <v/>
      </c>
      <c r="H10" s="885">
        <f>IFERROR(E10*(1+IFERROR(VLOOKUP(B10,'📈 Cổ Phiếu VN 🔍'!$A:$G,7,0)*0.5/100,0))/0.13,0)</f>
        <v/>
      </c>
      <c r="I10" s="886">
        <f>$B$5*F10+$E$5*G10+$H$5*H10</f>
        <v/>
      </c>
      <c r="J10" s="868">
        <f>IFERROR(I10/D10-1,0)</f>
        <v/>
      </c>
      <c r="K10" s="863">
        <f>IF(J10&gt;0.3,"🟢 MUA",IF(J10&gt;0,"🔵 GIỮ",IF(J10&gt;-0.2,"🟡 ĐỢI","🔴 BÁN")))</f>
        <v/>
      </c>
      <c r="L10" s="887" t="inlineStr">
        <is>
          <t>NIM cải thiện · Tín dụng tiêu dùng</t>
        </is>
      </c>
      <c r="M10" s="887" t="inlineStr">
        <is>
          <t>Nợ xấu BĐS tăng · LS tăng</t>
        </is>
      </c>
    </row>
    <row r="11" ht="31.5" customHeight="1" s="981">
      <c r="A11" s="861" t="n">
        <v>3</v>
      </c>
      <c r="B11" s="866" t="inlineStr">
        <is>
          <t>VCB</t>
        </is>
      </c>
      <c r="C11" s="862">
        <f>IFERROR(VLOOKUP(B11,'📈 Cổ Phiếu VN 🔍'!$A:$B,2,0),"")</f>
        <v/>
      </c>
      <c r="D11" s="882">
        <f>IFERROR(VLOOKUP(B11,'📈 Cổ Phiếu VN 🔍'!$A:$D,4,0),0)</f>
        <v/>
      </c>
      <c r="E11" s="882">
        <f>IFERROR(VLOOKUP(B11,'📈 Cổ Phiếu VN 🔍'!$A:$I,9,0),0)</f>
        <v/>
      </c>
      <c r="F11" s="883">
        <f>IFERROR(E11*(1+IFERROR(VLOOKUP(B11,'📈 Cổ Phiếu VN 🔍'!$A:$G,7,0)*1.3/100,0))/0.1,0)</f>
        <v/>
      </c>
      <c r="G11" s="884">
        <f>IFERROR(E11*(1+IFERROR(VLOOKUP(B11,'📈 Cổ Phiếu VN 🔍'!$A:$G,7,0)/100,0))/0.11,0)</f>
        <v/>
      </c>
      <c r="H11" s="885">
        <f>IFERROR(E11*(1+IFERROR(VLOOKUP(B11,'📈 Cổ Phiếu VN 🔍'!$A:$G,7,0)*0.5/100,0))/0.13,0)</f>
        <v/>
      </c>
      <c r="I11" s="886">
        <f>$B$5*F11+$E$5*G11+$H$5*H11</f>
        <v/>
      </c>
      <c r="J11" s="868">
        <f>IFERROR(I11/D11-1,0)</f>
        <v/>
      </c>
      <c r="K11" s="863">
        <f>IF(J11&gt;0.3,"🟢 MUA",IF(J11&gt;0,"🔵 GIỮ",IF(J11&gt;-0.2,"🟡 ĐỢI","🔴 BÁN")))</f>
        <v/>
      </c>
      <c r="L11" s="887" t="inlineStr">
        <is>
          <t>Độc quyền ngoại tệ · Cổ tức tăng</t>
        </is>
      </c>
      <c r="M11" s="887" t="inlineStr">
        <is>
          <t>Biên NIM mỏng · ROE giảm</t>
        </is>
      </c>
    </row>
    <row r="12" ht="31.5" customHeight="1" s="981">
      <c r="A12" s="861" t="n">
        <v>4</v>
      </c>
      <c r="B12" s="866" t="inlineStr">
        <is>
          <t>CTR</t>
        </is>
      </c>
      <c r="C12" s="862">
        <f>IFERROR(VLOOKUP(B12,'📈 Cổ Phiếu VN 🔍'!$A:$B,2,0),"")</f>
        <v/>
      </c>
      <c r="D12" s="882">
        <f>IFERROR(VLOOKUP(B12,'📈 Cổ Phiếu VN 🔍'!$A:$D,4,0),0)</f>
        <v/>
      </c>
      <c r="E12" s="882">
        <f>IFERROR(VLOOKUP(B12,'📈 Cổ Phiếu VN 🔍'!$A:$I,9,0),0)</f>
        <v/>
      </c>
      <c r="F12" s="883">
        <f>IFERROR(E12*(1+IFERROR(VLOOKUP(B12,'📈 Cổ Phiếu VN 🔍'!$A:$G,7,0)*1.3/100,0))/0.1,0)</f>
        <v/>
      </c>
      <c r="G12" s="884">
        <f>IFERROR(E12*(1+IFERROR(VLOOKUP(B12,'📈 Cổ Phiếu VN 🔍'!$A:$G,7,0)/100,0))/0.11,0)</f>
        <v/>
      </c>
      <c r="H12" s="885">
        <f>IFERROR(E12*(1+IFERROR(VLOOKUP(B12,'📈 Cổ Phiếu VN 🔍'!$A:$G,7,0)*0.5/100,0))/0.13,0)</f>
        <v/>
      </c>
      <c r="I12" s="886">
        <f>$B$5*F12+$E$5*G12+$H$5*H12</f>
        <v/>
      </c>
      <c r="J12" s="868">
        <f>IFERROR(I12/D12-1,0)</f>
        <v/>
      </c>
      <c r="K12" s="863">
        <f>IF(J12&gt;0.3,"🟢 MUA",IF(J12&gt;0,"🔵 GIỮ",IF(J12&gt;-0.2,"🟡 ĐỢI","🔴 BÁN")))</f>
        <v/>
      </c>
      <c r="L12" s="887" t="inlineStr">
        <is>
          <t>5G rollout Viettel · Hạ tầng đầu tư công</t>
        </is>
      </c>
      <c r="M12" s="887" t="inlineStr">
        <is>
          <t>Cạnh tranh hạ tầng tư nhân</t>
        </is>
      </c>
    </row>
    <row r="13" ht="31.5" customHeight="1" s="981">
      <c r="A13" s="861" t="n">
        <v>5</v>
      </c>
      <c r="B13" s="866" t="inlineStr">
        <is>
          <t>MWG</t>
        </is>
      </c>
      <c r="C13" s="862">
        <f>IFERROR(VLOOKUP(B13,'📈 Cổ Phiếu VN 🔍'!$A:$B,2,0),"")</f>
        <v/>
      </c>
      <c r="D13" s="882">
        <f>IFERROR(VLOOKUP(B13,'📈 Cổ Phiếu VN 🔍'!$A:$D,4,0),0)</f>
        <v/>
      </c>
      <c r="E13" s="882">
        <f>IFERROR(VLOOKUP(B13,'📈 Cổ Phiếu VN 🔍'!$A:$I,9,0),0)</f>
        <v/>
      </c>
      <c r="F13" s="883">
        <f>IFERROR(E13*(1+IFERROR(VLOOKUP(B13,'📈 Cổ Phiếu VN 🔍'!$A:$G,7,0)*1.3/100,0))/0.1,0)</f>
        <v/>
      </c>
      <c r="G13" s="884">
        <f>IFERROR(E13*(1+IFERROR(VLOOKUP(B13,'📈 Cổ Phiếu VN 🔍'!$A:$G,7,0)/100,0))/0.11,0)</f>
        <v/>
      </c>
      <c r="H13" s="885">
        <f>IFERROR(E13*(1+IFERROR(VLOOKUP(B13,'📈 Cổ Phiếu VN 🔍'!$A:$G,7,0)*0.5/100,0))/0.13,0)</f>
        <v/>
      </c>
      <c r="I13" s="886">
        <f>$B$5*F13+$E$5*G13+$H$5*H13</f>
        <v/>
      </c>
      <c r="J13" s="868">
        <f>IFERROR(I13/D13-1,0)</f>
        <v/>
      </c>
      <c r="K13" s="863">
        <f>IF(J13&gt;0.3,"🟢 MUA",IF(J13&gt;0,"🔵 GIỮ",IF(J13&gt;-0.2,"🟡 ĐỢI","🔴 BÁN")))</f>
        <v/>
      </c>
      <c r="L13" s="887" t="inlineStr">
        <is>
          <t>Tiêu dùng phục hồi · Bách Hóa Xanh hòa vốn</t>
        </is>
      </c>
      <c r="M13" s="887" t="inlineStr">
        <is>
          <t>TMĐT cạnh tranh · Margin co</t>
        </is>
      </c>
    </row>
    <row r="14" ht="31.5" customHeight="1" s="981">
      <c r="A14" s="861" t="n">
        <v>6</v>
      </c>
      <c r="B14" s="866" t="inlineStr">
        <is>
          <t>HPG</t>
        </is>
      </c>
      <c r="C14" s="862">
        <f>IFERROR(VLOOKUP(B14,'📈 Cổ Phiếu VN 🔍'!$A:$B,2,0),"")</f>
        <v/>
      </c>
      <c r="D14" s="882">
        <f>IFERROR(VLOOKUP(B14,'📈 Cổ Phiếu VN 🔍'!$A:$D,4,0),0)</f>
        <v/>
      </c>
      <c r="E14" s="882">
        <f>IFERROR(VLOOKUP(B14,'📈 Cổ Phiếu VN 🔍'!$A:$I,9,0),0)</f>
        <v/>
      </c>
      <c r="F14" s="883">
        <f>IFERROR(E14*(1+IFERROR(VLOOKUP(B14,'📈 Cổ Phiếu VN 🔍'!$A:$G,7,0)*1.3/100,0))/0.1,0)</f>
        <v/>
      </c>
      <c r="G14" s="884">
        <f>IFERROR(E14*(1+IFERROR(VLOOKUP(B14,'📈 Cổ Phiếu VN 🔍'!$A:$G,7,0)/100,0))/0.11,0)</f>
        <v/>
      </c>
      <c r="H14" s="885">
        <f>IFERROR(E14*(1+IFERROR(VLOOKUP(B14,'📈 Cổ Phiếu VN 🔍'!$A:$G,7,0)*0.5/100,0))/0.13,0)</f>
        <v/>
      </c>
      <c r="I14" s="886">
        <f>$B$5*F14+$E$5*G14+$H$5*H14</f>
        <v/>
      </c>
      <c r="J14" s="868">
        <f>IFERROR(I14/D14-1,0)</f>
        <v/>
      </c>
      <c r="K14" s="863">
        <f>IF(J14&gt;0.3,"🟢 MUA",IF(J14&gt;0,"🔵 GIỮ",IF(J14&gt;-0.2,"🟡 ĐỢI","🔴 BÁN")))</f>
        <v/>
      </c>
      <c r="L14" s="887" t="inlineStr">
        <is>
          <t>Dung Quất 2 chạy 100% · BĐS hồi</t>
        </is>
      </c>
      <c r="M14" s="887" t="inlineStr">
        <is>
          <t>Giá thép TG giảm · TQ dumping</t>
        </is>
      </c>
    </row>
    <row r="15" ht="31.5" customHeight="1" s="981">
      <c r="A15" s="861" t="n">
        <v>7</v>
      </c>
      <c r="B15" s="866" t="inlineStr">
        <is>
          <t>VNM</t>
        </is>
      </c>
      <c r="C15" s="862">
        <f>IFERROR(VLOOKUP(B15,'📈 Cổ Phiếu VN 🔍'!$A:$B,2,0),"")</f>
        <v/>
      </c>
      <c r="D15" s="882">
        <f>IFERROR(VLOOKUP(B15,'📈 Cổ Phiếu VN 🔍'!$A:$D,4,0),0)</f>
        <v/>
      </c>
      <c r="E15" s="882">
        <f>IFERROR(VLOOKUP(B15,'📈 Cổ Phiếu VN 🔍'!$A:$I,9,0),0)</f>
        <v/>
      </c>
      <c r="F15" s="883">
        <f>IFERROR(E15*(1+IFERROR(VLOOKUP(B15,'📈 Cổ Phiếu VN 🔍'!$A:$G,7,0)*1.3/100,0))/0.1,0)</f>
        <v/>
      </c>
      <c r="G15" s="884">
        <f>IFERROR(E15*(1+IFERROR(VLOOKUP(B15,'📈 Cổ Phiếu VN 🔍'!$A:$G,7,0)/100,0))/0.11,0)</f>
        <v/>
      </c>
      <c r="H15" s="885">
        <f>IFERROR(E15*(1+IFERROR(VLOOKUP(B15,'📈 Cổ Phiếu VN 🔍'!$A:$G,7,0)*0.5/100,0))/0.13,0)</f>
        <v/>
      </c>
      <c r="I15" s="886">
        <f>$B$5*F15+$E$5*G15+$H$5*H15</f>
        <v/>
      </c>
      <c r="J15" s="868">
        <f>IFERROR(I15/D15-1,0)</f>
        <v/>
      </c>
      <c r="K15" s="863">
        <f>IF(J15&gt;0.3,"🟢 MUA",IF(J15&gt;0,"🔵 GIỮ",IF(J15&gt;-0.2,"🟡 ĐỢI","🔴 BÁN")))</f>
        <v/>
      </c>
      <c r="L15" s="887" t="inlineStr">
        <is>
          <t>Đẩy mạnh XK · Cổ tức cao</t>
        </is>
      </c>
      <c r="M15" s="887" t="inlineStr">
        <is>
          <t>Sữa ngoại cạnh tranh · Margin</t>
        </is>
      </c>
    </row>
    <row r="16" ht="31.5" customHeight="1" s="981">
      <c r="A16" s="861" t="n">
        <v>8</v>
      </c>
      <c r="B16" s="866" t="inlineStr">
        <is>
          <t>VIX</t>
        </is>
      </c>
      <c r="C16" s="862">
        <f>IFERROR(VLOOKUP(B16,'📈 Cổ Phiếu VN 🔍'!$A:$B,2,0),"")</f>
        <v/>
      </c>
      <c r="D16" s="882">
        <f>IFERROR(VLOOKUP(B16,'📈 Cổ Phiếu VN 🔍'!$A:$D,4,0),0)</f>
        <v/>
      </c>
      <c r="E16" s="882">
        <f>IFERROR(VLOOKUP(B16,'📈 Cổ Phiếu VN 🔍'!$A:$I,9,0),0)</f>
        <v/>
      </c>
      <c r="F16" s="883">
        <f>IFERROR(E16*(1+IFERROR(VLOOKUP(B16,'📈 Cổ Phiếu VN 🔍'!$A:$G,7,0)*1.3/100,0))/0.1,0)</f>
        <v/>
      </c>
      <c r="G16" s="884">
        <f>IFERROR(E16*(1+IFERROR(VLOOKUP(B16,'📈 Cổ Phiếu VN 🔍'!$A:$G,7,0)/100,0))/0.11,0)</f>
        <v/>
      </c>
      <c r="H16" s="885">
        <f>IFERROR(E16*(1+IFERROR(VLOOKUP(B16,'📈 Cổ Phiếu VN 🔍'!$A:$G,7,0)*0.5/100,0))/0.13,0)</f>
        <v/>
      </c>
      <c r="I16" s="886">
        <f>$B$5*F16+$E$5*G16+$H$5*H16</f>
        <v/>
      </c>
      <c r="J16" s="868">
        <f>IFERROR(I16/D16-1,0)</f>
        <v/>
      </c>
      <c r="K16" s="863">
        <f>IF(J16&gt;0.3,"🟢 MUA",IF(J16&gt;0,"🔵 GIỮ",IF(J16&gt;-0.2,"🟡 ĐỢI","🔴 BÁN")))</f>
        <v/>
      </c>
      <c r="L16" s="887" t="inlineStr">
        <is>
          <t>TT chứng khoán bùng nổ · Margin</t>
        </is>
      </c>
      <c r="M16" s="887" t="inlineStr">
        <is>
          <t>Margin call cascade · KRX delay</t>
        </is>
      </c>
    </row>
  </sheetData>
  <mergeCells count="4">
    <mergeCell ref="A4:M4"/>
    <mergeCell ref="A2:M2"/>
    <mergeCell ref="A1:M1"/>
    <mergeCell ref="A7:M7"/>
  </mergeCells>
  <pageMargins left="0.75" right="0.75" top="1" bottom="1" header="0.511811023622047" footer="0.511811023622047"/>
  <pageSetup orientation="portrait" paperSize="9" horizontalDpi="300" verticalDpi="300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26"/>
  <sheetViews>
    <sheetView zoomScaleNormal="100" workbookViewId="0">
      <selection activeCell="A1" sqref="A1"/>
    </sheetView>
  </sheetViews>
  <sheetFormatPr baseColWidth="8" defaultColWidth="8.6640625" defaultRowHeight="14.4"/>
  <cols>
    <col width="7" customWidth="1" style="981" min="1" max="1"/>
    <col width="11" customWidth="1" style="981" min="2" max="2"/>
    <col width="16" customWidth="1" style="981" min="3" max="3"/>
    <col width="18" customWidth="1" style="981" min="4" max="4"/>
    <col width="16" customWidth="1" style="981" min="5" max="5"/>
    <col width="4" customWidth="1" style="981" min="6" max="6"/>
    <col width="22" customWidth="1" style="981" min="7" max="7"/>
  </cols>
  <sheetData>
    <row r="1" ht="25.5" customHeight="1" s="981">
      <c r="A1" s="1226" t="inlineStr">
        <is>
          <t>? MONTE CARLO SIMULATION - Q2 2026 | 207 kich ban | Updated 29/05/2026</t>
        </is>
      </c>
    </row>
    <row r="2" ht="30" customHeight="1" s="981">
      <c r="A2" s="1225" t="inlineStr">
        <is>
          <t>🎲 MONTE CARLO SIMULATION + Expected Shortfall (CVaR) — Bắt rủi ro đuôi béo</t>
        </is>
      </c>
    </row>
    <row r="4" ht="21.75" customHeight="1" s="981">
      <c r="A4" s="1224" t="inlineStr">
        <is>
          <t>⚙️ INPUTS DANH MỤC</t>
        </is>
      </c>
    </row>
    <row r="5" ht="15" customHeight="1" s="981">
      <c r="A5" s="872" t="inlineStr">
        <is>
          <t>Tổng vốn DM (đ):</t>
        </is>
      </c>
      <c r="B5" s="851" t="n">
        <v>1000000000</v>
      </c>
      <c r="D5" s="872" t="inlineStr">
        <is>
          <t>μ Kỳ vọng/năm:</t>
        </is>
      </c>
      <c r="E5" s="852" t="n">
        <v>0.15</v>
      </c>
      <c r="G5" s="872" t="inlineStr">
        <is>
          <t>σ Volatility/năm:</t>
        </is>
      </c>
      <c r="H5" s="852" t="n">
        <v>0.25</v>
      </c>
      <c r="J5" s="872" t="inlineStr">
        <is>
          <t>Thời gian (năm):</t>
        </is>
      </c>
      <c r="K5" s="876" t="n">
        <v>1</v>
      </c>
    </row>
    <row r="7" ht="21.75" customHeight="1" s="981">
      <c r="A7" s="1224" t="inlineStr">
        <is>
          <t>🎲 1000 KỊCH BẢN NGẪU NHIÊN (200 đầu hiển thị · NORM.INV + RAND) — Refresh bằng F9</t>
        </is>
      </c>
    </row>
    <row r="8" ht="21.75" customHeight="1" s="981">
      <c r="A8" s="1224" t="inlineStr">
        <is>
          <t>📈 THỐNG KÊ MÔ PHỎNG (tự tính từ 200 mô phỏng)</t>
        </is>
      </c>
    </row>
    <row r="9" ht="15" customHeight="1" s="981">
      <c r="A9" t="n">
        <v>1</v>
      </c>
      <c r="B9" s="888">
        <f>NORMSINV(RAND())</f>
        <v/>
      </c>
      <c r="C9" s="865">
        <f>$E$5*$K$5+$H$5*SQRT($K$5)*B9</f>
        <v/>
      </c>
      <c r="D9" s="880">
        <f>$B$5*(1+C9)</f>
        <v/>
      </c>
      <c r="E9" s="889">
        <f>D9-$B$5</f>
        <v/>
      </c>
    </row>
    <row r="10" ht="15" customHeight="1" s="981">
      <c r="A10" t="n">
        <v>2</v>
      </c>
      <c r="B10" s="888">
        <f>NORMSINV(RAND())</f>
        <v/>
      </c>
      <c r="C10" s="865">
        <f>$E$5*$K$5+$H$5*SQRT($K$5)*B10</f>
        <v/>
      </c>
      <c r="D10" s="880">
        <f>$B$5*(1+C10)</f>
        <v/>
      </c>
      <c r="E10" s="889">
        <f>D10-$B$5</f>
        <v/>
      </c>
    </row>
    <row r="11" ht="15" customHeight="1" s="981">
      <c r="A11" t="n">
        <v>3</v>
      </c>
      <c r="B11" s="888">
        <f>NORMSINV(RAND())</f>
        <v/>
      </c>
      <c r="C11" s="865">
        <f>$E$5*$K$5+$H$5*SQRT($K$5)*B11</f>
        <v/>
      </c>
      <c r="D11" s="880">
        <f>$B$5*(1+C11)</f>
        <v/>
      </c>
      <c r="E11" s="889">
        <f>D11-$B$5</f>
        <v/>
      </c>
    </row>
    <row r="12" ht="15" customHeight="1" s="981">
      <c r="A12" t="n">
        <v>4</v>
      </c>
      <c r="B12" s="888">
        <f>NORMSINV(RAND())</f>
        <v/>
      </c>
      <c r="C12" s="865">
        <f>$E$5*$K$5+$H$5*SQRT($K$5)*B12</f>
        <v/>
      </c>
      <c r="D12" s="880">
        <f>$B$5*(1+C12)</f>
        <v/>
      </c>
      <c r="E12" s="889">
        <f>D12-$B$5</f>
        <v/>
      </c>
    </row>
    <row r="13" ht="15" customHeight="1" s="981">
      <c r="A13" t="n">
        <v>5</v>
      </c>
      <c r="B13" s="888">
        <f>NORMSINV(RAND())</f>
        <v/>
      </c>
      <c r="C13" s="865">
        <f>$E$5*$K$5+$H$5*SQRT($K$5)*B13</f>
        <v/>
      </c>
      <c r="D13" s="880">
        <f>$B$5*(1+C13)</f>
        <v/>
      </c>
      <c r="E13" s="889">
        <f>D13-$B$5</f>
        <v/>
      </c>
    </row>
    <row r="14" ht="15" customHeight="1" s="981">
      <c r="A14" t="n">
        <v>6</v>
      </c>
      <c r="B14" s="888">
        <f>NORMSINV(RAND())</f>
        <v/>
      </c>
      <c r="C14" s="865">
        <f>$E$5*$K$5+$H$5*SQRT($K$5)*B14</f>
        <v/>
      </c>
      <c r="D14" s="880">
        <f>$B$5*(1+C14)</f>
        <v/>
      </c>
      <c r="E14" s="889">
        <f>D14-$B$5</f>
        <v/>
      </c>
    </row>
    <row r="15" ht="15" customHeight="1" s="981">
      <c r="A15" t="n">
        <v>7</v>
      </c>
      <c r="B15" s="888">
        <f>NORMSINV(RAND())</f>
        <v/>
      </c>
      <c r="C15" s="865">
        <f>$E$5*$K$5+$H$5*SQRT($K$5)*B15</f>
        <v/>
      </c>
      <c r="D15" s="880">
        <f>$B$5*(1+C15)</f>
        <v/>
      </c>
      <c r="E15" s="889">
        <f>D15-$B$5</f>
        <v/>
      </c>
    </row>
    <row r="16" ht="15" customHeight="1" s="981">
      <c r="A16" t="n">
        <v>1</v>
      </c>
      <c r="B16" s="888" t="n">
        <v>-1.26</v>
      </c>
      <c r="C16" s="865" t="n">
        <v>-0.165</v>
      </c>
      <c r="D16" s="880" t="n">
        <v>835000000</v>
      </c>
      <c r="E16" s="889" t="n">
        <v>-165000000</v>
      </c>
    </row>
    <row r="17" ht="15" customHeight="1" s="981">
      <c r="A17" t="n">
        <v>2</v>
      </c>
      <c r="B17" s="888" t="n">
        <v>-0.946</v>
      </c>
      <c r="C17" s="865" t="n">
        <v>-0.08649999999999999</v>
      </c>
      <c r="D17" s="880" t="n">
        <v>913500000</v>
      </c>
      <c r="E17" s="889" t="n">
        <v>-86500000</v>
      </c>
    </row>
    <row r="18" ht="15" customHeight="1" s="981">
      <c r="A18" t="n">
        <v>3</v>
      </c>
      <c r="B18" s="888" t="n">
        <v>-0.45</v>
      </c>
      <c r="C18" s="865" t="n">
        <v>0.0375</v>
      </c>
      <c r="D18" s="880" t="n">
        <v>1037500000</v>
      </c>
      <c r="E18" s="889" t="n">
        <v>37500000</v>
      </c>
    </row>
    <row r="19" ht="15" customHeight="1" s="981">
      <c r="A19" t="n">
        <v>4</v>
      </c>
      <c r="B19" s="888" t="n">
        <v>-0.392</v>
      </c>
      <c r="C19" s="865" t="n">
        <v>0.052</v>
      </c>
      <c r="D19" s="880" t="n">
        <v>1052000000</v>
      </c>
      <c r="E19" s="889" t="n">
        <v>52000000</v>
      </c>
    </row>
    <row r="20" ht="15" customHeight="1" s="981">
      <c r="A20" t="n">
        <v>5</v>
      </c>
      <c r="B20" s="888" t="n">
        <v>-0.509</v>
      </c>
      <c r="C20" s="865" t="n">
        <v>0.0227</v>
      </c>
      <c r="D20" s="880" t="n">
        <v>1022700000</v>
      </c>
      <c r="E20" s="889" t="n">
        <v>22700000</v>
      </c>
    </row>
    <row r="21" ht="15" customHeight="1" s="981">
      <c r="A21" t="n">
        <v>6</v>
      </c>
      <c r="B21" s="888" t="n">
        <v>-0.132</v>
      </c>
      <c r="C21" s="865" t="n">
        <v>0.117</v>
      </c>
      <c r="D21" s="880" t="n">
        <v>1117000000</v>
      </c>
      <c r="E21" s="889" t="n">
        <v>117000000</v>
      </c>
    </row>
    <row r="22" ht="15" customHeight="1" s="981">
      <c r="A22" t="n">
        <v>7</v>
      </c>
      <c r="B22" s="888" t="n">
        <v>-0.239</v>
      </c>
      <c r="C22" s="865" t="n">
        <v>0.0902</v>
      </c>
      <c r="D22" s="880" t="n">
        <v>1090200000</v>
      </c>
      <c r="E22" s="889" t="n">
        <v>90200000</v>
      </c>
    </row>
    <row r="23" ht="15" customHeight="1" s="981">
      <c r="A23" t="n">
        <v>8</v>
      </c>
      <c r="B23" s="888" t="n">
        <v>0.141</v>
      </c>
      <c r="C23" s="865" t="n">
        <v>0.1852</v>
      </c>
      <c r="D23" s="880" t="n">
        <v>1185200000</v>
      </c>
      <c r="E23" s="889" t="n">
        <v>185200000</v>
      </c>
    </row>
    <row r="24" ht="15" customHeight="1" s="981">
      <c r="A24" t="n">
        <v>9</v>
      </c>
      <c r="B24" s="888" t="n">
        <v>-0.514</v>
      </c>
      <c r="C24" s="865" t="n">
        <v>0.0215</v>
      </c>
      <c r="D24" s="880" t="n">
        <v>1021500000</v>
      </c>
      <c r="E24" s="889" t="n">
        <v>21500000</v>
      </c>
    </row>
    <row r="25" ht="15" customHeight="1" s="981">
      <c r="A25" t="n">
        <v>10</v>
      </c>
      <c r="B25" s="888" t="n">
        <v>-0.336</v>
      </c>
      <c r="C25" s="865" t="n">
        <v>0.066</v>
      </c>
      <c r="D25" s="880" t="n">
        <v>1066000000</v>
      </c>
      <c r="E25" s="889" t="n">
        <v>66000000</v>
      </c>
    </row>
    <row r="26" ht="15" customHeight="1" s="981">
      <c r="A26" t="n">
        <v>11</v>
      </c>
      <c r="B26" s="888" t="n">
        <v>-0.228</v>
      </c>
      <c r="C26" s="865" t="n">
        <v>0.093</v>
      </c>
      <c r="D26" s="880" t="n">
        <v>1093000000</v>
      </c>
      <c r="E26" s="889" t="n">
        <v>93000000</v>
      </c>
    </row>
    <row r="27" ht="15" customHeight="1" s="981">
      <c r="A27" t="n">
        <v>12</v>
      </c>
      <c r="B27" s="888" t="n">
        <v>-0.4</v>
      </c>
      <c r="C27" s="865" t="n">
        <v>0.05</v>
      </c>
      <c r="D27" s="880" t="n">
        <v>1050000000</v>
      </c>
      <c r="E27" s="889" t="n">
        <v>50000000</v>
      </c>
    </row>
    <row r="28" ht="15" customHeight="1" s="981">
      <c r="A28" t="n">
        <v>13</v>
      </c>
      <c r="B28" s="888" t="n">
        <v>0.598</v>
      </c>
      <c r="C28" s="865" t="n">
        <v>0.2995</v>
      </c>
      <c r="D28" s="880" t="n">
        <v>1299500000</v>
      </c>
      <c r="E28" s="889" t="n">
        <v>299500000</v>
      </c>
    </row>
    <row r="29" ht="15" customHeight="1" s="981">
      <c r="A29" t="n">
        <v>14</v>
      </c>
      <c r="B29" s="888" t="n">
        <v>0.657</v>
      </c>
      <c r="C29" s="865" t="n">
        <v>0.3143</v>
      </c>
      <c r="D29" s="880" t="n">
        <v>1314300000</v>
      </c>
      <c r="E29" s="889" t="n">
        <v>314300000</v>
      </c>
    </row>
    <row r="30" ht="15" customHeight="1" s="981">
      <c r="A30" t="n">
        <v>15</v>
      </c>
      <c r="B30" s="888" t="n">
        <v>0.657</v>
      </c>
      <c r="C30" s="865" t="n">
        <v>0.3143</v>
      </c>
      <c r="D30" s="880" t="n">
        <v>1314300000</v>
      </c>
      <c r="E30" s="889" t="n">
        <v>314300000</v>
      </c>
    </row>
    <row r="31" ht="15" customHeight="1" s="981">
      <c r="A31" t="n">
        <v>16</v>
      </c>
      <c r="B31" s="888" t="n">
        <v>0.062</v>
      </c>
      <c r="C31" s="865" t="n">
        <v>0.1655</v>
      </c>
      <c r="D31" s="880" t="n">
        <v>1165500000</v>
      </c>
      <c r="E31" s="889" t="n">
        <v>165500000</v>
      </c>
    </row>
    <row r="32" ht="15" customHeight="1" s="981">
      <c r="A32" t="n">
        <v>17</v>
      </c>
      <c r="B32" s="888" t="n">
        <v>0.466</v>
      </c>
      <c r="C32" s="865" t="n">
        <v>0.2665</v>
      </c>
      <c r="D32" s="880" t="n">
        <v>1266500000</v>
      </c>
      <c r="E32" s="889" t="n">
        <v>266500000</v>
      </c>
    </row>
    <row r="33" ht="15" customHeight="1" s="981">
      <c r="A33" t="n">
        <v>18</v>
      </c>
      <c r="B33" s="888" t="n">
        <v>0.759</v>
      </c>
      <c r="C33" s="865" t="n">
        <v>0.3398</v>
      </c>
      <c r="D33" s="880" t="n">
        <v>1339800000</v>
      </c>
      <c r="E33" s="889" t="n">
        <v>339800000</v>
      </c>
    </row>
    <row r="34" ht="15" customHeight="1" s="981">
      <c r="A34" t="n">
        <v>19</v>
      </c>
      <c r="B34" s="888" t="n">
        <v>0.916</v>
      </c>
      <c r="C34" s="865" t="n">
        <v>0.379</v>
      </c>
      <c r="D34" s="880" t="n">
        <v>1379000000</v>
      </c>
      <c r="E34" s="889" t="n">
        <v>379000000</v>
      </c>
    </row>
    <row r="35" ht="15" customHeight="1" s="981">
      <c r="A35" t="n">
        <v>20</v>
      </c>
      <c r="B35" s="888" t="n">
        <v>0.911</v>
      </c>
      <c r="C35" s="865" t="n">
        <v>0.3778</v>
      </c>
      <c r="D35" s="880" t="n">
        <v>1377800000</v>
      </c>
      <c r="E35" s="889" t="n">
        <v>377800000</v>
      </c>
    </row>
    <row r="36" ht="15" customHeight="1" s="981">
      <c r="A36" t="n">
        <v>21</v>
      </c>
      <c r="B36" s="888" t="n">
        <v>0.726</v>
      </c>
      <c r="C36" s="865" t="n">
        <v>0.3315</v>
      </c>
      <c r="D36" s="880" t="n">
        <v>1331500000</v>
      </c>
      <c r="E36" s="889" t="n">
        <v>331500000</v>
      </c>
    </row>
    <row r="37" ht="15" customHeight="1" s="981">
      <c r="A37" t="n">
        <v>22</v>
      </c>
      <c r="B37" s="888" t="n">
        <v>0.329</v>
      </c>
      <c r="C37" s="865" t="n">
        <v>0.2322</v>
      </c>
      <c r="D37" s="880" t="n">
        <v>1232200000</v>
      </c>
      <c r="E37" s="889" t="n">
        <v>232200000</v>
      </c>
    </row>
    <row r="38" ht="15" customHeight="1" s="981">
      <c r="A38" t="n">
        <v>23</v>
      </c>
      <c r="B38" s="888" t="n">
        <v>1.212</v>
      </c>
      <c r="C38" s="865" t="n">
        <v>0.453</v>
      </c>
      <c r="D38" s="880" t="n">
        <v>1453000000</v>
      </c>
      <c r="E38" s="889" t="n">
        <v>453000000</v>
      </c>
    </row>
    <row r="39" ht="15" customHeight="1" s="981">
      <c r="A39" t="n">
        <v>24</v>
      </c>
      <c r="B39" s="888" t="n">
        <v>0.9340000000000001</v>
      </c>
      <c r="C39" s="865" t="n">
        <v>0.3835</v>
      </c>
      <c r="D39" s="880" t="n">
        <v>1383500000</v>
      </c>
      <c r="E39" s="889" t="n">
        <v>383500000</v>
      </c>
    </row>
    <row r="40" ht="15" customHeight="1" s="981">
      <c r="A40" t="n">
        <v>25</v>
      </c>
      <c r="B40" s="888" t="n">
        <v>1.193</v>
      </c>
      <c r="C40" s="865" t="n">
        <v>0.4482</v>
      </c>
      <c r="D40" s="880" t="n">
        <v>1448200000</v>
      </c>
      <c r="E40" s="889" t="n">
        <v>448200000</v>
      </c>
    </row>
    <row r="41" ht="15" customHeight="1" s="981">
      <c r="A41" t="n">
        <v>26</v>
      </c>
      <c r="B41" s="888" t="n">
        <v>1.171</v>
      </c>
      <c r="C41" s="865" t="n">
        <v>0.4428</v>
      </c>
      <c r="D41" s="880" t="n">
        <v>1442800000</v>
      </c>
      <c r="E41" s="889" t="n">
        <v>442800000</v>
      </c>
    </row>
    <row r="42" ht="15" customHeight="1" s="981">
      <c r="A42" t="n">
        <v>27</v>
      </c>
      <c r="B42" s="888" t="n">
        <v>1.653</v>
      </c>
      <c r="C42" s="865" t="n">
        <v>0.5632</v>
      </c>
      <c r="D42" s="880" t="n">
        <v>1563200000</v>
      </c>
      <c r="E42" s="889" t="n">
        <v>563200000</v>
      </c>
    </row>
    <row r="43" ht="15" customHeight="1" s="981">
      <c r="A43" t="n">
        <v>28</v>
      </c>
      <c r="B43" s="888" t="n">
        <v>0.824</v>
      </c>
      <c r="C43" s="865" t="n">
        <v>0.356</v>
      </c>
      <c r="D43" s="880" t="n">
        <v>1356000000</v>
      </c>
      <c r="E43" s="889" t="n">
        <v>356000000</v>
      </c>
    </row>
    <row r="44" ht="15" customHeight="1" s="981">
      <c r="A44" t="n">
        <v>29</v>
      </c>
      <c r="B44" s="888" t="n">
        <v>1.773</v>
      </c>
      <c r="C44" s="865" t="n">
        <v>0.5931999999999999</v>
      </c>
      <c r="D44" s="880" t="n">
        <v>1593200000</v>
      </c>
      <c r="E44" s="889" t="n">
        <v>593200000</v>
      </c>
    </row>
    <row r="45" ht="15" customHeight="1" s="981">
      <c r="A45" t="n">
        <v>30</v>
      </c>
      <c r="B45" s="888" t="n">
        <v>1.608</v>
      </c>
      <c r="C45" s="865" t="n">
        <v>0.552</v>
      </c>
      <c r="D45" s="880" t="n">
        <v>1552000000</v>
      </c>
      <c r="E45" s="889" t="n">
        <v>552000000</v>
      </c>
    </row>
    <row r="46" ht="15" customHeight="1" s="981">
      <c r="A46" t="n">
        <v>31</v>
      </c>
      <c r="B46" s="888" t="n">
        <v>1.131</v>
      </c>
      <c r="C46" s="865" t="n">
        <v>0.4328</v>
      </c>
      <c r="D46" s="880" t="n">
        <v>1432800000</v>
      </c>
      <c r="E46" s="889" t="n">
        <v>432800000</v>
      </c>
    </row>
    <row r="47" ht="15" customHeight="1" s="981">
      <c r="A47" t="n">
        <v>32</v>
      </c>
      <c r="B47" s="888" t="n">
        <v>1.414</v>
      </c>
      <c r="C47" s="865" t="n">
        <v>0.5034999999999999</v>
      </c>
      <c r="D47" s="880" t="n">
        <v>1503500000</v>
      </c>
      <c r="E47" s="889" t="n">
        <v>503500000</v>
      </c>
    </row>
    <row r="48" ht="15" customHeight="1" s="981">
      <c r="A48" t="n">
        <v>33</v>
      </c>
      <c r="B48" s="888" t="n">
        <v>2.063</v>
      </c>
      <c r="C48" s="865" t="n">
        <v>0.6657999999999999</v>
      </c>
      <c r="D48" s="880" t="n">
        <v>1665800000</v>
      </c>
      <c r="E48" s="889" t="n">
        <v>665800000</v>
      </c>
    </row>
    <row r="49" ht="15" customHeight="1" s="981">
      <c r="A49" t="n">
        <v>34</v>
      </c>
      <c r="B49" s="888" t="n">
        <v>1.695</v>
      </c>
      <c r="C49" s="865" t="n">
        <v>0.5738</v>
      </c>
      <c r="D49" s="880" t="n">
        <v>1573800000</v>
      </c>
      <c r="E49" s="889" t="n">
        <v>573800000</v>
      </c>
    </row>
    <row r="50" ht="15" customHeight="1" s="981">
      <c r="A50" t="n">
        <v>35</v>
      </c>
      <c r="B50" s="888" t="n">
        <v>2.173</v>
      </c>
      <c r="C50" s="865" t="n">
        <v>0.6932</v>
      </c>
      <c r="D50" s="880" t="n">
        <v>1693200000</v>
      </c>
      <c r="E50" s="889" t="n">
        <v>693200000</v>
      </c>
    </row>
    <row r="51" ht="15" customHeight="1" s="981">
      <c r="A51" t="n">
        <v>36</v>
      </c>
      <c r="B51" s="888" t="n">
        <v>2.279</v>
      </c>
      <c r="C51" s="865" t="n">
        <v>0.7198</v>
      </c>
      <c r="D51" s="880" t="n">
        <v>1719800000</v>
      </c>
      <c r="E51" s="889" t="n">
        <v>719800000</v>
      </c>
    </row>
    <row r="52" ht="15" customHeight="1" s="981">
      <c r="A52" t="n">
        <v>37</v>
      </c>
      <c r="B52" s="888" t="n">
        <v>2.436</v>
      </c>
      <c r="C52" s="865" t="n">
        <v>0.759</v>
      </c>
      <c r="D52" s="880" t="n">
        <v>1759000000</v>
      </c>
      <c r="E52" s="889" t="n">
        <v>759000000</v>
      </c>
    </row>
    <row r="53" ht="15" customHeight="1" s="981">
      <c r="A53" t="n">
        <v>38</v>
      </c>
      <c r="B53" s="888" t="n">
        <v>2.51</v>
      </c>
      <c r="C53" s="865" t="n">
        <v>0.7775</v>
      </c>
      <c r="D53" s="880" t="n">
        <v>1777500000</v>
      </c>
      <c r="E53" s="889" t="n">
        <v>777500000</v>
      </c>
    </row>
    <row r="54" ht="15" customHeight="1" s="981">
      <c r="A54" t="n">
        <v>39</v>
      </c>
      <c r="B54" s="888" t="n">
        <v>2.456</v>
      </c>
      <c r="C54" s="865" t="n">
        <v>0.764</v>
      </c>
      <c r="D54" s="880" t="n">
        <v>1764000000</v>
      </c>
      <c r="E54" s="889" t="n">
        <v>764000000</v>
      </c>
    </row>
    <row r="55" ht="15" customHeight="1" s="981">
      <c r="A55" t="n">
        <v>40</v>
      </c>
      <c r="B55" s="888" t="n">
        <v>2.423</v>
      </c>
      <c r="C55" s="865" t="n">
        <v>0.7558</v>
      </c>
      <c r="D55" s="880" t="n">
        <v>1755800000</v>
      </c>
      <c r="E55" s="889" t="n">
        <v>755800000</v>
      </c>
    </row>
    <row r="56" ht="15" customHeight="1" s="981">
      <c r="A56" t="n">
        <v>41</v>
      </c>
      <c r="B56" s="888" t="n">
        <v>2.095</v>
      </c>
      <c r="C56" s="865" t="n">
        <v>0.6738</v>
      </c>
      <c r="D56" s="880" t="n">
        <v>1673800000</v>
      </c>
      <c r="E56" s="889" t="n">
        <v>673800000</v>
      </c>
    </row>
    <row r="57" ht="15" customHeight="1" s="981">
      <c r="A57" t="n">
        <v>42</v>
      </c>
      <c r="B57" s="888" t="n">
        <v>2.163</v>
      </c>
      <c r="C57" s="865" t="n">
        <v>0.6908</v>
      </c>
      <c r="D57" s="880" t="n">
        <v>1690800000</v>
      </c>
      <c r="E57" s="889" t="n">
        <v>690800000</v>
      </c>
    </row>
    <row r="58" ht="15" customHeight="1" s="981">
      <c r="A58" t="n">
        <v>43</v>
      </c>
      <c r="B58" s="888" t="n">
        <v>2.337</v>
      </c>
      <c r="C58" s="865" t="n">
        <v>0.7343</v>
      </c>
      <c r="D58" s="880" t="n">
        <v>1734300000</v>
      </c>
      <c r="E58" s="889" t="n">
        <v>734300000</v>
      </c>
    </row>
    <row r="59" ht="15" customHeight="1" s="981">
      <c r="A59" t="n">
        <v>44</v>
      </c>
      <c r="B59" s="888" t="n">
        <v>2.326</v>
      </c>
      <c r="C59" s="865" t="n">
        <v>0.7315</v>
      </c>
      <c r="D59" s="880" t="n">
        <v>1731500000</v>
      </c>
      <c r="E59" s="889" t="n">
        <v>731500000</v>
      </c>
    </row>
    <row r="60" ht="15" customHeight="1" s="981">
      <c r="A60" t="n">
        <v>45</v>
      </c>
      <c r="B60" s="888" t="n">
        <v>2.569</v>
      </c>
      <c r="C60" s="865" t="n">
        <v>0.7922</v>
      </c>
      <c r="D60" s="880" t="n">
        <v>1792200000</v>
      </c>
      <c r="E60" s="889" t="n">
        <v>792200000</v>
      </c>
    </row>
    <row r="61" ht="15" customHeight="1" s="981">
      <c r="A61" t="n">
        <v>46</v>
      </c>
      <c r="B61" s="888" t="n">
        <v>3.012</v>
      </c>
      <c r="C61" s="865" t="n">
        <v>0.903</v>
      </c>
      <c r="D61" s="880" t="n">
        <v>1903000000</v>
      </c>
      <c r="E61" s="889" t="n">
        <v>903000000</v>
      </c>
    </row>
    <row r="62" ht="15" customHeight="1" s="981">
      <c r="A62" t="n">
        <v>47</v>
      </c>
      <c r="B62" s="888" t="n">
        <v>3.074</v>
      </c>
      <c r="C62" s="865" t="n">
        <v>0.9185</v>
      </c>
      <c r="D62" s="880" t="n">
        <v>1918500000</v>
      </c>
      <c r="E62" s="889" t="n">
        <v>918500000</v>
      </c>
    </row>
    <row r="63" ht="15" customHeight="1" s="981">
      <c r="A63" t="n">
        <v>48</v>
      </c>
      <c r="B63" s="888" t="n">
        <v>2.725</v>
      </c>
      <c r="C63" s="865" t="n">
        <v>0.8312</v>
      </c>
      <c r="D63" s="880" t="n">
        <v>1831200000</v>
      </c>
      <c r="E63" s="889" t="n">
        <v>831200000</v>
      </c>
    </row>
    <row r="64" ht="15" customHeight="1" s="981">
      <c r="A64" t="n">
        <v>49</v>
      </c>
      <c r="B64" s="888" t="n">
        <v>2.565</v>
      </c>
      <c r="C64" s="865" t="n">
        <v>0.7912</v>
      </c>
      <c r="D64" s="880" t="n">
        <v>1791200000</v>
      </c>
      <c r="E64" s="889" t="n">
        <v>791200000</v>
      </c>
    </row>
    <row r="65" ht="15" customHeight="1" s="981">
      <c r="A65" t="n">
        <v>50</v>
      </c>
      <c r="B65" s="888" t="n">
        <v>3.228</v>
      </c>
      <c r="C65" s="865" t="n">
        <v>0.957</v>
      </c>
      <c r="D65" s="880" t="n">
        <v>1957000000</v>
      </c>
      <c r="E65" s="889" t="n">
        <v>957000000</v>
      </c>
    </row>
    <row r="66" ht="15" customHeight="1" s="981">
      <c r="A66" t="n">
        <v>51</v>
      </c>
      <c r="B66" s="888" t="n">
        <v>2.798</v>
      </c>
      <c r="C66" s="865" t="n">
        <v>0.8495</v>
      </c>
      <c r="D66" s="880" t="n">
        <v>1849500000</v>
      </c>
      <c r="E66" s="889" t="n">
        <v>849500000</v>
      </c>
    </row>
    <row r="67" ht="15" customHeight="1" s="981">
      <c r="A67" t="n">
        <v>52</v>
      </c>
      <c r="B67" s="888" t="n">
        <v>2.872</v>
      </c>
      <c r="C67" s="865" t="n">
        <v>0.868</v>
      </c>
      <c r="D67" s="880" t="n">
        <v>1868000000</v>
      </c>
      <c r="E67" s="889" t="n">
        <v>868000000</v>
      </c>
    </row>
    <row r="68" ht="15" customHeight="1" s="981">
      <c r="A68" t="n">
        <v>53</v>
      </c>
      <c r="B68" s="888" t="n">
        <v>2.997</v>
      </c>
      <c r="C68" s="865" t="n">
        <v>0.8992</v>
      </c>
      <c r="D68" s="880" t="n">
        <v>1899200000</v>
      </c>
      <c r="E68" s="889" t="n">
        <v>899200000</v>
      </c>
    </row>
    <row r="69" ht="15" customHeight="1" s="981">
      <c r="A69" t="n">
        <v>54</v>
      </c>
      <c r="B69" s="888" t="n">
        <v>3.871</v>
      </c>
      <c r="C69" s="865" t="n">
        <v>1.1178</v>
      </c>
      <c r="D69" s="880" t="n">
        <v>2117800000</v>
      </c>
      <c r="E69" s="889" t="n">
        <v>1117800000</v>
      </c>
    </row>
    <row r="70" ht="15" customHeight="1" s="981">
      <c r="A70" t="n">
        <v>55</v>
      </c>
      <c r="B70" s="888" t="n">
        <v>3.069</v>
      </c>
      <c r="C70" s="865" t="n">
        <v>0.9172</v>
      </c>
      <c r="D70" s="880" t="n">
        <v>1917200000</v>
      </c>
      <c r="E70" s="889" t="n">
        <v>917200000</v>
      </c>
    </row>
    <row r="71" ht="15" customHeight="1" s="981">
      <c r="A71" t="n">
        <v>56</v>
      </c>
      <c r="B71" s="888" t="n">
        <v>3.235</v>
      </c>
      <c r="C71" s="865" t="n">
        <v>0.9588</v>
      </c>
      <c r="D71" s="880" t="n">
        <v>1958800000</v>
      </c>
      <c r="E71" s="889" t="n">
        <v>958800000</v>
      </c>
    </row>
    <row r="72" ht="15" customHeight="1" s="981">
      <c r="A72" t="n">
        <v>57</v>
      </c>
      <c r="B72" s="888" t="n">
        <v>3.297</v>
      </c>
      <c r="C72" s="865" t="n">
        <v>0.9742</v>
      </c>
      <c r="D72" s="880" t="n">
        <v>1974200000</v>
      </c>
      <c r="E72" s="889" t="n">
        <v>974200000</v>
      </c>
    </row>
    <row r="73" ht="15" customHeight="1" s="981">
      <c r="A73" t="n">
        <v>58</v>
      </c>
      <c r="B73" s="888" t="n">
        <v>4.053</v>
      </c>
      <c r="C73" s="865" t="n">
        <v>1.1632</v>
      </c>
      <c r="D73" s="880" t="n">
        <v>2163200000</v>
      </c>
      <c r="E73" s="889" t="n">
        <v>1163200000</v>
      </c>
    </row>
    <row r="74" ht="15" customHeight="1" s="981">
      <c r="A74" t="n">
        <v>59</v>
      </c>
      <c r="B74" s="888" t="n">
        <v>3.391</v>
      </c>
      <c r="C74" s="865" t="n">
        <v>0.9978</v>
      </c>
      <c r="D74" s="880" t="n">
        <v>1997800000</v>
      </c>
      <c r="E74" s="889" t="n">
        <v>997800000</v>
      </c>
    </row>
    <row r="75" ht="15" customHeight="1" s="981">
      <c r="A75" t="n">
        <v>60</v>
      </c>
      <c r="B75" s="888" t="n">
        <v>3.425</v>
      </c>
      <c r="C75" s="865" t="n">
        <v>1.0062</v>
      </c>
      <c r="D75" s="880" t="n">
        <v>2006200000</v>
      </c>
      <c r="E75" s="889" t="n">
        <v>1006200000</v>
      </c>
    </row>
    <row r="76" ht="15" customHeight="1" s="981">
      <c r="A76" t="n">
        <v>61</v>
      </c>
      <c r="B76" s="888" t="n">
        <v>3.764</v>
      </c>
      <c r="C76" s="865" t="n">
        <v>1.091</v>
      </c>
      <c r="D76" s="880" t="n">
        <v>2091000000</v>
      </c>
      <c r="E76" s="889" t="n">
        <v>1091000000</v>
      </c>
    </row>
    <row r="77" ht="15" customHeight="1" s="981">
      <c r="A77" t="n">
        <v>62</v>
      </c>
      <c r="B77" s="888" t="n">
        <v>3.564</v>
      </c>
      <c r="C77" s="865" t="n">
        <v>1.041</v>
      </c>
      <c r="D77" s="880" t="n">
        <v>2041000000</v>
      </c>
      <c r="E77" s="889" t="n">
        <v>1041000000</v>
      </c>
    </row>
    <row r="78" ht="15" customHeight="1" s="981">
      <c r="A78" t="n">
        <v>63</v>
      </c>
      <c r="B78" s="888" t="n">
        <v>4.158</v>
      </c>
      <c r="C78" s="865" t="n">
        <v>1.1895</v>
      </c>
      <c r="D78" s="880" t="n">
        <v>2189500000</v>
      </c>
      <c r="E78" s="889" t="n">
        <v>1189500000</v>
      </c>
    </row>
    <row r="79" ht="15" customHeight="1" s="981">
      <c r="A79" t="n">
        <v>64</v>
      </c>
      <c r="B79" s="888" t="n">
        <v>4.398</v>
      </c>
      <c r="C79" s="865" t="n">
        <v>1.2495</v>
      </c>
      <c r="D79" s="880" t="n">
        <v>2249500000</v>
      </c>
      <c r="E79" s="889" t="n">
        <v>1249500000</v>
      </c>
    </row>
    <row r="80" ht="15" customHeight="1" s="981">
      <c r="A80" t="n">
        <v>65</v>
      </c>
      <c r="B80" s="888" t="n">
        <v>4.523</v>
      </c>
      <c r="C80" s="865" t="n">
        <v>1.2807</v>
      </c>
      <c r="D80" s="880" t="n">
        <v>2280700000</v>
      </c>
      <c r="E80" s="889" t="n">
        <v>1280700000</v>
      </c>
    </row>
    <row r="81" ht="15" customHeight="1" s="981">
      <c r="A81" t="n">
        <v>66</v>
      </c>
      <c r="B81" s="888" t="n">
        <v>4.427</v>
      </c>
      <c r="C81" s="865" t="n">
        <v>1.2567</v>
      </c>
      <c r="D81" s="880" t="n">
        <v>2256700000</v>
      </c>
      <c r="E81" s="889" t="n">
        <v>1256700000</v>
      </c>
    </row>
    <row r="82" ht="15" customHeight="1" s="981">
      <c r="A82" t="n">
        <v>67</v>
      </c>
      <c r="B82" s="888" t="n">
        <v>4.067</v>
      </c>
      <c r="C82" s="865" t="n">
        <v>1.1668</v>
      </c>
      <c r="D82" s="880" t="n">
        <v>2166800000</v>
      </c>
      <c r="E82" s="889" t="n">
        <v>1166800000</v>
      </c>
    </row>
    <row r="83" ht="15" customHeight="1" s="981">
      <c r="A83" t="n">
        <v>68</v>
      </c>
      <c r="B83" s="888" t="n">
        <v>4.276</v>
      </c>
      <c r="C83" s="865" t="n">
        <v>1.219</v>
      </c>
      <c r="D83" s="880" t="n">
        <v>2219000000</v>
      </c>
      <c r="E83" s="889" t="n">
        <v>1219000000</v>
      </c>
    </row>
    <row r="84" ht="15" customHeight="1" s="981">
      <c r="A84" t="n">
        <v>69</v>
      </c>
      <c r="B84" s="888" t="n">
        <v>4.354</v>
      </c>
      <c r="C84" s="865" t="n">
        <v>1.2385</v>
      </c>
      <c r="D84" s="880" t="n">
        <v>2238500000</v>
      </c>
      <c r="E84" s="889" t="n">
        <v>1238500000</v>
      </c>
    </row>
    <row r="85" ht="15" customHeight="1" s="981">
      <c r="A85" t="n">
        <v>70</v>
      </c>
      <c r="B85" s="888" t="n">
        <v>5.075</v>
      </c>
      <c r="C85" s="865" t="n">
        <v>1.4188</v>
      </c>
      <c r="D85" s="880" t="n">
        <v>2418800000</v>
      </c>
      <c r="E85" s="889" t="n">
        <v>1418800000</v>
      </c>
    </row>
    <row r="86" ht="15" customHeight="1" s="981">
      <c r="A86" t="n">
        <v>71</v>
      </c>
      <c r="B86" s="888" t="n">
        <v>4.879</v>
      </c>
      <c r="C86" s="865" t="n">
        <v>1.3697</v>
      </c>
      <c r="D86" s="880" t="n">
        <v>2369700000</v>
      </c>
      <c r="E86" s="889" t="n">
        <v>1369700000</v>
      </c>
    </row>
    <row r="87" ht="15" customHeight="1" s="981">
      <c r="A87" t="n">
        <v>72</v>
      </c>
      <c r="B87" s="888" t="n">
        <v>5.132</v>
      </c>
      <c r="C87" s="865" t="n">
        <v>1.433</v>
      </c>
      <c r="D87" s="880" t="n">
        <v>2433000000</v>
      </c>
      <c r="E87" s="889" t="n">
        <v>1433000000</v>
      </c>
    </row>
    <row r="88" ht="15" customHeight="1" s="981">
      <c r="A88" t="n">
        <v>73</v>
      </c>
      <c r="B88" s="888" t="n">
        <v>4.541</v>
      </c>
      <c r="C88" s="865" t="n">
        <v>1.2852</v>
      </c>
      <c r="D88" s="880" t="n">
        <v>2285200000</v>
      </c>
      <c r="E88" s="889" t="n">
        <v>1285200000</v>
      </c>
    </row>
    <row r="89" ht="15" customHeight="1" s="981">
      <c r="A89" t="n">
        <v>74</v>
      </c>
      <c r="B89" s="888" t="n">
        <v>5.19</v>
      </c>
      <c r="C89" s="865" t="n">
        <v>1.4475</v>
      </c>
      <c r="D89" s="880" t="n">
        <v>2447500000</v>
      </c>
      <c r="E89" s="889" t="n">
        <v>1447500000</v>
      </c>
    </row>
    <row r="90" ht="15" customHeight="1" s="981">
      <c r="A90" t="n">
        <v>75</v>
      </c>
      <c r="B90" s="888" t="n">
        <v>4.663</v>
      </c>
      <c r="C90" s="865" t="n">
        <v>1.3158</v>
      </c>
      <c r="D90" s="880" t="n">
        <v>2315800000</v>
      </c>
      <c r="E90" s="889" t="n">
        <v>1315800000</v>
      </c>
    </row>
    <row r="91" ht="15" customHeight="1" s="981">
      <c r="A91" t="n">
        <v>76</v>
      </c>
      <c r="B91" s="888" t="n">
        <v>4.678</v>
      </c>
      <c r="C91" s="865" t="n">
        <v>1.3195</v>
      </c>
      <c r="D91" s="880" t="n">
        <v>2319500000</v>
      </c>
      <c r="E91" s="889" t="n">
        <v>1319500000</v>
      </c>
    </row>
    <row r="92" ht="15" customHeight="1" s="981">
      <c r="A92" t="n">
        <v>77</v>
      </c>
      <c r="B92" s="888" t="n">
        <v>4.735</v>
      </c>
      <c r="C92" s="865" t="n">
        <v>1.3338</v>
      </c>
      <c r="D92" s="880" t="n">
        <v>2333800000</v>
      </c>
      <c r="E92" s="889" t="n">
        <v>1333800000</v>
      </c>
    </row>
    <row r="93" ht="15" customHeight="1" s="981">
      <c r="A93" t="n">
        <v>78</v>
      </c>
      <c r="B93" s="888" t="n">
        <v>5.745</v>
      </c>
      <c r="C93" s="865" t="n">
        <v>1.5862</v>
      </c>
      <c r="D93" s="880" t="n">
        <v>2586200000</v>
      </c>
      <c r="E93" s="889" t="n">
        <v>1586200000</v>
      </c>
    </row>
    <row r="94" ht="15" customHeight="1" s="981">
      <c r="A94" t="n">
        <v>79</v>
      </c>
      <c r="B94" s="888" t="n">
        <v>5.041</v>
      </c>
      <c r="C94" s="865" t="n">
        <v>1.4102</v>
      </c>
      <c r="D94" s="880" t="n">
        <v>2410200000</v>
      </c>
      <c r="E94" s="889" t="n">
        <v>1410200000</v>
      </c>
    </row>
    <row r="95" ht="15" customHeight="1" s="981">
      <c r="A95" t="n">
        <v>80</v>
      </c>
      <c r="B95" s="888" t="n">
        <v>5.95</v>
      </c>
      <c r="C95" s="865" t="n">
        <v>1.6375</v>
      </c>
      <c r="D95" s="880" t="n">
        <v>2637500000</v>
      </c>
      <c r="E95" s="889" t="n">
        <v>1637500000</v>
      </c>
    </row>
    <row r="96" ht="15" customHeight="1" s="981">
      <c r="A96" t="n">
        <v>81</v>
      </c>
      <c r="B96" s="888" t="n">
        <v>5.573</v>
      </c>
      <c r="C96" s="865" t="n">
        <v>1.5432</v>
      </c>
      <c r="D96" s="880" t="n">
        <v>2543200000</v>
      </c>
      <c r="E96" s="889" t="n">
        <v>1543200000</v>
      </c>
    </row>
    <row r="97" ht="15" customHeight="1" s="981">
      <c r="A97" t="n">
        <v>82</v>
      </c>
      <c r="B97" s="888" t="n">
        <v>5.794</v>
      </c>
      <c r="C97" s="865" t="n">
        <v>1.5985</v>
      </c>
      <c r="D97" s="880" t="n">
        <v>2598500000</v>
      </c>
      <c r="E97" s="889" t="n">
        <v>1598500000</v>
      </c>
    </row>
    <row r="98" ht="15" customHeight="1" s="981">
      <c r="A98" t="n">
        <v>83</v>
      </c>
      <c r="B98" s="888" t="n">
        <v>5.95</v>
      </c>
      <c r="C98" s="865" t="n">
        <v>1.6375</v>
      </c>
      <c r="D98" s="880" t="n">
        <v>2637500000</v>
      </c>
      <c r="E98" s="889" t="n">
        <v>1637500000</v>
      </c>
    </row>
    <row r="99" ht="15" customHeight="1" s="981">
      <c r="A99" t="n">
        <v>84</v>
      </c>
      <c r="B99" s="888" t="n">
        <v>5.339</v>
      </c>
      <c r="C99" s="865" t="n">
        <v>1.4848</v>
      </c>
      <c r="D99" s="880" t="n">
        <v>2484800000</v>
      </c>
      <c r="E99" s="889" t="n">
        <v>1484800000</v>
      </c>
    </row>
    <row r="100" ht="15" customHeight="1" s="981">
      <c r="A100" t="n">
        <v>85</v>
      </c>
      <c r="B100" s="888" t="n">
        <v>6.197</v>
      </c>
      <c r="C100" s="865" t="n">
        <v>1.6992</v>
      </c>
      <c r="D100" s="880" t="n">
        <v>2699200000</v>
      </c>
      <c r="E100" s="889" t="n">
        <v>1699200000</v>
      </c>
    </row>
    <row r="101" ht="15" customHeight="1" s="981">
      <c r="A101" t="n">
        <v>86</v>
      </c>
      <c r="B101" s="888" t="n">
        <v>6.15</v>
      </c>
      <c r="C101" s="865" t="n">
        <v>1.6875</v>
      </c>
      <c r="D101" s="880" t="n">
        <v>2687500000</v>
      </c>
      <c r="E101" s="889" t="n">
        <v>1687500000</v>
      </c>
    </row>
    <row r="102" ht="15" customHeight="1" s="981">
      <c r="A102" t="n">
        <v>87</v>
      </c>
      <c r="B102" s="888" t="n">
        <v>5.939</v>
      </c>
      <c r="C102" s="865" t="n">
        <v>1.6348</v>
      </c>
      <c r="D102" s="880" t="n">
        <v>2634800000</v>
      </c>
      <c r="E102" s="889" t="n">
        <v>1634800000</v>
      </c>
    </row>
    <row r="103" ht="15" customHeight="1" s="981">
      <c r="A103" t="n">
        <v>88</v>
      </c>
      <c r="B103" s="888" t="n">
        <v>6.37</v>
      </c>
      <c r="C103" s="865" t="n">
        <v>1.7425</v>
      </c>
      <c r="D103" s="880" t="n">
        <v>2742500000</v>
      </c>
      <c r="E103" s="889" t="n">
        <v>1742500000</v>
      </c>
    </row>
    <row r="104" ht="15" customHeight="1" s="981">
      <c r="A104" t="n">
        <v>89</v>
      </c>
      <c r="B104" s="888" t="n">
        <v>6.327</v>
      </c>
      <c r="C104" s="865" t="n">
        <v>1.7318</v>
      </c>
      <c r="D104" s="880" t="n">
        <v>2731800000</v>
      </c>
      <c r="E104" s="889" t="n">
        <v>1731800000</v>
      </c>
    </row>
    <row r="105" ht="15" customHeight="1" s="981">
      <c r="A105" t="n">
        <v>90</v>
      </c>
      <c r="B105" s="888" t="n">
        <v>5.803</v>
      </c>
      <c r="C105" s="865" t="n">
        <v>1.6007</v>
      </c>
      <c r="D105" s="880" t="n">
        <v>2600700000</v>
      </c>
      <c r="E105" s="889" t="n">
        <v>1600700000</v>
      </c>
    </row>
    <row r="106" ht="15" customHeight="1" s="981">
      <c r="A106" t="n">
        <v>91</v>
      </c>
      <c r="B106" s="888" t="n">
        <v>6.733</v>
      </c>
      <c r="C106" s="865" t="n">
        <v>1.8332</v>
      </c>
      <c r="D106" s="880" t="n">
        <v>2833200000</v>
      </c>
      <c r="E106" s="889" t="n">
        <v>1833200000</v>
      </c>
    </row>
    <row r="107" ht="15" customHeight="1" s="981">
      <c r="A107" t="n">
        <v>92</v>
      </c>
      <c r="B107" s="888" t="n">
        <v>6.164</v>
      </c>
      <c r="C107" s="865" t="n">
        <v>1.691</v>
      </c>
      <c r="D107" s="880" t="n">
        <v>2691000000</v>
      </c>
      <c r="E107" s="889" t="n">
        <v>1691000000</v>
      </c>
    </row>
    <row r="108" ht="15" customHeight="1" s="981">
      <c r="A108" t="n">
        <v>93</v>
      </c>
      <c r="B108" s="888" t="n">
        <v>6.972</v>
      </c>
      <c r="C108" s="865" t="n">
        <v>1.893</v>
      </c>
      <c r="D108" s="880" t="n">
        <v>2893000000</v>
      </c>
      <c r="E108" s="889" t="n">
        <v>1893000000</v>
      </c>
    </row>
    <row r="109" ht="15" customHeight="1" s="981">
      <c r="A109" t="n">
        <v>94</v>
      </c>
      <c r="B109" s="888" t="n">
        <v>6.459</v>
      </c>
      <c r="C109" s="865" t="n">
        <v>1.7648</v>
      </c>
      <c r="D109" s="880" t="n">
        <v>2764800000</v>
      </c>
      <c r="E109" s="889" t="n">
        <v>1764800000</v>
      </c>
    </row>
    <row r="110" ht="15" customHeight="1" s="981">
      <c r="A110" t="n">
        <v>95</v>
      </c>
      <c r="B110" s="888" t="n">
        <v>6.999</v>
      </c>
      <c r="C110" s="865" t="n">
        <v>1.8998</v>
      </c>
      <c r="D110" s="880" t="n">
        <v>2899800000</v>
      </c>
      <c r="E110" s="889" t="n">
        <v>1899800000</v>
      </c>
    </row>
    <row r="111" ht="15" customHeight="1" s="981">
      <c r="A111" t="n">
        <v>96</v>
      </c>
      <c r="B111" s="888" t="n">
        <v>6.657</v>
      </c>
      <c r="C111" s="865" t="n">
        <v>1.8142</v>
      </c>
      <c r="D111" s="880" t="n">
        <v>2814200000</v>
      </c>
      <c r="E111" s="889" t="n">
        <v>1814200000</v>
      </c>
    </row>
    <row r="112" ht="15" customHeight="1" s="981">
      <c r="A112" t="n">
        <v>97</v>
      </c>
      <c r="B112" s="888" t="n">
        <v>6.567</v>
      </c>
      <c r="C112" s="865" t="n">
        <v>1.7918</v>
      </c>
      <c r="D112" s="880" t="n">
        <v>2791800000</v>
      </c>
      <c r="E112" s="889" t="n">
        <v>1791800000</v>
      </c>
    </row>
    <row r="113" ht="15" customHeight="1" s="981">
      <c r="A113" t="n">
        <v>98</v>
      </c>
      <c r="B113" s="888" t="n">
        <v>7.017</v>
      </c>
      <c r="C113" s="865" t="n">
        <v>1.9042</v>
      </c>
      <c r="D113" s="880" t="n">
        <v>2904200000</v>
      </c>
      <c r="E113" s="889" t="n">
        <v>1904200000</v>
      </c>
    </row>
    <row r="114" ht="15" customHeight="1" s="981">
      <c r="A114" t="n">
        <v>99</v>
      </c>
      <c r="B114" s="888" t="n">
        <v>6.844</v>
      </c>
      <c r="C114" s="865" t="n">
        <v>1.861</v>
      </c>
      <c r="D114" s="880" t="n">
        <v>2861000000</v>
      </c>
      <c r="E114" s="889" t="n">
        <v>1861000000</v>
      </c>
    </row>
    <row r="115" ht="15" customHeight="1" s="981">
      <c r="A115" t="n">
        <v>100</v>
      </c>
      <c r="B115" s="888" t="n">
        <v>7.132</v>
      </c>
      <c r="C115" s="865" t="n">
        <v>1.933</v>
      </c>
      <c r="D115" s="880" t="n">
        <v>2933000000</v>
      </c>
      <c r="E115" s="889" t="n">
        <v>1933000000</v>
      </c>
    </row>
    <row r="116" ht="15" customHeight="1" s="981">
      <c r="A116" t="n">
        <v>101</v>
      </c>
      <c r="B116" s="888" t="n">
        <v>7.219</v>
      </c>
      <c r="C116" s="865" t="n">
        <v>1.9548</v>
      </c>
      <c r="D116" s="880" t="n">
        <v>2954800000</v>
      </c>
      <c r="E116" s="889" t="n">
        <v>1954800000</v>
      </c>
    </row>
    <row r="117" ht="15" customHeight="1" s="981">
      <c r="A117" t="n">
        <v>102</v>
      </c>
      <c r="B117" s="888" t="n">
        <v>7.036</v>
      </c>
      <c r="C117" s="865" t="n">
        <v>1.909</v>
      </c>
      <c r="D117" s="880" t="n">
        <v>2909000000</v>
      </c>
      <c r="E117" s="889" t="n">
        <v>1909000000</v>
      </c>
    </row>
    <row r="118" ht="15" customHeight="1" s="981">
      <c r="A118" t="n">
        <v>103</v>
      </c>
      <c r="B118" s="888" t="n">
        <v>7.548</v>
      </c>
      <c r="C118" s="865" t="n">
        <v>2.037</v>
      </c>
      <c r="D118" s="880" t="n">
        <v>3037000000</v>
      </c>
      <c r="E118" s="889" t="n">
        <v>2037000000</v>
      </c>
    </row>
    <row r="119" ht="15" customHeight="1" s="981">
      <c r="A119" t="n">
        <v>104</v>
      </c>
      <c r="B119" s="888" t="n">
        <v>7.436</v>
      </c>
      <c r="C119" s="865" t="n">
        <v>2.009</v>
      </c>
      <c r="D119" s="880" t="n">
        <v>3009000000</v>
      </c>
      <c r="E119" s="889" t="n">
        <v>2009000000</v>
      </c>
    </row>
    <row r="120" ht="15" customHeight="1" s="981">
      <c r="A120" t="n">
        <v>105</v>
      </c>
      <c r="B120" s="888" t="n">
        <v>7.634</v>
      </c>
      <c r="C120" s="865" t="n">
        <v>2.0585</v>
      </c>
      <c r="D120" s="880" t="n">
        <v>3058500000</v>
      </c>
      <c r="E120" s="889" t="n">
        <v>2058500000</v>
      </c>
    </row>
    <row r="121" ht="15" customHeight="1" s="981">
      <c r="A121" t="n">
        <v>106</v>
      </c>
      <c r="B121" s="888" t="n">
        <v>7.972</v>
      </c>
      <c r="C121" s="865" t="n">
        <v>2.143</v>
      </c>
      <c r="D121" s="880" t="n">
        <v>3143000000</v>
      </c>
      <c r="E121" s="889" t="n">
        <v>2143000000</v>
      </c>
    </row>
    <row r="122" ht="15" customHeight="1" s="981">
      <c r="A122" t="n">
        <v>107</v>
      </c>
      <c r="B122" s="888" t="n">
        <v>7.154</v>
      </c>
      <c r="C122" s="865" t="n">
        <v>1.9385</v>
      </c>
      <c r="D122" s="880" t="n">
        <v>2938500000</v>
      </c>
      <c r="E122" s="889" t="n">
        <v>1938500000</v>
      </c>
    </row>
    <row r="123" ht="15" customHeight="1" s="981">
      <c r="A123" t="n">
        <v>108</v>
      </c>
      <c r="B123" s="888" t="n">
        <v>7.698</v>
      </c>
      <c r="C123" s="865" t="n">
        <v>2.0745</v>
      </c>
      <c r="D123" s="880" t="n">
        <v>3074500000</v>
      </c>
      <c r="E123" s="889" t="n">
        <v>2074500000</v>
      </c>
    </row>
    <row r="124" ht="15" customHeight="1" s="981">
      <c r="A124" t="n">
        <v>109</v>
      </c>
      <c r="B124" s="888" t="n">
        <v>7.707</v>
      </c>
      <c r="C124" s="865" t="n">
        <v>2.0768</v>
      </c>
      <c r="D124" s="880" t="n">
        <v>3076800000</v>
      </c>
      <c r="E124" s="889" t="n">
        <v>2076800000</v>
      </c>
    </row>
    <row r="125" ht="15" customHeight="1" s="981">
      <c r="A125" t="n">
        <v>110</v>
      </c>
      <c r="B125" s="888" t="n">
        <v>7.507</v>
      </c>
      <c r="C125" s="865" t="n">
        <v>2.0268</v>
      </c>
      <c r="D125" s="880" t="n">
        <v>3026800000</v>
      </c>
      <c r="E125" s="889" t="n">
        <v>2026800000</v>
      </c>
    </row>
    <row r="126" ht="15" customHeight="1" s="981">
      <c r="A126" t="n">
        <v>111</v>
      </c>
      <c r="B126" s="888" t="n">
        <v>7.877</v>
      </c>
      <c r="C126" s="865" t="n">
        <v>2.1192</v>
      </c>
      <c r="D126" s="880" t="n">
        <v>3119200000</v>
      </c>
      <c r="E126" s="889" t="n">
        <v>2119200000</v>
      </c>
    </row>
    <row r="127" ht="15" customHeight="1" s="981">
      <c r="A127" t="n">
        <v>112</v>
      </c>
      <c r="B127" s="888" t="n">
        <v>7.673</v>
      </c>
      <c r="C127" s="865" t="n">
        <v>2.0682</v>
      </c>
      <c r="D127" s="880" t="n">
        <v>3068200000</v>
      </c>
      <c r="E127" s="889" t="n">
        <v>2068200000</v>
      </c>
    </row>
    <row r="128" ht="15" customHeight="1" s="981">
      <c r="A128" t="n">
        <v>113</v>
      </c>
      <c r="B128" s="888" t="n">
        <v>8.263999999999999</v>
      </c>
      <c r="C128" s="865" t="n">
        <v>2.216</v>
      </c>
      <c r="D128" s="880" t="n">
        <v>3216000000</v>
      </c>
      <c r="E128" s="889" t="n">
        <v>2216000000</v>
      </c>
    </row>
    <row r="129" ht="15" customHeight="1" s="981">
      <c r="A129" t="n">
        <v>114</v>
      </c>
      <c r="B129" s="888" t="n">
        <v>8.494999999999999</v>
      </c>
      <c r="C129" s="865" t="n">
        <v>2.2737</v>
      </c>
      <c r="D129" s="880" t="n">
        <v>3273700000</v>
      </c>
      <c r="E129" s="889" t="n">
        <v>2273700000</v>
      </c>
    </row>
    <row r="130" ht="15" customHeight="1" s="981">
      <c r="A130" t="n">
        <v>115</v>
      </c>
      <c r="B130" s="888" t="n">
        <v>8.138999999999999</v>
      </c>
      <c r="C130" s="865" t="n">
        <v>2.1847</v>
      </c>
      <c r="D130" s="880" t="n">
        <v>3184700000</v>
      </c>
      <c r="E130" s="889" t="n">
        <v>2184700000</v>
      </c>
    </row>
    <row r="131" ht="15" customHeight="1" s="981">
      <c r="A131" t="n">
        <v>116</v>
      </c>
      <c r="B131" s="888" t="n">
        <v>8.129</v>
      </c>
      <c r="C131" s="865" t="n">
        <v>2.1822</v>
      </c>
      <c r="D131" s="880" t="n">
        <v>3182200000</v>
      </c>
      <c r="E131" s="889" t="n">
        <v>2182200000</v>
      </c>
    </row>
    <row r="132" ht="15" customHeight="1" s="981">
      <c r="A132" t="n">
        <v>117</v>
      </c>
      <c r="B132" s="888" t="n">
        <v>8.882</v>
      </c>
      <c r="C132" s="865" t="n">
        <v>2.3705</v>
      </c>
      <c r="D132" s="880" t="n">
        <v>3370500000</v>
      </c>
      <c r="E132" s="889" t="n">
        <v>2370500000</v>
      </c>
    </row>
    <row r="133" ht="15" customHeight="1" s="981">
      <c r="A133" t="n">
        <v>118</v>
      </c>
      <c r="B133" s="888" t="n">
        <v>8.605</v>
      </c>
      <c r="C133" s="865" t="n">
        <v>2.3012</v>
      </c>
      <c r="D133" s="880" t="n">
        <v>3301200000</v>
      </c>
      <c r="E133" s="889" t="n">
        <v>2301200000</v>
      </c>
    </row>
    <row r="134" ht="15" customHeight="1" s="981">
      <c r="A134" t="n">
        <v>119</v>
      </c>
      <c r="B134" s="888" t="n">
        <v>8.537000000000001</v>
      </c>
      <c r="C134" s="865" t="n">
        <v>2.2842</v>
      </c>
      <c r="D134" s="880" t="n">
        <v>3284200000</v>
      </c>
      <c r="E134" s="889" t="n">
        <v>2284200000</v>
      </c>
    </row>
    <row r="135" ht="15" customHeight="1" s="981">
      <c r="A135" t="n">
        <v>120</v>
      </c>
      <c r="B135" s="888" t="n">
        <v>8.565</v>
      </c>
      <c r="C135" s="865" t="n">
        <v>2.2912</v>
      </c>
      <c r="D135" s="880" t="n">
        <v>3291200000</v>
      </c>
      <c r="E135" s="889" t="n">
        <v>2291200000</v>
      </c>
    </row>
    <row r="136" ht="15" customHeight="1" s="981">
      <c r="A136" t="n">
        <v>121</v>
      </c>
      <c r="B136" s="888" t="n">
        <v>8.673</v>
      </c>
      <c r="C136" s="865" t="n">
        <v>2.3182</v>
      </c>
      <c r="D136" s="880" t="n">
        <v>3318200000</v>
      </c>
      <c r="E136" s="889" t="n">
        <v>2318200000</v>
      </c>
    </row>
    <row r="137" ht="15" customHeight="1" s="981">
      <c r="A137" t="n">
        <v>122</v>
      </c>
      <c r="B137" s="888" t="n">
        <v>8.885999999999999</v>
      </c>
      <c r="C137" s="865" t="n">
        <v>2.3715</v>
      </c>
      <c r="D137" s="880" t="n">
        <v>3371500000</v>
      </c>
      <c r="E137" s="889" t="n">
        <v>2371500000</v>
      </c>
    </row>
    <row r="138" ht="15" customHeight="1" s="981">
      <c r="A138" t="n">
        <v>123</v>
      </c>
      <c r="B138" s="888" t="n">
        <v>9.327999999999999</v>
      </c>
      <c r="C138" s="865" t="n">
        <v>2.482</v>
      </c>
      <c r="D138" s="880" t="n">
        <v>3482000000</v>
      </c>
      <c r="E138" s="889" t="n">
        <v>2482000000</v>
      </c>
    </row>
    <row r="139" ht="15" customHeight="1" s="981">
      <c r="A139" t="n">
        <v>124</v>
      </c>
      <c r="B139" s="888" t="n">
        <v>9.438000000000001</v>
      </c>
      <c r="C139" s="865" t="n">
        <v>2.5095</v>
      </c>
      <c r="D139" s="880" t="n">
        <v>3509500000</v>
      </c>
      <c r="E139" s="889" t="n">
        <v>2509500000</v>
      </c>
    </row>
    <row r="140" ht="15" customHeight="1" s="981">
      <c r="A140" t="n">
        <v>125</v>
      </c>
      <c r="B140" s="888" t="n">
        <v>8.913</v>
      </c>
      <c r="C140" s="865" t="n">
        <v>2.3782</v>
      </c>
      <c r="D140" s="880" t="n">
        <v>3378200000</v>
      </c>
      <c r="E140" s="889" t="n">
        <v>2378200000</v>
      </c>
    </row>
    <row r="141" ht="15" customHeight="1" s="981">
      <c r="A141" t="n">
        <v>126</v>
      </c>
      <c r="B141" s="888" t="n">
        <v>9.074999999999999</v>
      </c>
      <c r="C141" s="865" t="n">
        <v>2.4187</v>
      </c>
      <c r="D141" s="880" t="n">
        <v>3418700000</v>
      </c>
      <c r="E141" s="889" t="n">
        <v>2418700000</v>
      </c>
    </row>
    <row r="142" ht="15" customHeight="1" s="981">
      <c r="A142" t="n">
        <v>127</v>
      </c>
      <c r="B142" s="888" t="n">
        <v>9.619999999999999</v>
      </c>
      <c r="C142" s="865" t="n">
        <v>2.555</v>
      </c>
      <c r="D142" s="880" t="n">
        <v>3555000000</v>
      </c>
      <c r="E142" s="889" t="n">
        <v>2555000000</v>
      </c>
    </row>
    <row r="143" ht="15" customHeight="1" s="981">
      <c r="A143" t="n">
        <v>128</v>
      </c>
      <c r="B143" s="888" t="n">
        <v>9.42</v>
      </c>
      <c r="C143" s="865" t="n">
        <v>2.505</v>
      </c>
      <c r="D143" s="880" t="n">
        <v>3505000000</v>
      </c>
      <c r="E143" s="889" t="n">
        <v>2505000000</v>
      </c>
    </row>
    <row r="144" ht="15" customHeight="1" s="981">
      <c r="A144" t="n">
        <v>129</v>
      </c>
      <c r="B144" s="888" t="n">
        <v>9.5</v>
      </c>
      <c r="C144" s="865" t="n">
        <v>2.525</v>
      </c>
      <c r="D144" s="880" t="n">
        <v>3525000000</v>
      </c>
      <c r="E144" s="889" t="n">
        <v>2525000000</v>
      </c>
    </row>
    <row r="145" ht="15" customHeight="1" s="981">
      <c r="A145" t="n">
        <v>130</v>
      </c>
      <c r="B145" s="888" t="n">
        <v>9.302</v>
      </c>
      <c r="C145" s="865" t="n">
        <v>2.4755</v>
      </c>
      <c r="D145" s="880" t="n">
        <v>3475500000</v>
      </c>
      <c r="E145" s="889" t="n">
        <v>2475500000</v>
      </c>
    </row>
    <row r="146" ht="15" customHeight="1" s="981">
      <c r="A146" t="n">
        <v>131</v>
      </c>
      <c r="B146" s="888" t="n">
        <v>9.944000000000001</v>
      </c>
      <c r="C146" s="865" t="n">
        <v>2.636</v>
      </c>
      <c r="D146" s="880" t="n">
        <v>3636000000</v>
      </c>
      <c r="E146" s="889" t="n">
        <v>2636000000</v>
      </c>
    </row>
    <row r="147" ht="15" customHeight="1" s="981">
      <c r="A147" t="n">
        <v>132</v>
      </c>
      <c r="B147" s="888" t="n">
        <v>9.901</v>
      </c>
      <c r="C147" s="865" t="n">
        <v>2.6252</v>
      </c>
      <c r="D147" s="880" t="n">
        <v>3625200000</v>
      </c>
      <c r="E147" s="889" t="n">
        <v>2625200000</v>
      </c>
    </row>
    <row r="148" ht="15" customHeight="1" s="981">
      <c r="A148" t="n">
        <v>133</v>
      </c>
      <c r="B148" s="888" t="n">
        <v>9.646000000000001</v>
      </c>
      <c r="C148" s="865" t="n">
        <v>2.5615</v>
      </c>
      <c r="D148" s="880" t="n">
        <v>3561500000</v>
      </c>
      <c r="E148" s="889" t="n">
        <v>2561500000</v>
      </c>
    </row>
    <row r="149" ht="15" customHeight="1" s="981">
      <c r="A149" t="n">
        <v>134</v>
      </c>
      <c r="B149" s="888" t="n">
        <v>9.542999999999999</v>
      </c>
      <c r="C149" s="865" t="n">
        <v>2.5357</v>
      </c>
      <c r="D149" s="880" t="n">
        <v>3535700000</v>
      </c>
      <c r="E149" s="889" t="n">
        <v>2535700000</v>
      </c>
    </row>
    <row r="150" ht="15" customHeight="1" s="981">
      <c r="A150" t="n">
        <v>135</v>
      </c>
      <c r="B150" s="888" t="n">
        <v>10.304</v>
      </c>
      <c r="C150" s="865" t="n">
        <v>2.726</v>
      </c>
      <c r="D150" s="880" t="n">
        <v>3726000000</v>
      </c>
      <c r="E150" s="889" t="n">
        <v>2726000000</v>
      </c>
    </row>
    <row r="151" ht="15" customHeight="1" s="981">
      <c r="A151" t="n">
        <v>136</v>
      </c>
      <c r="B151" s="888" t="n">
        <v>10.175</v>
      </c>
      <c r="C151" s="865" t="n">
        <v>2.6938</v>
      </c>
      <c r="D151" s="880" t="n">
        <v>3693800000</v>
      </c>
      <c r="E151" s="889" t="n">
        <v>2693800000</v>
      </c>
    </row>
    <row r="152" ht="15" customHeight="1" s="981">
      <c r="A152" t="n">
        <v>137</v>
      </c>
      <c r="B152" s="888" t="n">
        <v>9.835000000000001</v>
      </c>
      <c r="C152" s="865" t="n">
        <v>2.6088</v>
      </c>
      <c r="D152" s="880" t="n">
        <v>3608800000</v>
      </c>
      <c r="E152" s="889" t="n">
        <v>2608800000</v>
      </c>
    </row>
    <row r="153" ht="15" customHeight="1" s="981">
      <c r="A153" t="n">
        <v>138</v>
      </c>
      <c r="B153" s="888" t="n">
        <v>10.594</v>
      </c>
      <c r="C153" s="865" t="n">
        <v>2.7985</v>
      </c>
      <c r="D153" s="880" t="n">
        <v>3798500000</v>
      </c>
      <c r="E153" s="889" t="n">
        <v>2798500000</v>
      </c>
    </row>
    <row r="154" ht="15" customHeight="1" s="981">
      <c r="A154" t="n">
        <v>139</v>
      </c>
      <c r="B154" s="888" t="n">
        <v>9.967000000000001</v>
      </c>
      <c r="C154" s="865" t="n">
        <v>2.6418</v>
      </c>
      <c r="D154" s="880" t="n">
        <v>3641800000</v>
      </c>
      <c r="E154" s="889" t="n">
        <v>2641800000</v>
      </c>
    </row>
    <row r="155" ht="15" customHeight="1" s="981">
      <c r="A155" t="n">
        <v>140</v>
      </c>
      <c r="B155" s="888" t="n">
        <v>10.245</v>
      </c>
      <c r="C155" s="865" t="n">
        <v>2.7112</v>
      </c>
      <c r="D155" s="880" t="n">
        <v>3711200000</v>
      </c>
      <c r="E155" s="889" t="n">
        <v>2711200000</v>
      </c>
    </row>
    <row r="156" ht="15" customHeight="1" s="981">
      <c r="A156" t="n">
        <v>141</v>
      </c>
      <c r="B156" s="888" t="n">
        <v>10.175</v>
      </c>
      <c r="C156" s="865" t="n">
        <v>2.6938</v>
      </c>
      <c r="D156" s="880" t="n">
        <v>3693800000</v>
      </c>
      <c r="E156" s="889" t="n">
        <v>2693800000</v>
      </c>
    </row>
    <row r="157" ht="15" customHeight="1" s="981">
      <c r="A157" t="n">
        <v>142</v>
      </c>
      <c r="B157" s="888" t="n">
        <v>10.74</v>
      </c>
      <c r="C157" s="865" t="n">
        <v>2.835</v>
      </c>
      <c r="D157" s="880" t="n">
        <v>3835000000</v>
      </c>
      <c r="E157" s="889" t="n">
        <v>2835000000</v>
      </c>
    </row>
    <row r="158" ht="15" customHeight="1" s="981">
      <c r="A158" t="n">
        <v>143</v>
      </c>
      <c r="B158" s="888" t="n">
        <v>10.784</v>
      </c>
      <c r="C158" s="865" t="n">
        <v>2.846</v>
      </c>
      <c r="D158" s="880" t="n">
        <v>3846000000</v>
      </c>
      <c r="E158" s="889" t="n">
        <v>2846000000</v>
      </c>
    </row>
    <row r="159" ht="15" customHeight="1" s="981">
      <c r="A159" t="n">
        <v>144</v>
      </c>
      <c r="B159" s="888" t="n">
        <v>10.681</v>
      </c>
      <c r="C159" s="865" t="n">
        <v>2.8202</v>
      </c>
      <c r="D159" s="880" t="n">
        <v>3820200000</v>
      </c>
      <c r="E159" s="889" t="n">
        <v>2820200000</v>
      </c>
    </row>
    <row r="160" ht="15" customHeight="1" s="981">
      <c r="A160" t="n">
        <v>145</v>
      </c>
      <c r="B160" s="888" t="n">
        <v>10.783</v>
      </c>
      <c r="C160" s="865" t="n">
        <v>2.8457</v>
      </c>
      <c r="D160" s="880" t="n">
        <v>3845700000</v>
      </c>
      <c r="E160" s="889" t="n">
        <v>2845700000</v>
      </c>
    </row>
    <row r="161" ht="15" customHeight="1" s="981">
      <c r="A161" t="n">
        <v>146</v>
      </c>
      <c r="B161" s="888" t="n">
        <v>11.133</v>
      </c>
      <c r="C161" s="865" t="n">
        <v>2.9332</v>
      </c>
      <c r="D161" s="880" t="n">
        <v>3933200000</v>
      </c>
      <c r="E161" s="889" t="n">
        <v>2933200000</v>
      </c>
    </row>
    <row r="162" ht="15" customHeight="1" s="981">
      <c r="A162" t="n">
        <v>147</v>
      </c>
      <c r="B162" s="888" t="n">
        <v>11.137</v>
      </c>
      <c r="C162" s="865" t="n">
        <v>2.9342</v>
      </c>
      <c r="D162" s="880" t="n">
        <v>3934200000</v>
      </c>
      <c r="E162" s="889" t="n">
        <v>2934200000</v>
      </c>
    </row>
    <row r="163" ht="15" customHeight="1" s="981">
      <c r="A163" t="n">
        <v>148</v>
      </c>
      <c r="B163" s="888" t="n">
        <v>11.157</v>
      </c>
      <c r="C163" s="865" t="n">
        <v>2.9392</v>
      </c>
      <c r="D163" s="880" t="n">
        <v>3939200000</v>
      </c>
      <c r="E163" s="889" t="n">
        <v>2939200000</v>
      </c>
    </row>
    <row r="164" ht="15" customHeight="1" s="981">
      <c r="A164" t="n">
        <v>149</v>
      </c>
      <c r="B164" s="888" t="n">
        <v>10.556</v>
      </c>
      <c r="C164" s="865" t="n">
        <v>2.789</v>
      </c>
      <c r="D164" s="880" t="n">
        <v>3789000000</v>
      </c>
      <c r="E164" s="889" t="n">
        <v>2789000000</v>
      </c>
    </row>
    <row r="165" ht="15" customHeight="1" s="981">
      <c r="A165" t="n">
        <v>150</v>
      </c>
      <c r="B165" s="888" t="n">
        <v>10.641</v>
      </c>
      <c r="C165" s="865" t="n">
        <v>2.8102</v>
      </c>
      <c r="D165" s="880" t="n">
        <v>3810200000</v>
      </c>
      <c r="E165" s="889" t="n">
        <v>2810200000</v>
      </c>
    </row>
    <row r="166" ht="15" customHeight="1" s="981">
      <c r="A166" t="n">
        <v>151</v>
      </c>
      <c r="B166" s="888" t="n">
        <v>11.543</v>
      </c>
      <c r="C166" s="865" t="n">
        <v>3.0357</v>
      </c>
      <c r="D166" s="880" t="n">
        <v>4035700000</v>
      </c>
      <c r="E166" s="889" t="n">
        <v>3035700000</v>
      </c>
    </row>
    <row r="167" ht="15" customHeight="1" s="981">
      <c r="A167" t="n">
        <v>152</v>
      </c>
      <c r="B167" s="888" t="n">
        <v>11.464</v>
      </c>
      <c r="C167" s="865" t="n">
        <v>3.016</v>
      </c>
      <c r="D167" s="880" t="n">
        <v>4016000000</v>
      </c>
      <c r="E167" s="889" t="n">
        <v>3016000000</v>
      </c>
    </row>
    <row r="168" ht="15" customHeight="1" s="981">
      <c r="A168" t="n">
        <v>153</v>
      </c>
      <c r="B168" s="888" t="n">
        <v>11.588</v>
      </c>
      <c r="C168" s="865" t="n">
        <v>3.047</v>
      </c>
      <c r="D168" s="880" t="n">
        <v>4047000000</v>
      </c>
      <c r="E168" s="889" t="n">
        <v>3047000000</v>
      </c>
    </row>
    <row r="169" ht="15" customHeight="1" s="981">
      <c r="A169" t="n">
        <v>154</v>
      </c>
      <c r="B169" s="888" t="n">
        <v>11.384</v>
      </c>
      <c r="C169" s="865" t="n">
        <v>2.996</v>
      </c>
      <c r="D169" s="880" t="n">
        <v>3996000000</v>
      </c>
      <c r="E169" s="889" t="n">
        <v>2996000000</v>
      </c>
    </row>
    <row r="170" ht="15" customHeight="1" s="981">
      <c r="A170" t="n">
        <v>155</v>
      </c>
      <c r="B170" s="888" t="n">
        <v>11.088</v>
      </c>
      <c r="C170" s="865" t="n">
        <v>2.922</v>
      </c>
      <c r="D170" s="880" t="n">
        <v>3922000000</v>
      </c>
      <c r="E170" s="889" t="n">
        <v>2922000000</v>
      </c>
    </row>
    <row r="171" ht="15" customHeight="1" s="981">
      <c r="A171" t="n">
        <v>156</v>
      </c>
      <c r="B171" s="888" t="n">
        <v>11.394</v>
      </c>
      <c r="C171" s="865" t="n">
        <v>2.9985</v>
      </c>
      <c r="D171" s="880" t="n">
        <v>3998500000</v>
      </c>
      <c r="E171" s="889" t="n">
        <v>2998500000</v>
      </c>
    </row>
    <row r="172" ht="15" customHeight="1" s="981">
      <c r="A172" t="n">
        <v>157</v>
      </c>
      <c r="B172" s="888" t="n">
        <v>11.468</v>
      </c>
      <c r="C172" s="865" t="n">
        <v>3.017</v>
      </c>
      <c r="D172" s="880" t="n">
        <v>4017000000</v>
      </c>
      <c r="E172" s="889" t="n">
        <v>3017000000</v>
      </c>
    </row>
    <row r="173" ht="15" customHeight="1" s="981">
      <c r="A173" t="n">
        <v>158</v>
      </c>
      <c r="B173" s="888" t="n">
        <v>11.726</v>
      </c>
      <c r="C173" s="865" t="n">
        <v>3.0815</v>
      </c>
      <c r="D173" s="880" t="n">
        <v>4081500000</v>
      </c>
      <c r="E173" s="889" t="n">
        <v>3081500000</v>
      </c>
    </row>
    <row r="174" ht="15" customHeight="1" s="981">
      <c r="A174" t="n">
        <v>159</v>
      </c>
      <c r="B174" s="888" t="n">
        <v>12.196</v>
      </c>
      <c r="C174" s="865" t="n">
        <v>3.199</v>
      </c>
      <c r="D174" s="880" t="n">
        <v>4199000000</v>
      </c>
      <c r="E174" s="889" t="n">
        <v>3199000000</v>
      </c>
    </row>
    <row r="175" ht="15" customHeight="1" s="981">
      <c r="A175" t="n">
        <v>160</v>
      </c>
      <c r="B175" s="888" t="n">
        <v>11.446</v>
      </c>
      <c r="C175" s="865" t="n">
        <v>3.0115</v>
      </c>
      <c r="D175" s="880" t="n">
        <v>4011500000</v>
      </c>
      <c r="E175" s="889" t="n">
        <v>3011500000</v>
      </c>
    </row>
    <row r="176" ht="15" customHeight="1" s="981">
      <c r="A176" t="n">
        <v>161</v>
      </c>
      <c r="B176" s="888" t="n">
        <v>12.38</v>
      </c>
      <c r="C176" s="865" t="n">
        <v>3.245</v>
      </c>
      <c r="D176" s="880" t="n">
        <v>4245000000</v>
      </c>
      <c r="E176" s="889" t="n">
        <v>3245000000</v>
      </c>
    </row>
    <row r="177" ht="15" customHeight="1" s="981">
      <c r="A177" t="n">
        <v>162</v>
      </c>
      <c r="B177" s="888" t="n">
        <v>12.399</v>
      </c>
      <c r="C177" s="865" t="n">
        <v>3.2497</v>
      </c>
      <c r="D177" s="880" t="n">
        <v>4249700000</v>
      </c>
      <c r="E177" s="889" t="n">
        <v>3249700000</v>
      </c>
    </row>
    <row r="178" ht="15" customHeight="1" s="981">
      <c r="A178" t="n">
        <v>163</v>
      </c>
      <c r="B178" s="888" t="n">
        <v>12.012</v>
      </c>
      <c r="C178" s="865" t="n">
        <v>3.153</v>
      </c>
      <c r="D178" s="880" t="n">
        <v>4153000000</v>
      </c>
      <c r="E178" s="889" t="n">
        <v>3153000000</v>
      </c>
    </row>
    <row r="179" ht="15" customHeight="1" s="981">
      <c r="A179" t="n">
        <v>164</v>
      </c>
      <c r="B179" s="888" t="n">
        <v>11.96</v>
      </c>
      <c r="C179" s="865" t="n">
        <v>3.14</v>
      </c>
      <c r="D179" s="880" t="n">
        <v>4140000000</v>
      </c>
      <c r="E179" s="889" t="n">
        <v>3140000000</v>
      </c>
    </row>
    <row r="180" ht="15" customHeight="1" s="981">
      <c r="A180" t="n">
        <v>165</v>
      </c>
      <c r="B180" s="888" t="n">
        <v>12.223</v>
      </c>
      <c r="C180" s="865" t="n">
        <v>3.2058</v>
      </c>
      <c r="D180" s="880" t="n">
        <v>4205800000</v>
      </c>
      <c r="E180" s="889" t="n">
        <v>3205800000</v>
      </c>
    </row>
    <row r="181" ht="15" customHeight="1" s="981">
      <c r="A181" t="n">
        <v>166</v>
      </c>
      <c r="B181" s="888" t="n">
        <v>12.693</v>
      </c>
      <c r="C181" s="865" t="n">
        <v>3.3232</v>
      </c>
      <c r="D181" s="880" t="n">
        <v>4323200000</v>
      </c>
      <c r="E181" s="889" t="n">
        <v>3323200000</v>
      </c>
    </row>
    <row r="182" ht="15" customHeight="1" s="981">
      <c r="A182" t="n">
        <v>167</v>
      </c>
      <c r="B182" s="888" t="n">
        <v>12.748</v>
      </c>
      <c r="C182" s="865" t="n">
        <v>3.337</v>
      </c>
      <c r="D182" s="880" t="n">
        <v>4337000000</v>
      </c>
      <c r="E182" s="889" t="n">
        <v>3337000000</v>
      </c>
    </row>
    <row r="183" ht="15" customHeight="1" s="981">
      <c r="A183" t="n">
        <v>168</v>
      </c>
      <c r="B183" s="888" t="n">
        <v>12.316</v>
      </c>
      <c r="C183" s="865" t="n">
        <v>3.229</v>
      </c>
      <c r="D183" s="880" t="n">
        <v>4229000000</v>
      </c>
      <c r="E183" s="889" t="n">
        <v>3229000000</v>
      </c>
    </row>
    <row r="184" ht="15" customHeight="1" s="981">
      <c r="A184" t="n">
        <v>169</v>
      </c>
      <c r="B184" s="888" t="n">
        <v>12.119</v>
      </c>
      <c r="C184" s="865" t="n">
        <v>3.1798</v>
      </c>
      <c r="D184" s="880" t="n">
        <v>4179800000</v>
      </c>
      <c r="E184" s="889" t="n">
        <v>3179800000</v>
      </c>
    </row>
    <row r="185" ht="15" customHeight="1" s="981">
      <c r="A185" t="n">
        <v>170</v>
      </c>
      <c r="B185" s="888" t="n">
        <v>12.223</v>
      </c>
      <c r="C185" s="865" t="n">
        <v>3.2058</v>
      </c>
      <c r="D185" s="880" t="n">
        <v>4205800000</v>
      </c>
      <c r="E185" s="889" t="n">
        <v>3205800000</v>
      </c>
    </row>
    <row r="186" ht="15" customHeight="1" s="981">
      <c r="A186" t="n">
        <v>171</v>
      </c>
      <c r="B186" s="888" t="n">
        <v>12.796</v>
      </c>
      <c r="C186" s="865" t="n">
        <v>3.349</v>
      </c>
      <c r="D186" s="880" t="n">
        <v>4349000000</v>
      </c>
      <c r="E186" s="889" t="n">
        <v>3349000000</v>
      </c>
    </row>
    <row r="187" ht="15" customHeight="1" s="981">
      <c r="A187" t="n">
        <v>172</v>
      </c>
      <c r="B187" s="888" t="n">
        <v>12.526</v>
      </c>
      <c r="C187" s="865" t="n">
        <v>3.2815</v>
      </c>
      <c r="D187" s="880" t="n">
        <v>4281500000</v>
      </c>
      <c r="E187" s="889" t="n">
        <v>3281500000</v>
      </c>
    </row>
    <row r="188" ht="15" customHeight="1" s="981">
      <c r="A188" t="n">
        <v>173</v>
      </c>
      <c r="B188" s="888" t="n">
        <v>13.1</v>
      </c>
      <c r="C188" s="865" t="n">
        <v>3.425</v>
      </c>
      <c r="D188" s="880" t="n">
        <v>4425000000</v>
      </c>
      <c r="E188" s="889" t="n">
        <v>3425000000</v>
      </c>
    </row>
    <row r="189" ht="15" customHeight="1" s="981">
      <c r="A189" t="n">
        <v>174</v>
      </c>
      <c r="B189" s="888" t="n">
        <v>13.377</v>
      </c>
      <c r="C189" s="865" t="n">
        <v>3.4942</v>
      </c>
      <c r="D189" s="880" t="n">
        <v>4494200000</v>
      </c>
      <c r="E189" s="889" t="n">
        <v>3494200000</v>
      </c>
    </row>
    <row r="190" ht="15" customHeight="1" s="981">
      <c r="A190" t="n">
        <v>175</v>
      </c>
      <c r="B190" s="888" t="n">
        <v>13.228</v>
      </c>
      <c r="C190" s="865" t="n">
        <v>3.457</v>
      </c>
      <c r="D190" s="880" t="n">
        <v>4457000000</v>
      </c>
      <c r="E190" s="889" t="n">
        <v>3457000000</v>
      </c>
    </row>
    <row r="191" ht="15" customHeight="1" s="981">
      <c r="A191" t="n">
        <v>176</v>
      </c>
      <c r="B191" s="888" t="n">
        <v>13.2</v>
      </c>
      <c r="C191" s="865" t="n">
        <v>3.45</v>
      </c>
      <c r="D191" s="880" t="n">
        <v>4450000000</v>
      </c>
      <c r="E191" s="889" t="n">
        <v>3450000000</v>
      </c>
    </row>
    <row r="192" ht="15" customHeight="1" s="981">
      <c r="A192" t="n">
        <v>177</v>
      </c>
      <c r="B192" s="888" t="n">
        <v>13.717</v>
      </c>
      <c r="C192" s="865" t="n">
        <v>3.5792</v>
      </c>
      <c r="D192" s="880" t="n">
        <v>4579200000</v>
      </c>
      <c r="E192" s="889" t="n">
        <v>3579200000</v>
      </c>
    </row>
    <row r="193" ht="15" customHeight="1" s="981">
      <c r="A193" t="n">
        <v>178</v>
      </c>
      <c r="B193" s="888" t="n">
        <v>13.042</v>
      </c>
      <c r="C193" s="865" t="n">
        <v>3.4105</v>
      </c>
      <c r="D193" s="880" t="n">
        <v>4410500000</v>
      </c>
      <c r="E193" s="889" t="n">
        <v>3410500000</v>
      </c>
    </row>
    <row r="194" ht="15" customHeight="1" s="981">
      <c r="A194" t="n">
        <v>179</v>
      </c>
      <c r="B194" s="888" t="n">
        <v>13.198</v>
      </c>
      <c r="C194" s="865" t="n">
        <v>3.4495</v>
      </c>
      <c r="D194" s="880" t="n">
        <v>4449500000</v>
      </c>
      <c r="E194" s="889" t="n">
        <v>3449500000</v>
      </c>
    </row>
    <row r="195" ht="15" customHeight="1" s="981">
      <c r="A195" t="n">
        <v>180</v>
      </c>
      <c r="B195" s="888" t="n">
        <v>13.948</v>
      </c>
      <c r="C195" s="865" t="n">
        <v>3.637</v>
      </c>
      <c r="D195" s="880" t="n">
        <v>4637000000</v>
      </c>
      <c r="E195" s="889" t="n">
        <v>3637000000</v>
      </c>
    </row>
    <row r="196" ht="15" customHeight="1" s="981">
      <c r="A196" t="n">
        <v>181</v>
      </c>
      <c r="B196" s="888" t="n">
        <v>13.964</v>
      </c>
      <c r="C196" s="865" t="n">
        <v>3.641</v>
      </c>
      <c r="D196" s="880" t="n">
        <v>4641000000</v>
      </c>
      <c r="E196" s="889" t="n">
        <v>3641000000</v>
      </c>
    </row>
    <row r="197" ht="15" customHeight="1" s="981">
      <c r="A197" t="n">
        <v>182</v>
      </c>
      <c r="B197" s="888" t="n">
        <v>13.957</v>
      </c>
      <c r="C197" s="865" t="n">
        <v>3.6392</v>
      </c>
      <c r="D197" s="880" t="n">
        <v>4639200000</v>
      </c>
      <c r="E197" s="889" t="n">
        <v>3639200000</v>
      </c>
    </row>
    <row r="198" ht="15" customHeight="1" s="981">
      <c r="A198" t="n">
        <v>183</v>
      </c>
      <c r="B198" s="888" t="n">
        <v>13.747</v>
      </c>
      <c r="C198" s="865" t="n">
        <v>3.5868</v>
      </c>
      <c r="D198" s="880" t="n">
        <v>4586800000</v>
      </c>
      <c r="E198" s="889" t="n">
        <v>3586800000</v>
      </c>
    </row>
    <row r="199" ht="15" customHeight="1" s="981">
      <c r="A199" t="n">
        <v>184</v>
      </c>
      <c r="B199" s="888" t="n">
        <v>14.171</v>
      </c>
      <c r="C199" s="865" t="n">
        <v>3.6928</v>
      </c>
      <c r="D199" s="880" t="n">
        <v>4692800000</v>
      </c>
      <c r="E199" s="889" t="n">
        <v>3692800000</v>
      </c>
    </row>
    <row r="200" ht="15" customHeight="1" s="981">
      <c r="A200" t="n">
        <v>185</v>
      </c>
      <c r="B200" s="888" t="n">
        <v>13.419</v>
      </c>
      <c r="C200" s="865" t="n">
        <v>3.5048</v>
      </c>
      <c r="D200" s="880" t="n">
        <v>4504800000</v>
      </c>
      <c r="E200" s="889" t="n">
        <v>3504800000</v>
      </c>
    </row>
    <row r="201" ht="15" customHeight="1" s="981">
      <c r="A201" t="n">
        <v>186</v>
      </c>
      <c r="B201" s="888" t="n">
        <v>13.832</v>
      </c>
      <c r="C201" s="865" t="n">
        <v>3.608</v>
      </c>
      <c r="D201" s="880" t="n">
        <v>4608000000</v>
      </c>
      <c r="E201" s="889" t="n">
        <v>3608000000</v>
      </c>
    </row>
    <row r="202" ht="15" customHeight="1" s="981">
      <c r="A202" t="n">
        <v>187</v>
      </c>
      <c r="B202" s="888" t="n">
        <v>13.682</v>
      </c>
      <c r="C202" s="865" t="n">
        <v>3.5705</v>
      </c>
      <c r="D202" s="880" t="n">
        <v>4570500000</v>
      </c>
      <c r="E202" s="889" t="n">
        <v>3570500000</v>
      </c>
    </row>
    <row r="203" ht="15" customHeight="1" s="981">
      <c r="A203" t="n">
        <v>188</v>
      </c>
      <c r="B203" s="888" t="n">
        <v>13.822</v>
      </c>
      <c r="C203" s="865" t="n">
        <v>3.6055</v>
      </c>
      <c r="D203" s="880" t="n">
        <v>4605500000</v>
      </c>
      <c r="E203" s="889" t="n">
        <v>3605500000</v>
      </c>
    </row>
    <row r="204" ht="15" customHeight="1" s="981">
      <c r="A204" t="n">
        <v>189</v>
      </c>
      <c r="B204" s="888" t="n">
        <v>14.212</v>
      </c>
      <c r="C204" s="865" t="n">
        <v>3.703</v>
      </c>
      <c r="D204" s="880" t="n">
        <v>4703000000</v>
      </c>
      <c r="E204" s="889" t="n">
        <v>3703000000</v>
      </c>
    </row>
    <row r="205" ht="15" customHeight="1" s="981">
      <c r="A205" t="n">
        <v>190</v>
      </c>
      <c r="B205" s="888" t="n">
        <v>14.519</v>
      </c>
      <c r="C205" s="865" t="n">
        <v>3.7798</v>
      </c>
      <c r="D205" s="880" t="n">
        <v>4779800000</v>
      </c>
      <c r="E205" s="889" t="n">
        <v>3779800000</v>
      </c>
    </row>
    <row r="206" ht="15" customHeight="1" s="981">
      <c r="A206" t="n">
        <v>191</v>
      </c>
      <c r="B206" s="888" t="n">
        <v>14.537</v>
      </c>
      <c r="C206" s="865" t="n">
        <v>3.7842</v>
      </c>
      <c r="D206" s="880" t="n">
        <v>4784200000</v>
      </c>
      <c r="E206" s="889" t="n">
        <v>3784200000</v>
      </c>
    </row>
    <row r="207" ht="15" customHeight="1" s="981">
      <c r="A207" t="n">
        <v>192</v>
      </c>
      <c r="B207" s="888" t="n">
        <v>14.731</v>
      </c>
      <c r="C207" s="865" t="n">
        <v>3.8328</v>
      </c>
      <c r="D207" s="880" t="n">
        <v>4832800000</v>
      </c>
      <c r="E207" s="889" t="n">
        <v>3832800000</v>
      </c>
    </row>
    <row r="208" ht="15" customHeight="1" s="981">
      <c r="A208" t="n">
        <v>193</v>
      </c>
      <c r="B208" s="888" t="n">
        <v>14.966</v>
      </c>
      <c r="C208" s="865" t="n">
        <v>3.8915</v>
      </c>
      <c r="D208" s="880" t="n">
        <v>4891500000</v>
      </c>
      <c r="E208" s="889" t="n">
        <v>3891500000</v>
      </c>
    </row>
    <row r="209">
      <c r="A209" t="n">
        <v>194</v>
      </c>
      <c r="B209" t="n">
        <v>14.607</v>
      </c>
      <c r="C209" s="192" t="n">
        <v>3.8018</v>
      </c>
      <c r="D209" t="n">
        <v>4801800000</v>
      </c>
      <c r="E209" t="n">
        <v>3801800000</v>
      </c>
    </row>
    <row r="210">
      <c r="A210" t="n">
        <v>195</v>
      </c>
      <c r="B210" t="n">
        <v>14.753</v>
      </c>
      <c r="C210" s="192" t="n">
        <v>3.8382</v>
      </c>
      <c r="D210" t="n">
        <v>4838200000</v>
      </c>
      <c r="E210" t="n">
        <v>3838200000</v>
      </c>
    </row>
    <row r="211">
      <c r="A211" t="n">
        <v>196</v>
      </c>
      <c r="B211" t="n">
        <v>15.163</v>
      </c>
      <c r="C211" s="192" t="n">
        <v>3.9408</v>
      </c>
      <c r="D211" t="n">
        <v>4940800000</v>
      </c>
      <c r="E211" t="n">
        <v>3940800000</v>
      </c>
    </row>
    <row r="212">
      <c r="A212" t="n">
        <v>197</v>
      </c>
      <c r="B212" t="n">
        <v>14.911</v>
      </c>
      <c r="C212" s="192" t="n">
        <v>3.8778</v>
      </c>
      <c r="D212" t="n">
        <v>4877800000</v>
      </c>
      <c r="E212" t="n">
        <v>3877800000</v>
      </c>
    </row>
    <row r="213">
      <c r="A213" t="n">
        <v>198</v>
      </c>
      <c r="B213" t="n">
        <v>14.512</v>
      </c>
      <c r="C213" s="192" t="n">
        <v>3.778</v>
      </c>
      <c r="D213" t="n">
        <v>4778000000</v>
      </c>
      <c r="E213" t="n">
        <v>3778000000</v>
      </c>
    </row>
    <row r="214">
      <c r="A214" t="n">
        <v>199</v>
      </c>
      <c r="B214" t="n">
        <v>14.537</v>
      </c>
      <c r="C214" s="192" t="n">
        <v>3.7842</v>
      </c>
      <c r="D214" t="n">
        <v>4784200000</v>
      </c>
      <c r="E214" t="n">
        <v>3784200000</v>
      </c>
    </row>
    <row r="215" ht="21.75" customHeight="1" s="981">
      <c r="A215" s="1224" t="n">
        <v>200</v>
      </c>
    </row>
    <row r="216" ht="15" customHeight="1" s="981">
      <c r="A216" s="848" t="inlineStr">
        <is>
          <t>Mean Return</t>
        </is>
      </c>
      <c r="C216" s="890">
        <f>AVERAGE(C9:C208)</f>
        <v/>
      </c>
    </row>
    <row r="217" ht="15" customHeight="1" s="981">
      <c r="A217" s="848" t="inlineStr">
        <is>
          <t>Std Dev</t>
        </is>
      </c>
      <c r="C217" s="890">
        <f>STDEV(C9:C208)</f>
        <v/>
      </c>
    </row>
    <row r="218" ht="15" customHeight="1" s="981">
      <c r="A218" s="848" t="inlineStr">
        <is>
          <t>Min (Worst)</t>
        </is>
      </c>
      <c r="C218" s="890">
        <f>MIN(C9:C208)</f>
        <v/>
      </c>
    </row>
    <row r="219" ht="15" customHeight="1" s="981">
      <c r="A219" s="848" t="inlineStr">
        <is>
          <t>Max (Best)</t>
        </is>
      </c>
      <c r="C219" s="890">
        <f>MAX(C9:C208)</f>
        <v/>
      </c>
    </row>
    <row r="220" ht="15" customHeight="1" s="981">
      <c r="A220" s="848" t="inlineStr">
        <is>
          <t>Median</t>
        </is>
      </c>
      <c r="C220" s="890">
        <f>MEDIAN(C9:C208)</f>
        <v/>
      </c>
    </row>
    <row r="221" ht="15" customHeight="1" s="981">
      <c r="A221" s="848" t="inlineStr">
        <is>
          <t>VaR 95% (Percentile)</t>
        </is>
      </c>
      <c r="C221" s="890">
        <f>PERCENTILE(C9:C208,0.05)</f>
        <v/>
      </c>
    </row>
    <row r="222" ht="15" customHeight="1" s="981">
      <c r="A222" s="848" t="inlineStr">
        <is>
          <t>VaR 99%</t>
        </is>
      </c>
      <c r="C222" s="890">
        <f>PERCENTILE(C9:C208,0.01)</f>
        <v/>
      </c>
    </row>
    <row r="223" ht="15" customHeight="1" s="981">
      <c r="A223" s="848" t="inlineStr">
        <is>
          <t>CVaR/Expected Shortfall 95%</t>
        </is>
      </c>
      <c r="C223" s="890">
        <f>AVERAGEIF(C9:C208,"&lt;="&amp;PERCENTILE(C9:C208,0.05))</f>
        <v/>
      </c>
    </row>
    <row r="224" ht="15" customHeight="1" s="981">
      <c r="A224" s="848" t="inlineStr">
        <is>
          <t>CVaR/Expected Shortfall 99%</t>
        </is>
      </c>
      <c r="C224" s="890">
        <f>AVERAGEIF(C9:C208,"&lt;="&amp;PERCENTILE(C9:C208,0.01))</f>
        <v/>
      </c>
    </row>
    <row r="225" ht="15" customHeight="1" s="981">
      <c r="A225" s="848" t="inlineStr">
        <is>
          <t>Xác suất Lỗ</t>
        </is>
      </c>
      <c r="C225" s="890">
        <f>COUNTIF(C9:C208,"&lt;0")/200</f>
        <v/>
      </c>
    </row>
    <row r="226" ht="15" customHeight="1" s="981">
      <c r="A226" s="848" t="inlineStr">
        <is>
          <t>Xác suất Cháy TK (-50%)</t>
        </is>
      </c>
      <c r="C226" s="890">
        <f>COUNTIF(C9:C208,"&lt;-0.5")/200</f>
        <v/>
      </c>
    </row>
  </sheetData>
  <mergeCells count="6">
    <mergeCell ref="A1:M1"/>
    <mergeCell ref="A4:M4"/>
    <mergeCell ref="A8:F8"/>
    <mergeCell ref="A215:M215"/>
    <mergeCell ref="A7:M7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6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7" customWidth="1" style="981" min="2" max="2"/>
    <col width="16" customWidth="1" style="981" min="3" max="3"/>
    <col width="18" customWidth="1" style="981" min="4" max="4"/>
    <col width="11" customWidth="1" style="981" min="5" max="6"/>
    <col width="12" customWidth="1" style="981" min="7" max="8"/>
    <col width="7" customWidth="1" style="981" min="9" max="9"/>
    <col width="11" customWidth="1" style="981" min="10" max="11"/>
    <col width="14" customWidth="1" style="981" min="12" max="12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📈 MARKOWITZ MEAN-VARIANCE OPTIMIZATION — Tối đa hóa Sharpe Ratio bằng Solver</t>
        </is>
      </c>
    </row>
    <row r="3" ht="15" customHeight="1" s="981">
      <c r="A3" s="1222" t="inlineStr">
        <is>
          <t>💎 Bật Solver Add-in trong Excel: Data → Solver. Target: maximize J22 (Sharpe). By changing: D9:D16 (weights). Constraints: D17=1, D9:D16&gt;=0, D9:D16&lt;=0.25</t>
        </is>
      </c>
    </row>
    <row r="5" ht="21.75" customHeight="1" s="981">
      <c r="A5" s="1224" t="inlineStr">
        <is>
          <t>⚙️ INPUT — Lợi nhuận kỳ vọng &amp; độ lệch chuẩn từng mã (chỉnh được)</t>
        </is>
      </c>
    </row>
    <row r="7" ht="31.5" customHeight="1" s="981">
      <c r="A7" s="847" t="inlineStr">
        <is>
          <t>STT</t>
        </is>
      </c>
      <c r="B7" s="847" t="inlineStr">
        <is>
          <t>Mã</t>
        </is>
      </c>
      <c r="C7" s="847" t="inlineStr">
        <is>
          <t>Tên</t>
        </is>
      </c>
      <c r="D7" s="847" t="inlineStr">
        <is>
          <t>TRỌNG SỐ (Solver thay đổi)</t>
        </is>
      </c>
      <c r="E7" s="847" t="inlineStr">
        <is>
          <t>E[r] / năm</t>
        </is>
      </c>
      <c r="F7" s="847" t="inlineStr">
        <is>
          <t>σ / năm</t>
        </is>
      </c>
      <c r="G7" s="847" t="inlineStr">
        <is>
          <t>Đóng góp
E[r]</t>
        </is>
      </c>
      <c r="H7" s="847" t="inlineStr">
        <is>
          <t>Đóng góp
rủi ro</t>
        </is>
      </c>
      <c r="I7" s="847" t="inlineStr">
        <is>
          <t>Beta</t>
        </is>
      </c>
      <c r="J7" s="847" t="inlineStr">
        <is>
          <t>Position cap</t>
        </is>
      </c>
      <c r="K7" s="847" t="inlineStr">
        <is>
          <t>Hiện tại %</t>
        </is>
      </c>
      <c r="L7" s="847" t="inlineStr">
        <is>
          <t>Gợi ý</t>
        </is>
      </c>
    </row>
    <row r="8" ht="15" customHeight="1" s="981">
      <c r="A8" s="861" t="n">
        <v>1</v>
      </c>
      <c r="B8" s="866" t="inlineStr">
        <is>
          <t>FPT</t>
        </is>
      </c>
      <c r="C8" s="862">
        <f>IFERROR(VLOOKUP(B8,'📈 Cổ Phiếu VN 🔍'!$A:$B,2,0),"")</f>
        <v/>
      </c>
      <c r="D8" s="891" t="n">
        <v>0.125</v>
      </c>
      <c r="E8" s="891" t="n">
        <v>0.22</v>
      </c>
      <c r="F8" s="891" t="n">
        <v>0.28</v>
      </c>
      <c r="G8" s="869">
        <f>D8*E8</f>
        <v/>
      </c>
      <c r="H8" s="869">
        <f>D8*F8</f>
        <v/>
      </c>
      <c r="I8" s="867" t="n">
        <v>1.05</v>
      </c>
      <c r="J8" s="868" t="n">
        <v>0.25</v>
      </c>
      <c r="K8" s="868">
        <f>D8</f>
        <v/>
      </c>
      <c r="L8" s="863">
        <f>IF(D8&gt;K8,"🔴 Vượt cap",IF(D8&lt;0.02,"🟡 Quá nhỏ","🟢 OK"))</f>
        <v/>
      </c>
    </row>
    <row r="9" ht="15" customHeight="1" s="981">
      <c r="A9" s="861" t="n">
        <v>2</v>
      </c>
      <c r="B9" s="866" t="inlineStr">
        <is>
          <t>MBB</t>
        </is>
      </c>
      <c r="C9" s="862">
        <f>IFERROR(VLOOKUP(B9,'📈 Cổ Phiếu VN 🔍'!$A:$B,2,0),"")</f>
        <v/>
      </c>
      <c r="D9" s="891" t="n">
        <v>0.125</v>
      </c>
      <c r="E9" s="891" t="n">
        <v>0.18</v>
      </c>
      <c r="F9" s="891" t="n">
        <v>0.32</v>
      </c>
      <c r="G9" s="869">
        <f>D9*E9</f>
        <v/>
      </c>
      <c r="H9" s="869">
        <f>D9*F9</f>
        <v/>
      </c>
      <c r="I9" s="867" t="n">
        <v>1.15</v>
      </c>
      <c r="J9" s="868" t="n">
        <v>0.25</v>
      </c>
      <c r="K9" s="868">
        <f>D9</f>
        <v/>
      </c>
      <c r="L9" s="863">
        <f>IF(D9&gt;K9,"🔴 Vượt cap",IF(D9&lt;0.02,"🟡 Quá nhỏ","🟢 OK"))</f>
        <v/>
      </c>
    </row>
    <row r="10" ht="15" customHeight="1" s="981">
      <c r="A10" s="861" t="n">
        <v>3</v>
      </c>
      <c r="B10" s="866" t="inlineStr">
        <is>
          <t>VCB</t>
        </is>
      </c>
      <c r="C10" s="862">
        <f>IFERROR(VLOOKUP(B10,'📈 Cổ Phiếu VN 🔍'!$A:$B,2,0),"")</f>
        <v/>
      </c>
      <c r="D10" s="891" t="n">
        <v>0.125</v>
      </c>
      <c r="E10" s="891" t="n">
        <v>0.15</v>
      </c>
      <c r="F10" s="891" t="n">
        <v>0.22</v>
      </c>
      <c r="G10" s="869">
        <f>D10*E10</f>
        <v/>
      </c>
      <c r="H10" s="869">
        <f>D10*F10</f>
        <v/>
      </c>
      <c r="I10" s="867" t="n">
        <v>1</v>
      </c>
      <c r="J10" s="868" t="n">
        <v>0.25</v>
      </c>
      <c r="K10" s="868">
        <f>D10</f>
        <v/>
      </c>
      <c r="L10" s="863">
        <f>IF(D10&gt;K10,"🔴 Vượt cap",IF(D10&lt;0.02,"🟡 Quá nhỏ","🟢 OK"))</f>
        <v/>
      </c>
    </row>
    <row r="11" ht="15" customHeight="1" s="981">
      <c r="A11" s="861" t="n">
        <v>4</v>
      </c>
      <c r="B11" s="866" t="inlineStr">
        <is>
          <t>CTR</t>
        </is>
      </c>
      <c r="C11" s="862">
        <f>IFERROR(VLOOKUP(B11,'📈 Cổ Phiếu VN 🔍'!$A:$B,2,0),"")</f>
        <v/>
      </c>
      <c r="D11" s="891" t="n">
        <v>0.125</v>
      </c>
      <c r="E11" s="891" t="n">
        <v>0.2</v>
      </c>
      <c r="F11" s="891" t="n">
        <v>0.35</v>
      </c>
      <c r="G11" s="869">
        <f>D11*E11</f>
        <v/>
      </c>
      <c r="H11" s="869">
        <f>D11*F11</f>
        <v/>
      </c>
      <c r="I11" s="867" t="n">
        <v>0.95</v>
      </c>
      <c r="J11" s="868" t="n">
        <v>0.25</v>
      </c>
      <c r="K11" s="868">
        <f>D11</f>
        <v/>
      </c>
      <c r="L11" s="863">
        <f>IF(D11&gt;K11,"🔴 Vượt cap",IF(D11&lt;0.02,"🟡 Quá nhỏ","🟢 OK"))</f>
        <v/>
      </c>
    </row>
    <row r="12" ht="15" customHeight="1" s="981">
      <c r="A12" s="861" t="n">
        <v>5</v>
      </c>
      <c r="B12" s="866" t="inlineStr">
        <is>
          <t>MWG</t>
        </is>
      </c>
      <c r="C12" s="862">
        <f>IFERROR(VLOOKUP(B12,'📈 Cổ Phiếu VN 🔍'!$A:$B,2,0),"")</f>
        <v/>
      </c>
      <c r="D12" s="891" t="n">
        <v>0.125</v>
      </c>
      <c r="E12" s="891" t="n">
        <v>0.16</v>
      </c>
      <c r="F12" s="891" t="n">
        <v>0.4</v>
      </c>
      <c r="G12" s="869">
        <f>D12*E12</f>
        <v/>
      </c>
      <c r="H12" s="869">
        <f>D12*F12</f>
        <v/>
      </c>
      <c r="I12" s="867" t="n">
        <v>1.25</v>
      </c>
      <c r="J12" s="868" t="n">
        <v>0.25</v>
      </c>
      <c r="K12" s="868">
        <f>D12</f>
        <v/>
      </c>
      <c r="L12" s="863">
        <f>IF(D12&gt;K12,"🔴 Vượt cap",IF(D12&lt;0.02,"🟡 Quá nhỏ","🟢 OK"))</f>
        <v/>
      </c>
    </row>
    <row r="13" ht="15" customHeight="1" s="981">
      <c r="A13" s="861" t="n">
        <v>6</v>
      </c>
      <c r="B13" s="866" t="inlineStr">
        <is>
          <t>HPG</t>
        </is>
      </c>
      <c r="C13" s="862">
        <f>IFERROR(VLOOKUP(B13,'📈 Cổ Phiếu VN 🔍'!$A:$B,2,0),"")</f>
        <v/>
      </c>
      <c r="D13" s="891" t="n">
        <v>0.125</v>
      </c>
      <c r="E13" s="891" t="n">
        <v>0.14</v>
      </c>
      <c r="F13" s="891" t="n">
        <v>0.42</v>
      </c>
      <c r="G13" s="869">
        <f>D13*E13</f>
        <v/>
      </c>
      <c r="H13" s="869">
        <f>D13*F13</f>
        <v/>
      </c>
      <c r="I13" s="867" t="n">
        <v>1.3</v>
      </c>
      <c r="J13" s="868" t="n">
        <v>0.25</v>
      </c>
      <c r="K13" s="868">
        <f>D13</f>
        <v/>
      </c>
      <c r="L13" s="863">
        <f>IF(D13&gt;K13,"🔴 Vượt cap",IF(D13&lt;0.02,"🟡 Quá nhỏ","🟢 OK"))</f>
        <v/>
      </c>
    </row>
    <row r="14" ht="15" customHeight="1" s="981">
      <c r="A14" s="861" t="n">
        <v>7</v>
      </c>
      <c r="B14" s="866" t="inlineStr">
        <is>
          <t>VNM</t>
        </is>
      </c>
      <c r="C14" s="862">
        <f>IFERROR(VLOOKUP(B14,'📈 Cổ Phiếu VN 🔍'!$A:$B,2,0),"")</f>
        <v/>
      </c>
      <c r="D14" s="891" t="n">
        <v>0.125</v>
      </c>
      <c r="E14" s="891" t="n">
        <v>0.1</v>
      </c>
      <c r="F14" s="891" t="n">
        <v>0.2</v>
      </c>
      <c r="G14" s="869">
        <f>D14*E14</f>
        <v/>
      </c>
      <c r="H14" s="869">
        <f>D14*F14</f>
        <v/>
      </c>
      <c r="I14" s="867" t="n">
        <v>0.75</v>
      </c>
      <c r="J14" s="868" t="n">
        <v>0.25</v>
      </c>
      <c r="K14" s="868">
        <f>D14</f>
        <v/>
      </c>
      <c r="L14" s="863">
        <f>IF(D14&gt;K14,"🔴 Vượt cap",IF(D14&lt;0.02,"🟡 Quá nhỏ","🟢 OK"))</f>
        <v/>
      </c>
    </row>
    <row r="15" ht="15" customHeight="1" s="981">
      <c r="A15" s="861" t="n">
        <v>8</v>
      </c>
      <c r="B15" s="866" t="inlineStr">
        <is>
          <t>VIX</t>
        </is>
      </c>
      <c r="C15" s="862">
        <f>IFERROR(VLOOKUP(B15,'📈 Cổ Phiếu VN 🔍'!$A:$B,2,0),"")</f>
        <v/>
      </c>
      <c r="D15" s="891" t="n">
        <v>0.125</v>
      </c>
      <c r="E15" s="891" t="n">
        <v>0.25</v>
      </c>
      <c r="F15" s="891" t="n">
        <v>0.55</v>
      </c>
      <c r="G15" s="869">
        <f>D15*E15</f>
        <v/>
      </c>
      <c r="H15" s="869">
        <f>D15*F15</f>
        <v/>
      </c>
      <c r="I15" s="867" t="n">
        <v>1.4</v>
      </c>
      <c r="J15" s="868" t="n">
        <v>0.25</v>
      </c>
      <c r="K15" s="868">
        <f>D15</f>
        <v/>
      </c>
      <c r="L15" s="863">
        <f>IF(D15&gt;K15,"🔴 Vượt cap",IF(D15&lt;0.02,"🟡 Quá nhỏ","🟢 OK"))</f>
        <v/>
      </c>
    </row>
    <row r="16" ht="15" customHeight="1" s="981">
      <c r="B16" s="892" t="inlineStr">
        <is>
          <t>🎯 TỔNG</t>
        </is>
      </c>
      <c r="D16" s="881">
        <f>SUM(D8:D15)</f>
        <v/>
      </c>
      <c r="G16" s="893">
        <f>SUMPRODUCT(D8:D15,E8:E15)</f>
        <v/>
      </c>
      <c r="H16" s="893">
        <f>SQRT(SUMPRODUCT((D8:D15)^2,(F8:F15)^2))</f>
        <v/>
      </c>
    </row>
    <row r="18" ht="21.75" customHeight="1" s="981">
      <c r="A18" s="1224" t="inlineStr">
        <is>
          <t>🏆 PORTFOLIO METRICS — Mục tiêu Solver: maximize Sharpe</t>
        </is>
      </c>
    </row>
    <row r="19" ht="15" customHeight="1" s="981">
      <c r="A19" s="848" t="inlineStr">
        <is>
          <t>Portfolio E[r]</t>
        </is>
      </c>
      <c r="D19" s="855">
        <f>G16</f>
        <v/>
      </c>
    </row>
    <row r="20" ht="15" customHeight="1" s="981">
      <c r="A20" s="848" t="inlineStr">
        <is>
          <t>Portfolio σ</t>
        </is>
      </c>
      <c r="D20" s="855">
        <f>H16</f>
        <v/>
      </c>
    </row>
    <row r="21" ht="15" customHeight="1" s="981">
      <c r="A21" s="848" t="inlineStr">
        <is>
          <t>Risk-Free Rate</t>
        </is>
      </c>
      <c r="D21" s="852" t="n">
        <v>0.0425</v>
      </c>
    </row>
    <row r="22" ht="15" customHeight="1" s="981">
      <c r="A22" s="848" t="inlineStr">
        <is>
          <t>Sharpe Ratio (TARGET maximize)</t>
        </is>
      </c>
      <c r="D22" s="894">
        <f>(G16-D21)/H16</f>
        <v/>
      </c>
    </row>
    <row r="23" ht="15" customHeight="1" s="981">
      <c r="A23" s="848" t="inlineStr">
        <is>
          <t>Sortino Ratio</t>
        </is>
      </c>
      <c r="D23" s="894">
        <f>(G16-D21)/H16/SQRT(2)</f>
        <v/>
      </c>
    </row>
    <row r="24" ht="15" customHeight="1" s="981">
      <c r="A24" s="848" t="inlineStr">
        <is>
          <t>Treynor Ratio</t>
        </is>
      </c>
      <c r="D24" s="894">
        <f>(G16-D21)/SUMPRODUCT(D8:D15,I8:I15)</f>
        <v/>
      </c>
    </row>
    <row r="25" ht="15" customHeight="1" s="981">
      <c r="A25" s="848" t="inlineStr">
        <is>
          <t>Max Drawdown (est)</t>
        </is>
      </c>
      <c r="D25" s="855">
        <f>H16*2.5</f>
        <v/>
      </c>
    </row>
    <row r="26" ht="15" customHeight="1" s="981">
      <c r="A26" s="848" t="inlineStr">
        <is>
          <t>Diversification Benefit</t>
        </is>
      </c>
      <c r="D26" s="855">
        <f>1-H16/SUMPRODUCT(D8:D15,F8:F15)</f>
        <v/>
      </c>
    </row>
  </sheetData>
  <mergeCells count="5">
    <mergeCell ref="A2:L2"/>
    <mergeCell ref="A1:L1"/>
    <mergeCell ref="A5:L5"/>
    <mergeCell ref="A18:L18"/>
    <mergeCell ref="A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31"/>
  <sheetViews>
    <sheetView zoomScaleNormal="100" workbookViewId="0">
      <selection activeCell="A1" sqref="A1"/>
    </sheetView>
  </sheetViews>
  <sheetFormatPr baseColWidth="8" defaultColWidth="8.6640625" defaultRowHeight="14.4"/>
  <cols>
    <col width="11" customWidth="1" style="981" min="1" max="1"/>
    <col width="14" customWidth="1" style="981" min="2" max="2"/>
    <col width="18" customWidth="1" style="981" min="3" max="4"/>
    <col width="16" customWidth="1" style="981" min="5" max="5"/>
    <col width="14" customWidth="1" style="981" min="6" max="6"/>
    <col width="18" customWidth="1" style="981" min="7" max="7"/>
    <col width="14" customWidth="1" style="981" min="8" max="8"/>
    <col width="11" customWidth="1" style="981" min="9" max="9"/>
    <col width="7" customWidth="1" style="981" min="10" max="10"/>
    <col width="11" customWidth="1" style="981" min="11" max="12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🛡 DYNAMIC HEDGING (VN30F1M) + MARKET IMPACT COST (Square-Root Law)</t>
        </is>
      </c>
    </row>
    <row r="4" ht="21.75" customHeight="1" s="981">
      <c r="A4" s="1224" t="inlineStr">
        <is>
          <t>⚙️ INPUT DANH MỤC</t>
        </is>
      </c>
    </row>
    <row r="5" ht="15" customHeight="1" s="981">
      <c r="A5" s="872" t="inlineStr">
        <is>
          <t>Giá trị DM (đ):</t>
        </is>
      </c>
      <c r="B5" s="851" t="n">
        <v>1000000000</v>
      </c>
      <c r="D5" s="872" t="inlineStr">
        <is>
          <t>Beta DM:</t>
        </is>
      </c>
      <c r="E5" s="876" t="n">
        <v>1.1</v>
      </c>
      <c r="G5" s="872" t="inlineStr">
        <is>
          <t>Giá VN30F1M (điểm):</t>
        </is>
      </c>
      <c r="H5" s="876" t="n">
        <v>1380</v>
      </c>
      <c r="J5" s="872" t="inlineStr">
        <is>
          <t>Multiplier:</t>
        </is>
      </c>
      <c r="K5" s="876" t="n">
        <v>100000</v>
      </c>
    </row>
    <row r="7" ht="21.75" customHeight="1" s="981">
      <c r="A7" s="1224" t="inlineStr">
        <is>
          <t>🛡 SỐ HỢP ĐỒNG VN30F1M CẦN SHORT (Hedge Ratio)</t>
        </is>
      </c>
    </row>
    <row r="8" ht="15" customHeight="1" s="981">
      <c r="A8" s="986" t="inlineStr">
        <is>
          <t>Số HĐ cần Short = (GT DM × Beta) / (Giá F × Multiplier)</t>
        </is>
      </c>
    </row>
    <row r="9" ht="17.25" customHeight="1" s="981">
      <c r="A9" s="872" t="inlineStr">
        <is>
          <t>Số HĐ cần Short:</t>
        </is>
      </c>
      <c r="B9" s="895">
        <f>ROUND(B5*E5/(H5*K5),0)</f>
        <v/>
      </c>
      <c r="D9" s="872" t="inlineStr">
        <is>
          <t>Giá trị hedge:</t>
        </is>
      </c>
      <c r="E9" s="880">
        <f>B9*H5*K5</f>
        <v/>
      </c>
      <c r="G9" s="872" t="inlineStr">
        <is>
          <t>Ký quỹ (15%):</t>
        </is>
      </c>
      <c r="H9" s="880">
        <f>E9*0.15</f>
        <v/>
      </c>
    </row>
    <row r="11" ht="21.75" customHeight="1" s="981">
      <c r="A11" s="1224" t="inlineStr">
        <is>
          <t>📊 STRESS TEST — Nếu VN-Index sập X%, danh mục biến động bao nhiêu sau hedge?</t>
        </is>
      </c>
    </row>
    <row r="12" ht="31.5" customHeight="1" s="981">
      <c r="A12" s="847" t="inlineStr">
        <is>
          <t>Kịch bản</t>
        </is>
      </c>
      <c r="B12" s="847" t="inlineStr">
        <is>
          <t>VN-Index thay đổi</t>
        </is>
      </c>
      <c r="C12" s="847" t="inlineStr">
        <is>
          <t>Lãi/Lỗ CP (chưa hedge)</t>
        </is>
      </c>
      <c r="D12" s="847" t="inlineStr">
        <is>
          <t>Lãi/Lỗ Hedge Short</t>
        </is>
      </c>
      <c r="E12" s="847" t="inlineStr">
        <is>
          <t>NET (sau hedge)</t>
        </is>
      </c>
      <c r="F12" s="847" t="inlineStr">
        <is>
          <t>% Net / DM</t>
        </is>
      </c>
      <c r="G12" s="847" t="inlineStr">
        <is>
          <t>Đánh giá</t>
        </is>
      </c>
    </row>
    <row r="13" ht="15" customHeight="1" s="981">
      <c r="A13" s="848" t="inlineStr">
        <is>
          <t>Sập nặng</t>
        </is>
      </c>
      <c r="B13" s="896" t="n">
        <v>-0.2</v>
      </c>
      <c r="C13" s="889">
        <f>$B$5*$E$5*B13</f>
        <v/>
      </c>
      <c r="D13" s="889">
        <f>-B13*$B$9*$H$5*$K$5</f>
        <v/>
      </c>
      <c r="E13" s="897">
        <f>C13+D13</f>
        <v/>
      </c>
      <c r="F13" s="865">
        <f>E13/$B$5</f>
        <v/>
      </c>
      <c r="G13" s="856">
        <f>IF(ABS(F13)&lt;0.02,"🟢 Hedge hiệu quả",IF(ABS(F13)&lt;0.05,"🟡 Còn rủi ro nhỏ","🔴 Hedge chưa đủ"))</f>
        <v/>
      </c>
    </row>
    <row r="14" ht="15" customHeight="1" s="981">
      <c r="A14" s="848" t="inlineStr">
        <is>
          <t>Sập vừa</t>
        </is>
      </c>
      <c r="B14" s="896" t="n">
        <v>-0.1</v>
      </c>
      <c r="C14" s="889">
        <f>$B$5*$E$5*B14</f>
        <v/>
      </c>
      <c r="D14" s="889">
        <f>-B14*$B$9*$H$5*$K$5</f>
        <v/>
      </c>
      <c r="E14" s="897">
        <f>C14+D14</f>
        <v/>
      </c>
      <c r="F14" s="865">
        <f>E14/$B$5</f>
        <v/>
      </c>
      <c r="G14" s="856">
        <f>IF(ABS(F14)&lt;0.02,"🟢 Hedge hiệu quả",IF(ABS(F14)&lt;0.05,"🟡 Còn rủi ro nhỏ","🔴 Hedge chưa đủ"))</f>
        <v/>
      </c>
    </row>
    <row r="15" ht="15" customHeight="1" s="981">
      <c r="A15" s="848" t="inlineStr">
        <is>
          <t>Sập nhẹ</t>
        </is>
      </c>
      <c r="B15" s="896" t="n">
        <v>-0.05</v>
      </c>
      <c r="C15" s="889">
        <f>$B$5*$E$5*B15</f>
        <v/>
      </c>
      <c r="D15" s="889">
        <f>-B15*$B$9*$H$5*$K$5</f>
        <v/>
      </c>
      <c r="E15" s="897">
        <f>C15+D15</f>
        <v/>
      </c>
      <c r="F15" s="865">
        <f>E15/$B$5</f>
        <v/>
      </c>
      <c r="G15" s="856">
        <f>IF(ABS(F15)&lt;0.02,"🟢 Hedge hiệu quả",IF(ABS(F15)&lt;0.05,"🟡 Còn rủi ro nhỏ","🔴 Hedge chưa đủ"))</f>
        <v/>
      </c>
    </row>
    <row r="16" ht="15" customHeight="1" s="981">
      <c r="A16" s="848" t="inlineStr">
        <is>
          <t>Đi ngang</t>
        </is>
      </c>
      <c r="B16" s="896" t="n">
        <v>0</v>
      </c>
      <c r="C16" s="889">
        <f>$B$5*$E$5*B16</f>
        <v/>
      </c>
      <c r="D16" s="889">
        <f>-B16*$B$9*$H$5*$K$5</f>
        <v/>
      </c>
      <c r="E16" s="897">
        <f>C16+D16</f>
        <v/>
      </c>
      <c r="F16" s="865">
        <f>E16/$B$5</f>
        <v/>
      </c>
      <c r="G16" s="856">
        <f>IF(ABS(F16)&lt;0.02,"🟢 Hedge hiệu quả",IF(ABS(F16)&lt;0.05,"🟡 Còn rủi ro nhỏ","🔴 Hedge chưa đủ"))</f>
        <v/>
      </c>
    </row>
    <row r="17" ht="15" customHeight="1" s="981">
      <c r="A17" s="848" t="inlineStr">
        <is>
          <t>Tăng nhẹ</t>
        </is>
      </c>
      <c r="B17" s="896" t="n">
        <v>0.05</v>
      </c>
      <c r="C17" s="889">
        <f>$B$5*$E$5*B17</f>
        <v/>
      </c>
      <c r="D17" s="889">
        <f>-B17*$B$9*$H$5*$K$5</f>
        <v/>
      </c>
      <c r="E17" s="897">
        <f>C17+D17</f>
        <v/>
      </c>
      <c r="F17" s="865">
        <f>E17/$B$5</f>
        <v/>
      </c>
      <c r="G17" s="856">
        <f>IF(ABS(F17)&lt;0.02,"🟢 Hedge hiệu quả",IF(ABS(F17)&lt;0.05,"🟡 Còn rủi ro nhỏ","🔴 Hedge chưa đủ"))</f>
        <v/>
      </c>
    </row>
    <row r="18" ht="15" customHeight="1" s="981">
      <c r="A18" s="848" t="inlineStr">
        <is>
          <t>Tăng mạnh</t>
        </is>
      </c>
      <c r="B18" s="896" t="n">
        <v>0.15</v>
      </c>
      <c r="C18" s="889">
        <f>$B$5*$E$5*B18</f>
        <v/>
      </c>
      <c r="D18" s="889">
        <f>-B18*$B$9*$H$5*$K$5</f>
        <v/>
      </c>
      <c r="E18" s="897">
        <f>C18+D18</f>
        <v/>
      </c>
      <c r="F18" s="865">
        <f>E18/$B$5</f>
        <v/>
      </c>
      <c r="G18" s="856">
        <f>IF(ABS(F18)&lt;0.02,"🟢 Hedge hiệu quả",IF(ABS(F18)&lt;0.05,"🟡 Còn rủi ro nhỏ","🔴 Hedge chưa đủ"))</f>
        <v/>
      </c>
    </row>
    <row r="21" ht="21.75" customHeight="1" s="981">
      <c r="A21" s="1224" t="inlineStr">
        <is>
          <t>💧 SLIPPAGE / MARKET IMPACT COST — Square-Root Law</t>
        </is>
      </c>
    </row>
    <row r="22" ht="15" customHeight="1" s="981">
      <c r="A22" s="986" t="inlineStr">
        <is>
          <t>Công thức: Slippage = (Quy mô lệnh / ADTV)^0.5 × Volatility × 0.5</t>
        </is>
      </c>
    </row>
    <row r="23" ht="31.5" customHeight="1" s="981">
      <c r="A23" s="847" t="inlineStr">
        <is>
          <t>STT</t>
        </is>
      </c>
      <c r="B23" s="847" t="inlineStr">
        <is>
          <t>Mã</t>
        </is>
      </c>
      <c r="C23" s="847" t="inlineStr">
        <is>
          <t>Quy mô lệnh (đ)</t>
        </is>
      </c>
      <c r="D23" s="847" t="inlineStr">
        <is>
          <t>ADTV (đ/ngày)</t>
        </is>
      </c>
      <c r="E23" s="847" t="inlineStr">
        <is>
          <t>Volatility daily</t>
        </is>
      </c>
      <c r="F23" s="847" t="inlineStr">
        <is>
          <t>Slippage %</t>
        </is>
      </c>
      <c r="G23" s="847" t="inlineStr">
        <is>
          <t>Slippage (đ)</t>
        </is>
      </c>
      <c r="H23" s="847" t="inlineStr">
        <is>
          <t>Net Return loss</t>
        </is>
      </c>
      <c r="I23" s="847" t="inlineStr">
        <is>
          <t>Đánh giá</t>
        </is>
      </c>
    </row>
    <row r="24" ht="15" customHeight="1" s="981">
      <c r="A24" s="898" t="n">
        <v>1</v>
      </c>
      <c r="B24" s="848" t="inlineStr">
        <is>
          <t>FPT</t>
        </is>
      </c>
      <c r="C24" s="880">
        <f>$B$5*0.0625</f>
        <v/>
      </c>
      <c r="D24" s="851" t="n">
        <v>250000000000</v>
      </c>
      <c r="E24" s="864" t="n">
        <v>0.02</v>
      </c>
      <c r="F24" s="865">
        <f>SQRT(C24/D24)*E24*0.5</f>
        <v/>
      </c>
      <c r="G24" s="880">
        <f>F24*C24</f>
        <v/>
      </c>
      <c r="H24" s="865">
        <f>F24</f>
        <v/>
      </c>
      <c r="I24" s="856">
        <f>IF(F24&lt;0.001,"🟢 Thanh khoản tốt",IF(F24&lt;0.005,"🟡 Chấp nhận được","🔴 Phải chia lệnh"))</f>
        <v/>
      </c>
    </row>
    <row r="25" ht="15" customHeight="1" s="981">
      <c r="A25" s="898" t="n">
        <v>2</v>
      </c>
      <c r="B25" s="848" t="inlineStr">
        <is>
          <t>MBB</t>
        </is>
      </c>
      <c r="C25" s="880">
        <f>$B$5*0.0625</f>
        <v/>
      </c>
      <c r="D25" s="851" t="n">
        <v>350000000000</v>
      </c>
      <c r="E25" s="864" t="n">
        <v>0.02</v>
      </c>
      <c r="F25" s="865">
        <f>SQRT(C25/D25)*E25*0.5</f>
        <v/>
      </c>
      <c r="G25" s="880">
        <f>F25*C25</f>
        <v/>
      </c>
      <c r="H25" s="865">
        <f>F25</f>
        <v/>
      </c>
      <c r="I25" s="856">
        <f>IF(F25&lt;0.001,"🟢 Thanh khoản tốt",IF(F25&lt;0.005,"🟡 Chấp nhận được","🔴 Phải chia lệnh"))</f>
        <v/>
      </c>
    </row>
    <row r="26" ht="15" customHeight="1" s="981">
      <c r="A26" s="898" t="n">
        <v>3</v>
      </c>
      <c r="B26" s="848" t="inlineStr">
        <is>
          <t>VCB</t>
        </is>
      </c>
      <c r="C26" s="880">
        <f>$B$5*0.0625</f>
        <v/>
      </c>
      <c r="D26" s="851" t="n">
        <v>200000000000</v>
      </c>
      <c r="E26" s="864" t="n">
        <v>0.02</v>
      </c>
      <c r="F26" s="865">
        <f>SQRT(C26/D26)*E26*0.5</f>
        <v/>
      </c>
      <c r="G26" s="880">
        <f>F26*C26</f>
        <v/>
      </c>
      <c r="H26" s="865">
        <f>F26</f>
        <v/>
      </c>
      <c r="I26" s="856">
        <f>IF(F26&lt;0.001,"🟢 Thanh khoản tốt",IF(F26&lt;0.005,"🟡 Chấp nhận được","🔴 Phải chia lệnh"))</f>
        <v/>
      </c>
    </row>
    <row r="27" ht="15" customHeight="1" s="981">
      <c r="A27" s="898" t="n">
        <v>4</v>
      </c>
      <c r="B27" s="848" t="inlineStr">
        <is>
          <t>CTR</t>
        </is>
      </c>
      <c r="C27" s="880">
        <f>$B$5*0.0625</f>
        <v/>
      </c>
      <c r="D27" s="851" t="n">
        <v>80000000000</v>
      </c>
      <c r="E27" s="864" t="n">
        <v>0.02</v>
      </c>
      <c r="F27" s="865">
        <f>SQRT(C27/D27)*E27*0.5</f>
        <v/>
      </c>
      <c r="G27" s="880">
        <f>F27*C27</f>
        <v/>
      </c>
      <c r="H27" s="865">
        <f>F27</f>
        <v/>
      </c>
      <c r="I27" s="856">
        <f>IF(F27&lt;0.001,"🟢 Thanh khoản tốt",IF(F27&lt;0.005,"🟡 Chấp nhận được","🔴 Phải chia lệnh"))</f>
        <v/>
      </c>
    </row>
    <row r="28" ht="15" customHeight="1" s="981">
      <c r="A28" s="898" t="n">
        <v>5</v>
      </c>
      <c r="B28" s="848" t="inlineStr">
        <is>
          <t>MWG</t>
        </is>
      </c>
      <c r="C28" s="880">
        <f>$B$5*0.0625</f>
        <v/>
      </c>
      <c r="D28" s="851" t="n">
        <v>180000000000</v>
      </c>
      <c r="E28" s="864" t="n">
        <v>0.02</v>
      </c>
      <c r="F28" s="865">
        <f>SQRT(C28/D28)*E28*0.5</f>
        <v/>
      </c>
      <c r="G28" s="880">
        <f>F28*C28</f>
        <v/>
      </c>
      <c r="H28" s="865">
        <f>F28</f>
        <v/>
      </c>
      <c r="I28" s="856">
        <f>IF(F28&lt;0.001,"🟢 Thanh khoản tốt",IF(F28&lt;0.005,"🟡 Chấp nhận được","🔴 Phải chia lệnh"))</f>
        <v/>
      </c>
    </row>
    <row r="29" ht="15" customHeight="1" s="981">
      <c r="A29" s="898" t="n">
        <v>6</v>
      </c>
      <c r="B29" s="848" t="inlineStr">
        <is>
          <t>HPG</t>
        </is>
      </c>
      <c r="C29" s="880">
        <f>$B$5*0.0625</f>
        <v/>
      </c>
      <c r="D29" s="851" t="n">
        <v>500000000000</v>
      </c>
      <c r="E29" s="864" t="n">
        <v>0.02</v>
      </c>
      <c r="F29" s="865">
        <f>SQRT(C29/D29)*E29*0.5</f>
        <v/>
      </c>
      <c r="G29" s="880">
        <f>F29*C29</f>
        <v/>
      </c>
      <c r="H29" s="865">
        <f>F29</f>
        <v/>
      </c>
      <c r="I29" s="856">
        <f>IF(F29&lt;0.001,"🟢 Thanh khoản tốt",IF(F29&lt;0.005,"🟡 Chấp nhận được","🔴 Phải chia lệnh"))</f>
        <v/>
      </c>
    </row>
    <row r="30" ht="15" customHeight="1" s="981">
      <c r="A30" s="898" t="n">
        <v>7</v>
      </c>
      <c r="B30" s="848" t="inlineStr">
        <is>
          <t>VNM</t>
        </is>
      </c>
      <c r="C30" s="880">
        <f>$B$5*0.0625</f>
        <v/>
      </c>
      <c r="D30" s="851" t="n">
        <v>120000000000</v>
      </c>
      <c r="E30" s="864" t="n">
        <v>0.02</v>
      </c>
      <c r="F30" s="865">
        <f>SQRT(C30/D30)*E30*0.5</f>
        <v/>
      </c>
      <c r="G30" s="880">
        <f>F30*C30</f>
        <v/>
      </c>
      <c r="H30" s="865">
        <f>F30</f>
        <v/>
      </c>
      <c r="I30" s="856">
        <f>IF(F30&lt;0.001,"🟢 Thanh khoản tốt",IF(F30&lt;0.005,"🟡 Chấp nhận được","🔴 Phải chia lệnh"))</f>
        <v/>
      </c>
    </row>
    <row r="31" ht="15" customHeight="1" s="981">
      <c r="A31" s="898" t="n">
        <v>8</v>
      </c>
      <c r="B31" s="848" t="inlineStr">
        <is>
          <t>VIX</t>
        </is>
      </c>
      <c r="C31" s="880">
        <f>$B$5*0.0625</f>
        <v/>
      </c>
      <c r="D31" s="851" t="n">
        <v>600000000000</v>
      </c>
      <c r="E31" s="864" t="n">
        <v>0.02</v>
      </c>
      <c r="F31" s="865">
        <f>SQRT(C31/D31)*E31*0.5</f>
        <v/>
      </c>
      <c r="G31" s="880">
        <f>F31*C31</f>
        <v/>
      </c>
      <c r="H31" s="865">
        <f>F31</f>
        <v/>
      </c>
      <c r="I31" s="856">
        <f>IF(F31&lt;0.001,"🟢 Thanh khoản tốt",IF(F31&lt;0.005,"🟡 Chấp nhận được","🔴 Phải chia lệnh"))</f>
        <v/>
      </c>
    </row>
  </sheetData>
  <mergeCells count="6">
    <mergeCell ref="A2:L2"/>
    <mergeCell ref="A7:L7"/>
    <mergeCell ref="A11:L11"/>
    <mergeCell ref="A1:L1"/>
    <mergeCell ref="A21:L21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Normal="100" workbookViewId="0">
      <selection activeCell="A1" sqref="A1"/>
    </sheetView>
  </sheetViews>
  <sheetFormatPr baseColWidth="8" defaultColWidth="8.6640625" defaultRowHeight="14.4"/>
  <cols>
    <col width="36" customWidth="1" style="981" min="1" max="1"/>
    <col width="14" customWidth="1" style="981" min="2" max="5"/>
    <col width="18" customWidth="1" style="981" min="6" max="7"/>
    <col width="20" customWidth="1" style="981" min="8" max="8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🌦 MACRO REGIME SWITCHING — Goldilocks · Reflation · Stagflation · Deflation (All-Weather)</t>
        </is>
      </c>
    </row>
    <row r="4" ht="21.75" customHeight="1" s="981">
      <c r="A4" s="1224" t="inlineStr">
        <is>
          <t>⚙️ INPUT — Chỉ số vĩ mô hiện tại (chỉnh được)</t>
        </is>
      </c>
    </row>
    <row r="5" ht="15" customHeight="1" s="981">
      <c r="A5" s="872" t="inlineStr">
        <is>
          <t>Tăng trưởng GDP (yoy):</t>
        </is>
      </c>
      <c r="C5" s="852" t="n">
        <v>0.065</v>
      </c>
      <c r="E5" s="872" t="inlineStr">
        <is>
          <t>Lạm phát CPI (yoy):</t>
        </is>
      </c>
      <c r="G5" s="852" t="n">
        <v>0.035</v>
      </c>
      <c r="I5" s="872" t="inlineStr">
        <is>
          <t>Ngưỡng GDP trung bình:</t>
        </is>
      </c>
      <c r="K5" s="852" t="n">
        <v>0.06</v>
      </c>
    </row>
    <row r="6" ht="15" customHeight="1" s="981">
      <c r="A6" s="872" t="inlineStr">
        <is>
          <t>Ngưỡng CPI trung bình:</t>
        </is>
      </c>
      <c r="C6" s="852" t="n">
        <v>0.04</v>
      </c>
      <c r="E6" s="872" t="inlineStr">
        <is>
          <t>Lãi suất điều hành:</t>
        </is>
      </c>
      <c r="G6" s="852" t="n">
        <v>0.045</v>
      </c>
    </row>
    <row r="8" ht="21.75" customHeight="1" s="981">
      <c r="A8" s="1224" t="inlineStr">
        <is>
          <t>🌦 CHẾ ĐỘ KINH TẾ HIỆN TẠI (tự nhận diện)</t>
        </is>
      </c>
    </row>
    <row r="9" ht="17.25" customHeight="1" s="981">
      <c r="A9" s="899" t="inlineStr">
        <is>
          <t>Chế độ:</t>
        </is>
      </c>
      <c r="B9" s="1227">
        <f>IF(AND(C5&gt;=K5,G5&lt;C6),"🌞 GOLDILOCKS (Tăng trưởng cao + Lạm phát thấp)",IF(AND(C5&gt;=K5,G5&gt;=C6),"🔥 REFLATION (Tăng trưởng + Lạm phát cao)",IF(AND(C5&lt;K5,G5&gt;=C6),"⚡ STAGFLATION (Đình lạm — Đáng sợ nhất)","❄️ DEFLATION (Suy thoái + Giảm phát)")))</f>
        <v/>
      </c>
    </row>
    <row r="11" ht="21.75" customHeight="1" s="981">
      <c r="A11" s="1224" t="inlineStr">
        <is>
          <t>🎯 MA TRẬN PHÂN BỔ MỤC TIÊU THEO 4 CHẾ ĐỘ</t>
        </is>
      </c>
    </row>
    <row r="12" ht="31.5" customHeight="1" s="981">
      <c r="A12" s="847" t="inlineStr">
        <is>
          <t>Tài sản</t>
        </is>
      </c>
      <c r="B12" s="847" t="inlineStr">
        <is>
          <t>🌞 GOLDILOCKS
(GDP↑ CPI↓)</t>
        </is>
      </c>
      <c r="C12" s="847" t="inlineStr">
        <is>
          <t>🔥 REFLATION
(GDP↑ CPI↑)</t>
        </is>
      </c>
      <c r="D12" s="847" t="inlineStr">
        <is>
          <t>⚡ STAGFLATION
(GDP↓ CPI↑)</t>
        </is>
      </c>
      <c r="E12" s="847" t="inlineStr">
        <is>
          <t>❄️ DEFLATION
(GDP↓ CPI↓)</t>
        </is>
      </c>
      <c r="F12" s="847" t="inlineStr">
        <is>
          <t>⚡ CHẾ ĐỘ HIỆN TẠI</t>
        </is>
      </c>
      <c r="G12" s="847" t="inlineStr">
        <is>
          <t>Hành động</t>
        </is>
      </c>
      <c r="H12" s="847" t="inlineStr">
        <is>
          <t>Ghi chú</t>
        </is>
      </c>
    </row>
    <row r="13" ht="27.75" customHeight="1" s="981">
      <c r="A13" s="900" t="inlineStr">
        <is>
          <t>Cổ phiếu Tăng trưởng (FPT, MWG, CTR)</t>
        </is>
      </c>
      <c r="B13" s="901" t="n">
        <v>0.5</v>
      </c>
      <c r="C13" s="901" t="n">
        <v>0.35</v>
      </c>
      <c r="D13" s="901" t="n">
        <v>0.1</v>
      </c>
      <c r="E13" s="901" t="n">
        <v>0.05</v>
      </c>
      <c r="F13" s="902">
        <f>IF(LEFT($B$9,3)="🌞 ",B13,IF(LEFT($B$9,3)="🔥 ",C13,IF(LEFT($B$9,3)="⚡ ",D13,E13)))</f>
        <v/>
      </c>
      <c r="G13" s="856">
        <f>IF(F13&gt;0.2,"🟢 Tăng tỷ trọng",IF(F13&gt;0.1,"🔵 Giữ",IF(F13&gt;0,"🟡 Giảm","🔴 Bán hết")))</f>
        <v/>
      </c>
      <c r="H13" s="986" t="inlineStr">
        <is>
          <t>Pro-cyclical</t>
        </is>
      </c>
    </row>
    <row r="14" ht="27.75" customHeight="1" s="981">
      <c r="A14" s="900" t="inlineStr">
        <is>
          <t>Cổ phiếu Phòng thủ (VNM, VCB)</t>
        </is>
      </c>
      <c r="B14" s="901" t="n">
        <v>0.2</v>
      </c>
      <c r="C14" s="901" t="n">
        <v>0.15</v>
      </c>
      <c r="D14" s="901" t="n">
        <v>0.25</v>
      </c>
      <c r="E14" s="901" t="n">
        <v>0.35</v>
      </c>
      <c r="F14" s="902">
        <f>IF(LEFT($B$9,3)="🌞 ",B14,IF(LEFT($B$9,3)="🔥 ",C14,IF(LEFT($B$9,3)="⚡ ",D14,E14)))</f>
        <v/>
      </c>
      <c r="G14" s="856">
        <f>IF(F14&gt;0.2,"🟢 Tăng tỷ trọng",IF(F14&gt;0.1,"🔵 Giữ",IF(F14&gt;0,"🟡 Giảm","🔴 Bán hết")))</f>
        <v/>
      </c>
      <c r="H14" s="986" t="inlineStr">
        <is>
          <t>Defensive</t>
        </is>
      </c>
    </row>
    <row r="15" ht="27.75" customHeight="1" s="981">
      <c r="A15" s="900" t="inlineStr">
        <is>
          <t>Cổ phiếu Chu kỳ (HPG)</t>
        </is>
      </c>
      <c r="B15" s="901" t="n">
        <v>0.1</v>
      </c>
      <c r="C15" s="901" t="n">
        <v>0.2</v>
      </c>
      <c r="D15" s="901" t="n">
        <v>0.05</v>
      </c>
      <c r="E15" s="901" t="n">
        <v>0.05</v>
      </c>
      <c r="F15" s="902">
        <f>IF(LEFT($B$9,3)="🌞 ",B15,IF(LEFT($B$9,3)="🔥 ",C15,IF(LEFT($B$9,3)="⚡ ",D15,E15)))</f>
        <v/>
      </c>
      <c r="G15" s="856">
        <f>IF(F15&gt;0.2,"🟢 Tăng tỷ trọng",IF(F15&gt;0.1,"🔵 Giữ",IF(F15&gt;0,"🟡 Giảm","🔴 Bán hết")))</f>
        <v/>
      </c>
      <c r="H15" s="986" t="inlineStr">
        <is>
          <t>Cyclical</t>
        </is>
      </c>
    </row>
    <row r="16" ht="27.75" customHeight="1" s="981">
      <c r="A16" s="900" t="inlineStr">
        <is>
          <t>Ngân hàng (MBB)</t>
        </is>
      </c>
      <c r="B16" s="901" t="n">
        <v>0.1</v>
      </c>
      <c r="C16" s="901" t="n">
        <v>0.15</v>
      </c>
      <c r="D16" s="901" t="n">
        <v>0.05</v>
      </c>
      <c r="E16" s="901" t="n">
        <v>0.1</v>
      </c>
      <c r="F16" s="902">
        <f>IF(LEFT($B$9,3)="🌞 ",B16,IF(LEFT($B$9,3)="🔥 ",C16,IF(LEFT($B$9,3)="⚡ ",D16,E16)))</f>
        <v/>
      </c>
      <c r="G16" s="856">
        <f>IF(F16&gt;0.2,"🟢 Tăng tỷ trọng",IF(F16&gt;0.1,"🔵 Giữ",IF(F16&gt;0,"🟡 Giảm","🔴 Bán hết")))</f>
        <v/>
      </c>
      <c r="H16" s="986" t="inlineStr">
        <is>
          <t>Rate-sensitive</t>
        </is>
      </c>
    </row>
    <row r="17" ht="27.75" customHeight="1" s="981">
      <c r="A17" s="900" t="inlineStr">
        <is>
          <t>Vàng / Kim loại quý</t>
        </is>
      </c>
      <c r="B17" s="901" t="n">
        <v>0</v>
      </c>
      <c r="C17" s="901" t="n">
        <v>0.05</v>
      </c>
      <c r="D17" s="901" t="n">
        <v>0.3</v>
      </c>
      <c r="E17" s="901" t="n">
        <v>0.1</v>
      </c>
      <c r="F17" s="902">
        <f>IF(LEFT($B$9,3)="🌞 ",B17,IF(LEFT($B$9,3)="🔥 ",C17,IF(LEFT($B$9,3)="⚡ ",D17,E17)))</f>
        <v/>
      </c>
      <c r="G17" s="856">
        <f>IF(F17&gt;0.2,"🟢 Tăng tỷ trọng",IF(F17&gt;0.1,"🔵 Giữ",IF(F17&gt;0,"🟡 Giảm","🔴 Bán hết")))</f>
        <v/>
      </c>
      <c r="H17" s="986" t="inlineStr">
        <is>
          <t>Inflation hedge</t>
        </is>
      </c>
    </row>
    <row r="18" ht="27.75" customHeight="1" s="981">
      <c r="A18" s="900" t="inlineStr">
        <is>
          <t>Trái phiếu chính phủ</t>
        </is>
      </c>
      <c r="B18" s="901" t="n">
        <v>0.05</v>
      </c>
      <c r="C18" s="901" t="n">
        <v>0.05</v>
      </c>
      <c r="D18" s="901" t="n">
        <v>0.15</v>
      </c>
      <c r="E18" s="901" t="n">
        <v>0.3</v>
      </c>
      <c r="F18" s="902">
        <f>IF(LEFT($B$9,3)="🌞 ",B18,IF(LEFT($B$9,3)="🔥 ",C18,IF(LEFT($B$9,3)="⚡ ",D18,E18)))</f>
        <v/>
      </c>
      <c r="G18" s="856">
        <f>IF(F18&gt;0.2,"🟢 Tăng tỷ trọng",IF(F18&gt;0.1,"🔵 Giữ",IF(F18&gt;0,"🟡 Giảm","🔴 Bán hết")))</f>
        <v/>
      </c>
      <c r="H18" s="986" t="inlineStr">
        <is>
          <t>Deflation hedge</t>
        </is>
      </c>
    </row>
    <row r="19" ht="27.75" customHeight="1" s="981">
      <c r="A19" s="900" t="inlineStr">
        <is>
          <t>Tiền mặt</t>
        </is>
      </c>
      <c r="B19" s="901" t="n">
        <v>0.05</v>
      </c>
      <c r="C19" s="901" t="n">
        <v>0.05</v>
      </c>
      <c r="D19" s="901" t="n">
        <v>0.1</v>
      </c>
      <c r="E19" s="901" t="n">
        <v>0.05</v>
      </c>
      <c r="F19" s="902">
        <f>IF(LEFT($B$9,3)="🌞 ",B19,IF(LEFT($B$9,3)="🔥 ",C19,IF(LEFT($B$9,3)="⚡ ",D19,E19)))</f>
        <v/>
      </c>
      <c r="G19" s="856">
        <f>IF(F19&gt;0.2,"🟢 Tăng tỷ trọng",IF(F19&gt;0.1,"🔵 Giữ",IF(F19&gt;0,"🟡 Giảm","🔴 Bán hết")))</f>
        <v/>
      </c>
      <c r="H19" s="986" t="inlineStr">
        <is>
          <t>Optionality</t>
        </is>
      </c>
    </row>
    <row r="20" ht="15" customHeight="1" s="981">
      <c r="A20" s="892" t="inlineStr">
        <is>
          <t>🎯 TỔNG KIỂM TRA</t>
        </is>
      </c>
      <c r="B20" s="881">
        <f>SUM(B13:B19)</f>
        <v/>
      </c>
      <c r="C20" s="881">
        <f>SUM(C13:C19)</f>
        <v/>
      </c>
      <c r="D20" s="881">
        <f>SUM(D13:D19)</f>
        <v/>
      </c>
      <c r="E20" s="881">
        <f>SUM(E13:E19)</f>
        <v/>
      </c>
      <c r="F20" s="881">
        <f>SUM(F13:F19)</f>
        <v/>
      </c>
    </row>
  </sheetData>
  <mergeCells count="6">
    <mergeCell ref="A2:L2"/>
    <mergeCell ref="A11:L11"/>
    <mergeCell ref="A1:L1"/>
    <mergeCell ref="A8:L8"/>
    <mergeCell ref="B9:L9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16" customWidth="1" style="981" min="2" max="2"/>
    <col width="10" customWidth="1" style="981" min="3" max="4"/>
    <col width="11" customWidth="1" style="981" min="5" max="6"/>
    <col width="14" customWidth="1" style="981" min="7" max="10"/>
    <col width="22" customWidth="1" style="981" min="11" max="11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📊 BRINSON-FACHLER PERFORMANCE ATTRIBUTION — Bóc tách Alpha: Allocation · Selection · Interaction</t>
        </is>
      </c>
    </row>
    <row r="3" ht="15" customHeight="1" s="981">
      <c r="A3" s="986" t="inlineStr">
        <is>
          <t>💎 Bạn giỏi nhìn vĩ mô hay giỏi soi doanh nghiệp? Mô hình này trả lời bằng toán học.</t>
        </is>
      </c>
    </row>
    <row r="5" ht="21.75" customHeight="1" s="981">
      <c r="A5" s="1224" t="inlineStr">
        <is>
          <t>📊 PHÂN BỔ THEO NGÀNH — Danh mục bạn vs Benchmark (VN-Index)</t>
        </is>
      </c>
    </row>
    <row r="6" ht="31.5" customHeight="1" s="981">
      <c r="A6" s="847" t="inlineStr">
        <is>
          <t>STT</t>
        </is>
      </c>
      <c r="B6" s="847" t="inlineStr">
        <is>
          <t>Ngành</t>
        </is>
      </c>
      <c r="C6" s="847" t="inlineStr">
        <is>
          <t>Wp
(DM bạn)</t>
        </is>
      </c>
      <c r="D6" s="847" t="inlineStr">
        <is>
          <t>Wb
(Benchmark)</t>
        </is>
      </c>
      <c r="E6" s="847" t="inlineStr">
        <is>
          <t>Rp
(Return DM)</t>
        </is>
      </c>
      <c r="F6" s="847" t="inlineStr">
        <is>
          <t>Rb
(Return BM)</t>
        </is>
      </c>
      <c r="G6" s="847" t="inlineStr">
        <is>
          <t>Allocation Effect
(Wp-Wb)×(Rb-R̄b)</t>
        </is>
      </c>
      <c r="H6" s="847" t="inlineStr">
        <is>
          <t>Selection Effect
Wb×(Rp-Rb)</t>
        </is>
      </c>
      <c r="I6" s="847" t="inlineStr">
        <is>
          <t>Interaction
(Wp-Wb)×(Rp-Rb)</t>
        </is>
      </c>
      <c r="J6" s="847" t="inlineStr">
        <is>
          <t>TỔNG Active
Return</t>
        </is>
      </c>
      <c r="K6" s="847" t="inlineStr">
        <is>
          <t>Phân tích</t>
        </is>
      </c>
    </row>
    <row r="7" ht="15" customHeight="1" s="981">
      <c r="A7" s="898" t="n">
        <v>1</v>
      </c>
      <c r="B7" s="848" t="inlineStr">
        <is>
          <t>Công nghệ</t>
        </is>
      </c>
      <c r="C7" s="852" t="n">
        <v>0.18</v>
      </c>
      <c r="D7" s="852" t="n">
        <v>0.05</v>
      </c>
      <c r="E7" s="852" t="n">
        <v>0.28</v>
      </c>
      <c r="F7" s="852" t="n">
        <v>0.2</v>
      </c>
      <c r="G7" s="865">
        <f>(C7-D7)*(F7-SUMPRODUCT($D$7:$D$15,$F$7:$F$15))</f>
        <v/>
      </c>
      <c r="H7" s="865">
        <f>D7*(E7-F7)</f>
        <v/>
      </c>
      <c r="I7" s="865">
        <f>(C7-D7)*(E7-F7)</f>
        <v/>
      </c>
      <c r="J7" s="893">
        <f>G7+H7+I7</f>
        <v/>
      </c>
      <c r="K7" s="856">
        <f>IF(G7&gt;0.005,"📊 Chọn ngành đúng",IF(H7&gt;0.005,"🎯 Chọn cổ phiếu giỏi",IF(J7&lt;0,"⚠️ Lỗ","🟡 Trung tính")))</f>
        <v/>
      </c>
    </row>
    <row r="8" ht="15" customHeight="1" s="981">
      <c r="A8" s="898" t="n">
        <v>2</v>
      </c>
      <c r="B8" s="848" t="inlineStr">
        <is>
          <t>Ngân hàng</t>
        </is>
      </c>
      <c r="C8" s="852" t="n">
        <v>0.2</v>
      </c>
      <c r="D8" s="852" t="n">
        <v>0.3</v>
      </c>
      <c r="E8" s="852" t="n">
        <v>0.12</v>
      </c>
      <c r="F8" s="852" t="n">
        <v>0.1</v>
      </c>
      <c r="G8" s="865">
        <f>(C8-D8)*(F8-SUMPRODUCT($D$7:$D$15,$F$7:$F$15))</f>
        <v/>
      </c>
      <c r="H8" s="865">
        <f>D8*(E8-F8)</f>
        <v/>
      </c>
      <c r="I8" s="865">
        <f>(C8-D8)*(E8-F8)</f>
        <v/>
      </c>
      <c r="J8" s="893">
        <f>G8+H8+I8</f>
        <v/>
      </c>
      <c r="K8" s="856">
        <f>IF(G8&gt;0.005,"📊 Chọn ngành đúng",IF(H8&gt;0.005,"🎯 Chọn cổ phiếu giỏi",IF(J8&lt;0,"⚠️ Lỗ","🟡 Trung tính")))</f>
        <v/>
      </c>
    </row>
    <row r="9" ht="15" customHeight="1" s="981">
      <c r="A9" s="898" t="n">
        <v>3</v>
      </c>
      <c r="B9" s="848" t="inlineStr">
        <is>
          <t>Bán lẻ</t>
        </is>
      </c>
      <c r="C9" s="852" t="n">
        <v>0.1</v>
      </c>
      <c r="D9" s="852" t="n">
        <v>0.04</v>
      </c>
      <c r="E9" s="852" t="n">
        <v>0.1</v>
      </c>
      <c r="F9" s="852" t="n">
        <v>0.06</v>
      </c>
      <c r="G9" s="865">
        <f>(C9-D9)*(F9-SUMPRODUCT($D$7:$D$15,$F$7:$F$15))</f>
        <v/>
      </c>
      <c r="H9" s="865">
        <f>D9*(E9-F9)</f>
        <v/>
      </c>
      <c r="I9" s="865">
        <f>(C9-D9)*(E9-F9)</f>
        <v/>
      </c>
      <c r="J9" s="893">
        <f>G9+H9+I9</f>
        <v/>
      </c>
      <c r="K9" s="856">
        <f>IF(G9&gt;0.005,"📊 Chọn ngành đúng",IF(H9&gt;0.005,"🎯 Chọn cổ phiếu giỏi",IF(J9&lt;0,"⚠️ Lỗ","🟡 Trung tính")))</f>
        <v/>
      </c>
    </row>
    <row r="10" ht="15" customHeight="1" s="981">
      <c r="A10" s="898" t="n">
        <v>4</v>
      </c>
      <c r="B10" s="848" t="inlineStr">
        <is>
          <t>Hạ tầng</t>
        </is>
      </c>
      <c r="C10" s="852" t="n">
        <v>0.1</v>
      </c>
      <c r="D10" s="852" t="n">
        <v>0.03</v>
      </c>
      <c r="E10" s="852" t="n">
        <v>0.18</v>
      </c>
      <c r="F10" s="852" t="n">
        <v>0.08</v>
      </c>
      <c r="G10" s="865">
        <f>(C10-D10)*(F10-SUMPRODUCT($D$7:$D$15,$F$7:$F$15))</f>
        <v/>
      </c>
      <c r="H10" s="865">
        <f>D10*(E10-F10)</f>
        <v/>
      </c>
      <c r="I10" s="865">
        <f>(C10-D10)*(E10-F10)</f>
        <v/>
      </c>
      <c r="J10" s="893">
        <f>G10+H10+I10</f>
        <v/>
      </c>
      <c r="K10" s="856">
        <f>IF(G10&gt;0.005,"📊 Chọn ngành đúng",IF(H10&gt;0.005,"🎯 Chọn cổ phiếu giỏi",IF(J10&lt;0,"⚠️ Lỗ","🟡 Trung tính")))</f>
        <v/>
      </c>
    </row>
    <row r="11" ht="15" customHeight="1" s="981">
      <c r="A11" s="898" t="n">
        <v>5</v>
      </c>
      <c r="B11" s="848" t="inlineStr">
        <is>
          <t>Thép</t>
        </is>
      </c>
      <c r="C11" s="852" t="n">
        <v>0.08</v>
      </c>
      <c r="D11" s="852" t="n">
        <v>0.05</v>
      </c>
      <c r="E11" s="852" t="n">
        <v>-0.08</v>
      </c>
      <c r="F11" s="852" t="n">
        <v>-0.05</v>
      </c>
      <c r="G11" s="865">
        <f>(C11-D11)*(F11-SUMPRODUCT($D$7:$D$15,$F$7:$F$15))</f>
        <v/>
      </c>
      <c r="H11" s="865">
        <f>D11*(E11-F11)</f>
        <v/>
      </c>
      <c r="I11" s="865">
        <f>(C11-D11)*(E11-F11)</f>
        <v/>
      </c>
      <c r="J11" s="893">
        <f>G11+H11+I11</f>
        <v/>
      </c>
      <c r="K11" s="856">
        <f>IF(G11&gt;0.005,"📊 Chọn ngành đúng",IF(H11&gt;0.005,"🎯 Chọn cổ phiếu giỏi",IF(J11&lt;0,"⚠️ Lỗ","🟡 Trung tính")))</f>
        <v/>
      </c>
    </row>
    <row r="12" ht="15" customHeight="1" s="981">
      <c r="A12" s="898" t="n">
        <v>6</v>
      </c>
      <c r="B12" s="848" t="inlineStr">
        <is>
          <t>Tiêu dùng</t>
        </is>
      </c>
      <c r="C12" s="852" t="n">
        <v>0.1</v>
      </c>
      <c r="D12" s="852" t="n">
        <v>0.08</v>
      </c>
      <c r="E12" s="852" t="n">
        <v>0.05</v>
      </c>
      <c r="F12" s="852" t="n">
        <v>0.03</v>
      </c>
      <c r="G12" s="865">
        <f>(C12-D12)*(F12-SUMPRODUCT($D$7:$D$15,$F$7:$F$15))</f>
        <v/>
      </c>
      <c r="H12" s="865">
        <f>D12*(E12-F12)</f>
        <v/>
      </c>
      <c r="I12" s="865">
        <f>(C12-D12)*(E12-F12)</f>
        <v/>
      </c>
      <c r="J12" s="893">
        <f>G12+H12+I12</f>
        <v/>
      </c>
      <c r="K12" s="856">
        <f>IF(G12&gt;0.005,"📊 Chọn ngành đúng",IF(H12&gt;0.005,"🎯 Chọn cổ phiếu giỏi",IF(J12&lt;0,"⚠️ Lỗ","🟡 Trung tính")))</f>
        <v/>
      </c>
    </row>
    <row r="13" ht="15" customHeight="1" s="981">
      <c r="A13" s="898" t="n">
        <v>7</v>
      </c>
      <c r="B13" s="848" t="inlineStr">
        <is>
          <t>Chứng khoán</t>
        </is>
      </c>
      <c r="C13" s="852" t="n">
        <v>0.04</v>
      </c>
      <c r="D13" s="852" t="n">
        <v>0.04</v>
      </c>
      <c r="E13" s="852" t="n">
        <v>0.35</v>
      </c>
      <c r="F13" s="852" t="n">
        <v>0.25</v>
      </c>
      <c r="G13" s="865">
        <f>(C13-D13)*(F13-SUMPRODUCT($D$7:$D$15,$F$7:$F$15))</f>
        <v/>
      </c>
      <c r="H13" s="865">
        <f>D13*(E13-F13)</f>
        <v/>
      </c>
      <c r="I13" s="865">
        <f>(C13-D13)*(E13-F13)</f>
        <v/>
      </c>
      <c r="J13" s="893">
        <f>G13+H13+I13</f>
        <v/>
      </c>
      <c r="K13" s="856">
        <f>IF(G13&gt;0.005,"📊 Chọn ngành đúng",IF(H13&gt;0.005,"🎯 Chọn cổ phiếu giỏi",IF(J13&lt;0,"⚠️ Lỗ","🟡 Trung tính")))</f>
        <v/>
      </c>
    </row>
    <row r="14" ht="15" customHeight="1" s="981">
      <c r="A14" s="898" t="n">
        <v>8</v>
      </c>
      <c r="B14" s="848" t="inlineStr">
        <is>
          <t>BĐS</t>
        </is>
      </c>
      <c r="C14" s="852" t="n">
        <v>0</v>
      </c>
      <c r="D14" s="852" t="n">
        <v>0.2</v>
      </c>
      <c r="E14" s="852" t="n">
        <v>0</v>
      </c>
      <c r="F14" s="852" t="n">
        <v>-0.1</v>
      </c>
      <c r="G14" s="865">
        <f>(C14-D14)*(F14-SUMPRODUCT($D$7:$D$15,$F$7:$F$15))</f>
        <v/>
      </c>
      <c r="H14" s="865">
        <f>D14*(E14-F14)</f>
        <v/>
      </c>
      <c r="I14" s="865">
        <f>(C14-D14)*(E14-F14)</f>
        <v/>
      </c>
      <c r="J14" s="893">
        <f>G14+H14+I14</f>
        <v/>
      </c>
      <c r="K14" s="856">
        <f>IF(G14&gt;0.005,"📊 Chọn ngành đúng",IF(H14&gt;0.005,"🎯 Chọn cổ phiếu giỏi",IF(J14&lt;0,"⚠️ Lỗ","🟡 Trung tính")))</f>
        <v/>
      </c>
    </row>
    <row r="15" ht="15" customHeight="1" s="981">
      <c r="A15" s="898" t="n">
        <v>9</v>
      </c>
      <c r="B15" s="848" t="inlineStr">
        <is>
          <t>Tiền mặt + khác</t>
        </is>
      </c>
      <c r="C15" s="852" t="n">
        <v>0.2</v>
      </c>
      <c r="D15" s="852" t="n">
        <v>0.21</v>
      </c>
      <c r="E15" s="852" t="n">
        <v>0.04</v>
      </c>
      <c r="F15" s="852" t="n">
        <v>0.04</v>
      </c>
      <c r="G15" s="865">
        <f>(C15-D15)*(F15-SUMPRODUCT($D$7:$D$15,$F$7:$F$15))</f>
        <v/>
      </c>
      <c r="H15" s="865">
        <f>D15*(E15-F15)</f>
        <v/>
      </c>
      <c r="I15" s="865">
        <f>(C15-D15)*(E15-F15)</f>
        <v/>
      </c>
      <c r="J15" s="893">
        <f>G15+H15+I15</f>
        <v/>
      </c>
      <c r="K15" s="856">
        <f>IF(G15&gt;0.005,"📊 Chọn ngành đúng",IF(H15&gt;0.005,"🎯 Chọn cổ phiếu giỏi",IF(J15&lt;0,"⚠️ Lỗ","🟡 Trung tính")))</f>
        <v/>
      </c>
    </row>
    <row r="16" ht="15" customHeight="1" s="981">
      <c r="B16" s="892" t="inlineStr">
        <is>
          <t>🏆 TỔNG ALPHA</t>
        </is>
      </c>
      <c r="C16" s="855">
        <f>SUM(C7:C15)</f>
        <v/>
      </c>
      <c r="D16" s="855">
        <f>SUM(D7:D15)</f>
        <v/>
      </c>
      <c r="E16" s="855">
        <f>SUMPRODUCT(C7:C15,E7:E15)</f>
        <v/>
      </c>
      <c r="F16" s="855">
        <f>SUMPRODUCT(D7:D15,F7:F15)</f>
        <v/>
      </c>
      <c r="G16" s="893">
        <f>SUM(G7:G15)</f>
        <v/>
      </c>
      <c r="H16" s="893">
        <f>SUM(H7:H15)</f>
        <v/>
      </c>
      <c r="I16" s="893">
        <f>SUM(I7:I15)</f>
        <v/>
      </c>
      <c r="J16" s="893">
        <f>SUM(J7:J15)</f>
        <v/>
      </c>
    </row>
    <row r="18" ht="21.75" customHeight="1" s="981">
      <c r="A18" s="1224" t="inlineStr">
        <is>
          <t>🎯 KẾT LUẬN NĂNG LỰC</t>
        </is>
      </c>
    </row>
    <row r="19" ht="15" customHeight="1" s="981">
      <c r="A19" s="872" t="inlineStr">
        <is>
          <t>Allocation Score (vĩ mô):</t>
        </is>
      </c>
      <c r="C19" s="192">
        <f>G16</f>
        <v/>
      </c>
      <c r="D19" s="856">
        <f>IF(G16&gt;0.01,"🟢 Giỏi vĩ mô",IF(G16&gt;0,"🟡 Khá","🔴 Yếu"))</f>
        <v/>
      </c>
    </row>
    <row r="20" ht="15" customHeight="1" s="981">
      <c r="A20" s="872" t="inlineStr">
        <is>
          <t>Selection Score (stock-picking):</t>
        </is>
      </c>
      <c r="C20" s="192">
        <f>H16</f>
        <v/>
      </c>
      <c r="D20" s="856">
        <f>IF(H16&gt;0.01,"🟢 Giỏi soi DN",IF(H16&gt;0,"🟡 Khá","🔴 Yếu"))</f>
        <v/>
      </c>
    </row>
    <row r="21" ht="15" customHeight="1" s="981">
      <c r="A21" s="872" t="inlineStr">
        <is>
          <t>Style cốt lõi của bạn:</t>
        </is>
      </c>
      <c r="C21" s="903">
        <f>IF(G16&gt;H16,"📊 MACRO-DRIVEN (Bridgewater style)","🎯 STOCK-PICKER (Berkshire style)")</f>
        <v/>
      </c>
    </row>
  </sheetData>
  <mergeCells count="5">
    <mergeCell ref="A18:K18"/>
    <mergeCell ref="A3:K3"/>
    <mergeCell ref="A2:K2"/>
    <mergeCell ref="A1:K1"/>
    <mergeCell ref="A5:K5"/>
  </mergeCells>
  <pageMargins left="0.75" right="0.75" top="1" bottom="1" header="0.511811023622047" footer="0.511811023622047"/>
  <pageSetup orientation="portrait" paperSize="9" horizontalDpi="300" verticalDpi="300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"/>
  <sheetViews>
    <sheetView zoomScaleNormal="100" workbookViewId="0">
      <selection activeCell="A1" sqref="A1"/>
    </sheetView>
  </sheetViews>
  <sheetFormatPr baseColWidth="8" defaultColWidth="8.6640625" defaultRowHeight="14.4"/>
  <cols>
    <col width="32" customWidth="1" style="981" min="1" max="1"/>
    <col width="28" customWidth="1" style="981" min="2" max="2"/>
    <col width="16" customWidth="1" style="981" min="3" max="3"/>
    <col width="13" customWidth="1" style="981" min="4" max="4"/>
    <col width="16" customWidth="1" style="981" min="5" max="5"/>
    <col width="30" customWidth="1" style="981" min="6" max="6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📐 FAMA-FRENCH 5-FACTOR MODEL — Bóc tách 5 nhân tố sinh lời (MKT · SMB · HML · RMW · CMA)</t>
        </is>
      </c>
    </row>
    <row r="3" ht="15" customHeight="1" s="981">
      <c r="A3" s="986" t="inlineStr">
        <is>
          <t>💎 Alpha bạn là kỹ năng hay ăn may? LINEST hồi quy đa biến sẽ trả lời.</t>
        </is>
      </c>
    </row>
    <row r="5" ht="21.75" customHeight="1" s="981">
      <c r="A5" s="1224" t="inlineStr">
        <is>
          <t>⚙️ INPUTS — Premium 5 nhân tố ở VN (chỉnh được theo nghiên cứu thị trường)</t>
        </is>
      </c>
    </row>
    <row r="6" ht="31.5" customHeight="1" s="981">
      <c r="A6" s="847" t="inlineStr">
        <is>
          <t>Code</t>
        </is>
      </c>
      <c r="B6" s="847" t="inlineStr">
        <is>
          <t>Nhân tố</t>
        </is>
      </c>
      <c r="C6" s="847" t="inlineStr">
        <is>
          <t>Premium (đầu vào)</t>
        </is>
      </c>
      <c r="D6" s="847" t="inlineStr">
        <is>
          <t>Beta loading
(điều chỉnh)</t>
        </is>
      </c>
      <c r="E6" s="847" t="inlineStr">
        <is>
          <t>Đóng góp Return</t>
        </is>
      </c>
      <c r="F6" s="847" t="inlineStr">
        <is>
          <t>Ý nghĩa</t>
        </is>
      </c>
    </row>
    <row r="7" ht="15" customHeight="1" s="981">
      <c r="A7" s="848" t="inlineStr">
        <is>
          <t>Rf</t>
        </is>
      </c>
      <c r="B7" t="inlineStr">
        <is>
          <t>Risk-Free Rate</t>
        </is>
      </c>
      <c r="C7" s="864" t="n">
        <v>0.0425</v>
      </c>
      <c r="D7" s="904" t="n">
        <v>1</v>
      </c>
      <c r="E7" s="865">
        <f>C7*D7</f>
        <v/>
      </c>
      <c r="F7" s="986" t="inlineStr">
        <is>
          <t>Lãi suất TPCP 10Y</t>
        </is>
      </c>
    </row>
    <row r="8" ht="15" customHeight="1" s="981">
      <c r="A8" s="848" t="inlineStr">
        <is>
          <t>MKT</t>
        </is>
      </c>
      <c r="B8" t="inlineStr">
        <is>
          <t>Market Premium</t>
        </is>
      </c>
      <c r="C8" s="864" t="n">
        <v>0.08</v>
      </c>
      <c r="D8" s="904" t="n">
        <v>1.05</v>
      </c>
      <c r="E8" s="865">
        <f>C8*D8</f>
        <v/>
      </c>
      <c r="F8" s="986" t="inlineStr">
        <is>
          <t>VN-Index - Rf</t>
        </is>
      </c>
    </row>
    <row r="9" ht="15" customHeight="1" s="981">
      <c r="A9" s="848" t="inlineStr">
        <is>
          <t>SMB</t>
        </is>
      </c>
      <c r="B9" t="inlineStr">
        <is>
          <t>Small Minus Big</t>
        </is>
      </c>
      <c r="C9" s="864" t="n">
        <v>0.03</v>
      </c>
      <c r="D9" s="904" t="n">
        <v>-0.15</v>
      </c>
      <c r="E9" s="865">
        <f>C9*D9</f>
        <v/>
      </c>
      <c r="F9" s="986" t="inlineStr">
        <is>
          <t>Vốn hóa nhỏ - lớn (size effect)</t>
        </is>
      </c>
    </row>
    <row r="10" ht="15" customHeight="1" s="981">
      <c r="A10" s="848" t="inlineStr">
        <is>
          <t>HML</t>
        </is>
      </c>
      <c r="B10" t="inlineStr">
        <is>
          <t>High Minus Low (Value)</t>
        </is>
      </c>
      <c r="C10" s="864" t="n">
        <v>0.04</v>
      </c>
      <c r="D10" s="904" t="n">
        <v>0.2</v>
      </c>
      <c r="E10" s="865">
        <f>C10*D10</f>
        <v/>
      </c>
      <c r="F10" s="986" t="inlineStr">
        <is>
          <t>P/E thấp - cao (value premium)</t>
        </is>
      </c>
    </row>
    <row r="11" ht="15" customHeight="1" s="981">
      <c r="A11" s="848" t="inlineStr">
        <is>
          <t>RMW</t>
        </is>
      </c>
      <c r="B11" t="inlineStr">
        <is>
          <t>Robust Minus Weak (Quality)</t>
        </is>
      </c>
      <c r="C11" s="864" t="n">
        <v>0.035</v>
      </c>
      <c r="D11" s="904" t="n">
        <v>0.3</v>
      </c>
      <c r="E11" s="865">
        <f>C11*D11</f>
        <v/>
      </c>
      <c r="F11" s="986" t="inlineStr">
        <is>
          <t>ROE cao - thấp (profitability)</t>
        </is>
      </c>
    </row>
    <row r="12" ht="15" customHeight="1" s="981">
      <c r="A12" s="848" t="inlineStr">
        <is>
          <t>CMA</t>
        </is>
      </c>
      <c r="B12" t="inlineStr">
        <is>
          <t>Conservative Minus Aggressive</t>
        </is>
      </c>
      <c r="C12" s="864" t="n">
        <v>0.025</v>
      </c>
      <c r="D12" s="904" t="n">
        <v>0.05</v>
      </c>
      <c r="E12" s="865">
        <f>C12*D12</f>
        <v/>
      </c>
      <c r="F12" s="986" t="inlineStr">
        <is>
          <t>Đầu tư thận trọng - bạo dạn</t>
        </is>
      </c>
    </row>
    <row r="13" ht="15" customHeight="1" s="981">
      <c r="B13" s="892" t="inlineStr">
        <is>
          <t>🏆 EXPECTED RETURN</t>
        </is>
      </c>
      <c r="E13" s="905">
        <f>SUM(E7:E12)</f>
        <v/>
      </c>
    </row>
    <row r="15" ht="21.75" customHeight="1" s="981">
      <c r="A15" s="1224" t="inlineStr">
        <is>
          <t>⭐ ALPHA = Return thực tế - Expected Return</t>
        </is>
      </c>
    </row>
    <row r="16" ht="15" customHeight="1" s="981">
      <c r="A16" s="872" t="inlineStr">
        <is>
          <t>Return thực tế danh mục:</t>
        </is>
      </c>
      <c r="C16" s="852" t="n">
        <v>0.22</v>
      </c>
    </row>
    <row r="17" ht="15" customHeight="1" s="981">
      <c r="A17" s="872" t="inlineStr">
        <is>
          <t>Expected Return (5F model):</t>
        </is>
      </c>
      <c r="C17" s="855">
        <f>E13</f>
        <v/>
      </c>
    </row>
    <row r="18" ht="15" customHeight="1" s="981">
      <c r="A18" s="906" t="inlineStr">
        <is>
          <t>⭐ ALPHA (kỹ năng thật):</t>
        </is>
      </c>
      <c r="C18" s="907">
        <f>C16-C17</f>
        <v/>
      </c>
    </row>
    <row r="19" ht="15" customHeight="1" s="981">
      <c r="A19" s="872" t="inlineStr">
        <is>
          <t>Đánh giá:</t>
        </is>
      </c>
      <c r="C19" s="856">
        <f>IF(C18&gt;0.05,"🟢 KỸ NĂNG VƯỢT TRỘI",IF(C18&gt;0.02,"🔵 Có kỹ năng",IF(C18&gt;0,"🟡 Hơi nhỉnh","🔴 Chỉ là ăn may")))</f>
        <v/>
      </c>
    </row>
    <row r="21" ht="21.75" customHeight="1" s="981">
      <c r="A21" s="1224" t="inlineStr">
        <is>
          <t>💎 PHƯƠNG PHÁP TỰ ĐỘNG HÓA (LINEST trong Excel)</t>
        </is>
      </c>
    </row>
    <row r="22" ht="15" customHeight="1" s="981">
      <c r="A22" s="1228" t="inlineStr">
        <is>
          <t>Để tự động chạy hồi quy 5-factor, thu thập dữ liệu hàng tháng (24+ tháng) cho:</t>
        </is>
      </c>
    </row>
    <row r="23" ht="15" customHeight="1" s="981">
      <c r="A23" s="1228" t="inlineStr">
        <is>
          <t xml:space="preserve">  • Y = Excess Return danh mục (Rp - Rf)</t>
        </is>
      </c>
    </row>
    <row r="24" ht="15" customHeight="1" s="981">
      <c r="A24" s="1228" t="inlineStr">
        <is>
          <t xml:space="preserve">  • X1 = MKT factor (VN-Index - Rf hàng tháng)</t>
        </is>
      </c>
    </row>
    <row r="25" ht="15" customHeight="1" s="981">
      <c r="A25" s="1228" t="inlineStr">
        <is>
          <t xml:space="preserve">  • X2 = SMB (Tham khảo: HNX-Index - VN30)</t>
        </is>
      </c>
    </row>
    <row r="26" ht="15" customHeight="1" s="981">
      <c r="A26" s="1228" t="inlineStr">
        <is>
          <t xml:space="preserve">  • X3 = HML (P/E thấp portfolio - P/E cao portfolio)</t>
        </is>
      </c>
    </row>
    <row r="27" ht="15" customHeight="1" s="981">
      <c r="A27" s="1228" t="inlineStr">
        <is>
          <t xml:space="preserve">  • X4 = RMW (ROE cao - ROE thấp)</t>
        </is>
      </c>
    </row>
    <row r="28" ht="15" customHeight="1" s="981">
      <c r="A28" s="1228" t="inlineStr">
        <is>
          <t xml:space="preserve">  • X5 = CMA (CapEx/Sales thấp - cao)</t>
        </is>
      </c>
    </row>
    <row r="29" ht="15" customHeight="1" s="981">
      <c r="A29" s="1228" t="inlineStr">
        <is>
          <t>Công thức Excel: =LINEST(Y_range, X_range, TRUE, TRUE) → matrix 6 hệ số + α + statistics</t>
        </is>
      </c>
    </row>
    <row r="30" ht="15" customHeight="1" s="981">
      <c r="A30" s="1228" t="inlineStr">
        <is>
          <t>Đọc: hệ số đầu tiên = Alpha. R² &gt; 0.7 = mô hình giải thích tốt.</t>
        </is>
      </c>
    </row>
  </sheetData>
  <mergeCells count="15">
    <mergeCell ref="A22:K22"/>
    <mergeCell ref="A26:K26"/>
    <mergeCell ref="A30:K30"/>
    <mergeCell ref="A21:K21"/>
    <mergeCell ref="A3:K3"/>
    <mergeCell ref="A15:K15"/>
    <mergeCell ref="A29:K29"/>
    <mergeCell ref="A25:K25"/>
    <mergeCell ref="A24:K24"/>
    <mergeCell ref="A2:K2"/>
    <mergeCell ref="A1:K1"/>
    <mergeCell ref="A28:K28"/>
    <mergeCell ref="A5:K5"/>
    <mergeCell ref="A23:K23"/>
    <mergeCell ref="A27:K27"/>
  </mergeCells>
  <pageMargins left="0.75" right="0.75" top="1" bottom="1" header="0.511811023622047" footer="0.511811023622047"/>
  <pageSetup orientation="portrait" paperSize="9" horizontalDpi="300" verticalDpi="300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7" customWidth="1" style="981" min="2" max="2"/>
    <col width="16" customWidth="1" style="981" min="3" max="3"/>
    <col width="10" customWidth="1" style="981" min="4" max="4"/>
    <col width="16" customWidth="1" style="981" min="5" max="6"/>
    <col width="13" customWidth="1" style="981" min="7" max="7"/>
    <col width="11" customWidth="1" style="981" min="8" max="8"/>
    <col width="14" customWidth="1" style="981" min="9" max="11"/>
    <col width="18" customWidth="1" style="981" min="12" max="12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💧 LIQUIDITY COVERAGE RATIO + REDEMPTION SHOCK — Cú sốc rút vốn 30%/tuần</t>
        </is>
      </c>
    </row>
    <row r="3" ht="15" customHeight="1" s="981">
      <c r="A3" s="986" t="inlineStr">
        <is>
          <t>💎 Nếu cổ đông hoảng loạn rút 30% tổng vốn trong 1 tuần, mã nào bán sập sàn?</t>
        </is>
      </c>
    </row>
    <row r="5" ht="21.75" customHeight="1" s="981">
      <c r="A5" s="1224" t="inlineStr">
        <is>
          <t>⚙️ KỊCH BẢN RÚT VỐN</t>
        </is>
      </c>
    </row>
    <row r="6" ht="15" customHeight="1" s="981">
      <c r="A6" s="872" t="inlineStr">
        <is>
          <t>Tổng GT danh mục (đ):</t>
        </is>
      </c>
      <c r="B6" s="851" t="n">
        <v>1000000000</v>
      </c>
      <c r="D6" s="872" t="inlineStr">
        <is>
          <t>% rút trong 1 tuần:</t>
        </is>
      </c>
      <c r="E6" s="852" t="n">
        <v>0.3</v>
      </c>
      <c r="G6" s="872" t="inlineStr">
        <is>
          <t>Số ngày bán (1 tuần = 5):</t>
        </is>
      </c>
      <c r="H6" s="876" t="n">
        <v>5</v>
      </c>
      <c r="J6" s="872" t="inlineStr">
        <is>
          <t>Cần bán (đ):</t>
        </is>
      </c>
      <c r="K6" s="854">
        <f>B6*E6</f>
        <v/>
      </c>
    </row>
    <row r="8" ht="21.75" customHeight="1" s="981">
      <c r="A8" s="1224" t="inlineStr">
        <is>
          <t>💧 BẢNG THANH KHOẢN TỪNG MÃ — Mã nào CỨU danh mục, mã nào ĐÌM sàn</t>
        </is>
      </c>
    </row>
    <row r="9" ht="31.5" customHeight="1" s="981">
      <c r="A9" s="847" t="inlineStr">
        <is>
          <t>STT</t>
        </is>
      </c>
      <c r="B9" s="847" t="inlineStr">
        <is>
          <t>Mã</t>
        </is>
      </c>
      <c r="C9" s="847" t="inlineStr">
        <is>
          <t>Tên</t>
        </is>
      </c>
      <c r="D9" s="847" t="inlineStr">
        <is>
          <t>Tỷ trọng</t>
        </is>
      </c>
      <c r="E9" s="847" t="inlineStr">
        <is>
          <t>GT vị thế (đ)</t>
        </is>
      </c>
      <c r="F9" s="847" t="inlineStr">
        <is>
          <t>ADTV (đ/ngày)</t>
        </is>
      </c>
      <c r="G9" s="847" t="inlineStr">
        <is>
          <t>Tỷ lệ ADTV vị thế</t>
        </is>
      </c>
      <c r="H9" s="847" t="inlineStr">
        <is>
          <t>Số ngày bán hết</t>
        </is>
      </c>
      <c r="I9" s="847" t="inlineStr">
        <is>
          <t>Bán/ngày được</t>
        </is>
      </c>
      <c r="J9" s="847" t="inlineStr">
        <is>
          <t>Fire-Sale Cost</t>
        </is>
      </c>
      <c r="K9" s="847" t="inlineStr">
        <is>
          <t>Net thu về</t>
        </is>
      </c>
      <c r="L9" s="847" t="inlineStr">
        <is>
          <t>Khả năng</t>
        </is>
      </c>
    </row>
    <row r="10" ht="15" customHeight="1" s="981">
      <c r="A10" s="898" t="n">
        <v>1</v>
      </c>
      <c r="B10" s="848" t="inlineStr">
        <is>
          <t>FPT</t>
        </is>
      </c>
      <c r="C10" s="849">
        <f>IFERROR(VLOOKUP(B10,'📈 Cổ Phiếu VN 🔍'!$A:$B,2,0),"")</f>
        <v/>
      </c>
      <c r="D10" s="852" t="n">
        <v>0.18</v>
      </c>
      <c r="E10" s="880">
        <f>$B$6*D10</f>
        <v/>
      </c>
      <c r="F10" s="851" t="n">
        <v>250000000000</v>
      </c>
      <c r="G10" s="855">
        <f>E10/F10</f>
        <v/>
      </c>
      <c r="H10" s="856">
        <f>ROUNDUP(G10/0.2,0)</f>
        <v/>
      </c>
      <c r="I10" s="880">
        <f>F10*0.2</f>
        <v/>
      </c>
      <c r="J10" s="880">
        <f>SQRT(G10)*0.02*0.5*E10</f>
        <v/>
      </c>
      <c r="K10" s="880">
        <f>E10-J10</f>
        <v/>
      </c>
      <c r="L10" s="856">
        <f>IF(H10&lt;=$H$6,"🟢 Bán kịp",IF(H10&lt;=$H$6*2,"🟡 Chậm","🔴 Sập sàn"))</f>
        <v/>
      </c>
    </row>
    <row r="11" ht="15" customHeight="1" s="981">
      <c r="A11" s="898" t="n">
        <v>2</v>
      </c>
      <c r="B11" s="848" t="inlineStr">
        <is>
          <t>MBB</t>
        </is>
      </c>
      <c r="C11" s="849">
        <f>IFERROR(VLOOKUP(B11,'📈 Cổ Phiếu VN 🔍'!$A:$B,2,0),"")</f>
        <v/>
      </c>
      <c r="D11" s="852" t="n">
        <v>0.15</v>
      </c>
      <c r="E11" s="880">
        <f>$B$6*D11</f>
        <v/>
      </c>
      <c r="F11" s="851" t="n">
        <v>350000000000</v>
      </c>
      <c r="G11" s="855">
        <f>E11/F11</f>
        <v/>
      </c>
      <c r="H11" s="856">
        <f>ROUNDUP(G11/0.2,0)</f>
        <v/>
      </c>
      <c r="I11" s="880">
        <f>F11*0.2</f>
        <v/>
      </c>
      <c r="J11" s="880">
        <f>SQRT(G11)*0.02*0.5*E11</f>
        <v/>
      </c>
      <c r="K11" s="880">
        <f>E11-J11</f>
        <v/>
      </c>
      <c r="L11" s="856">
        <f>IF(H11&lt;=$H$6,"🟢 Bán kịp",IF(H11&lt;=$H$6*2,"🟡 Chậm","🔴 Sập sàn"))</f>
        <v/>
      </c>
    </row>
    <row r="12" ht="15" customHeight="1" s="981">
      <c r="A12" s="898" t="n">
        <v>3</v>
      </c>
      <c r="B12" s="848" t="inlineStr">
        <is>
          <t>VCB</t>
        </is>
      </c>
      <c r="C12" s="849">
        <f>IFERROR(VLOOKUP(B12,'📈 Cổ Phiếu VN 🔍'!$A:$B,2,0),"")</f>
        <v/>
      </c>
      <c r="D12" s="852" t="n">
        <v>0.12</v>
      </c>
      <c r="E12" s="880">
        <f>$B$6*D12</f>
        <v/>
      </c>
      <c r="F12" s="851" t="n">
        <v>200000000000</v>
      </c>
      <c r="G12" s="855">
        <f>E12/F12</f>
        <v/>
      </c>
      <c r="H12" s="856">
        <f>ROUNDUP(G12/0.2,0)</f>
        <v/>
      </c>
      <c r="I12" s="880">
        <f>F12*0.2</f>
        <v/>
      </c>
      <c r="J12" s="880">
        <f>SQRT(G12)*0.02*0.5*E12</f>
        <v/>
      </c>
      <c r="K12" s="880">
        <f>E12-J12</f>
        <v/>
      </c>
      <c r="L12" s="856">
        <f>IF(H12&lt;=$H$6,"🟢 Bán kịp",IF(H12&lt;=$H$6*2,"🟡 Chậm","🔴 Sập sàn"))</f>
        <v/>
      </c>
    </row>
    <row r="13" ht="15" customHeight="1" s="981">
      <c r="A13" s="898" t="n">
        <v>4</v>
      </c>
      <c r="B13" s="848" t="inlineStr">
        <is>
          <t>CTR</t>
        </is>
      </c>
      <c r="C13" s="849">
        <f>IFERROR(VLOOKUP(B13,'📈 Cổ Phiếu VN 🔍'!$A:$B,2,0),"")</f>
        <v/>
      </c>
      <c r="D13" s="852" t="n">
        <v>0.15</v>
      </c>
      <c r="E13" s="880">
        <f>$B$6*D13</f>
        <v/>
      </c>
      <c r="F13" s="851" t="n">
        <v>80000000000</v>
      </c>
      <c r="G13" s="855">
        <f>E13/F13</f>
        <v/>
      </c>
      <c r="H13" s="856">
        <f>ROUNDUP(G13/0.2,0)</f>
        <v/>
      </c>
      <c r="I13" s="880">
        <f>F13*0.2</f>
        <v/>
      </c>
      <c r="J13" s="880">
        <f>SQRT(G13)*0.02*0.5*E13</f>
        <v/>
      </c>
      <c r="K13" s="880">
        <f>E13-J13</f>
        <v/>
      </c>
      <c r="L13" s="856">
        <f>IF(H13&lt;=$H$6,"🟢 Bán kịp",IF(H13&lt;=$H$6*2,"🟡 Chậm","🔴 Sập sàn"))</f>
        <v/>
      </c>
    </row>
    <row r="14" ht="15" customHeight="1" s="981">
      <c r="A14" s="898" t="n">
        <v>5</v>
      </c>
      <c r="B14" s="848" t="inlineStr">
        <is>
          <t>MWG</t>
        </is>
      </c>
      <c r="C14" s="849">
        <f>IFERROR(VLOOKUP(B14,'📈 Cổ Phiếu VN 🔍'!$A:$B,2,0),"")</f>
        <v/>
      </c>
      <c r="D14" s="852" t="n">
        <v>0.1</v>
      </c>
      <c r="E14" s="880">
        <f>$B$6*D14</f>
        <v/>
      </c>
      <c r="F14" s="851" t="n">
        <v>180000000000</v>
      </c>
      <c r="G14" s="855">
        <f>E14/F14</f>
        <v/>
      </c>
      <c r="H14" s="856">
        <f>ROUNDUP(G14/0.2,0)</f>
        <v/>
      </c>
      <c r="I14" s="880">
        <f>F14*0.2</f>
        <v/>
      </c>
      <c r="J14" s="880">
        <f>SQRT(G14)*0.02*0.5*E14</f>
        <v/>
      </c>
      <c r="K14" s="880">
        <f>E14-J14</f>
        <v/>
      </c>
      <c r="L14" s="856">
        <f>IF(H14&lt;=$H$6,"🟢 Bán kịp",IF(H14&lt;=$H$6*2,"🟡 Chậm","🔴 Sập sàn"))</f>
        <v/>
      </c>
    </row>
    <row r="15" ht="15" customHeight="1" s="981">
      <c r="A15" s="898" t="n">
        <v>6</v>
      </c>
      <c r="B15" s="848" t="inlineStr">
        <is>
          <t>HPG</t>
        </is>
      </c>
      <c r="C15" s="849">
        <f>IFERROR(VLOOKUP(B15,'📈 Cổ Phiếu VN 🔍'!$A:$B,2,0),"")</f>
        <v/>
      </c>
      <c r="D15" s="852" t="n">
        <v>0.1</v>
      </c>
      <c r="E15" s="880">
        <f>$B$6*D15</f>
        <v/>
      </c>
      <c r="F15" s="851" t="n">
        <v>500000000000</v>
      </c>
      <c r="G15" s="855">
        <f>E15/F15</f>
        <v/>
      </c>
      <c r="H15" s="856">
        <f>ROUNDUP(G15/0.2,0)</f>
        <v/>
      </c>
      <c r="I15" s="880">
        <f>F15*0.2</f>
        <v/>
      </c>
      <c r="J15" s="880">
        <f>SQRT(G15)*0.02*0.5*E15</f>
        <v/>
      </c>
      <c r="K15" s="880">
        <f>E15-J15</f>
        <v/>
      </c>
      <c r="L15" s="856">
        <f>IF(H15&lt;=$H$6,"🟢 Bán kịp",IF(H15&lt;=$H$6*2,"🟡 Chậm","🔴 Sập sàn"))</f>
        <v/>
      </c>
    </row>
    <row r="16" ht="15" customHeight="1" s="981">
      <c r="A16" s="898" t="n">
        <v>7</v>
      </c>
      <c r="B16" s="848" t="inlineStr">
        <is>
          <t>VNM</t>
        </is>
      </c>
      <c r="C16" s="849">
        <f>IFERROR(VLOOKUP(B16,'📈 Cổ Phiếu VN 🔍'!$A:$B,2,0),"")</f>
        <v/>
      </c>
      <c r="D16" s="852" t="n">
        <v>0.1</v>
      </c>
      <c r="E16" s="880">
        <f>$B$6*D16</f>
        <v/>
      </c>
      <c r="F16" s="851" t="n">
        <v>120000000000</v>
      </c>
      <c r="G16" s="855">
        <f>E16/F16</f>
        <v/>
      </c>
      <c r="H16" s="856">
        <f>ROUNDUP(G16/0.2,0)</f>
        <v/>
      </c>
      <c r="I16" s="880">
        <f>F16*0.2</f>
        <v/>
      </c>
      <c r="J16" s="880">
        <f>SQRT(G16)*0.02*0.5*E16</f>
        <v/>
      </c>
      <c r="K16" s="880">
        <f>E16-J16</f>
        <v/>
      </c>
      <c r="L16" s="856">
        <f>IF(H16&lt;=$H$6,"🟢 Bán kịp",IF(H16&lt;=$H$6*2,"🟡 Chậm","🔴 Sập sàn"))</f>
        <v/>
      </c>
    </row>
    <row r="17" ht="15" customHeight="1" s="981">
      <c r="A17" s="898" t="n">
        <v>8</v>
      </c>
      <c r="B17" s="848" t="inlineStr">
        <is>
          <t>VIX</t>
        </is>
      </c>
      <c r="C17" s="849">
        <f>IFERROR(VLOOKUP(B17,'📈 Cổ Phiếu VN 🔍'!$A:$B,2,0),"")</f>
        <v/>
      </c>
      <c r="D17" s="852" t="n">
        <v>0.1</v>
      </c>
      <c r="E17" s="880">
        <f>$B$6*D17</f>
        <v/>
      </c>
      <c r="F17" s="851" t="n">
        <v>600000000000</v>
      </c>
      <c r="G17" s="855">
        <f>E17/F17</f>
        <v/>
      </c>
      <c r="H17" s="856">
        <f>ROUNDUP(G17/0.2,0)</f>
        <v/>
      </c>
      <c r="I17" s="880">
        <f>F17*0.2</f>
        <v/>
      </c>
      <c r="J17" s="880">
        <f>SQRT(G17)*0.02*0.5*E17</f>
        <v/>
      </c>
      <c r="K17" s="880">
        <f>E17-J17</f>
        <v/>
      </c>
      <c r="L17" s="856">
        <f>IF(H17&lt;=$H$6,"🟢 Bán kịp",IF(H17&lt;=$H$6*2,"🟡 Chậm","🔴 Sập sàn"))</f>
        <v/>
      </c>
    </row>
    <row r="19" ht="21.75" customHeight="1" s="981">
      <c r="A19" s="1224" t="inlineStr">
        <is>
          <t>🎯 KẾT LUẬN</t>
        </is>
      </c>
    </row>
    <row r="20" ht="15" customHeight="1" s="981">
      <c r="A20" s="872" t="inlineStr">
        <is>
          <t>Tổng Fire-Sale Cost:</t>
        </is>
      </c>
      <c r="C20" s="908">
        <f>SUM(J10:J17)</f>
        <v/>
      </c>
      <c r="E20" s="872" t="inlineStr">
        <is>
          <t>% so danh mục:</t>
        </is>
      </c>
      <c r="F20" s="865">
        <f>C20/B6</f>
        <v/>
      </c>
      <c r="H20" s="872" t="inlineStr">
        <is>
          <t>Hành động:</t>
        </is>
      </c>
      <c r="I20" s="856">
        <f>IF(F20&lt;0.01,"🟢 An toàn",IF(F20&lt;0.03,"🟡 Cần đệm tiền mặt","🔴 Nguy hiểm — giảm vị thế kém TK"))</f>
        <v/>
      </c>
    </row>
  </sheetData>
  <mergeCells count="6">
    <mergeCell ref="A2:L2"/>
    <mergeCell ref="A19:L19"/>
    <mergeCell ref="A1:L1"/>
    <mergeCell ref="A5:L5"/>
    <mergeCell ref="A8:L8"/>
    <mergeCell ref="A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7" customWidth="1" style="981" min="2" max="2"/>
    <col width="16" customWidth="1" style="981" min="3" max="3"/>
    <col width="10" customWidth="1" style="981" min="4" max="4"/>
    <col width="11" customWidth="1" style="981" min="5" max="9"/>
    <col width="14" customWidth="1" style="981" min="10" max="11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📉 ATR TRAILING STOP — Cắt lỗ động theo Average True Range (Chandelier Exit)</t>
        </is>
      </c>
    </row>
    <row r="3" ht="15" customHeight="1" s="981">
      <c r="A3" s="986" t="inlineStr">
        <is>
          <t>💎 Stop loss = Giá đỉnh - (3 × ATR). Co giãn theo bản tính từng mã. Cờ đỏ BCTC quá chậm, % cố định quá cứng.</t>
        </is>
      </c>
    </row>
    <row r="5" ht="21.75" customHeight="1" s="981">
      <c r="A5" s="1224" t="inlineStr">
        <is>
          <t>⚙️ THAM SỐ</t>
        </is>
      </c>
    </row>
    <row r="6" ht="15" customHeight="1" s="981">
      <c r="A6" s="872" t="inlineStr">
        <is>
          <t>Hệ số ATR (Chandelier multiplier):</t>
        </is>
      </c>
      <c r="D6" s="876" t="n">
        <v>3</v>
      </c>
      <c r="F6" s="872" t="inlineStr">
        <is>
          <t>Period ATR (ngày):</t>
        </is>
      </c>
      <c r="H6" s="876" t="n">
        <v>14</v>
      </c>
    </row>
    <row r="8" ht="21.75" customHeight="1" s="981">
      <c r="A8" s="1224" t="inlineStr">
        <is>
          <t>📊 BẢNG ATR + GIÁ CẮT LỖ TỪNG MÃ</t>
        </is>
      </c>
    </row>
    <row r="9" ht="31.5" customHeight="1" s="981">
      <c r="A9" s="847" t="inlineStr">
        <is>
          <t>STT</t>
        </is>
      </c>
      <c r="B9" s="847" t="inlineStr">
        <is>
          <t>Mã</t>
        </is>
      </c>
      <c r="C9" s="847" t="inlineStr">
        <is>
          <t>Tên</t>
        </is>
      </c>
      <c r="D9" s="847" t="inlineStr">
        <is>
          <t>Giá HT</t>
        </is>
      </c>
      <c r="E9" s="847" t="inlineStr">
        <is>
          <t>Đỉnh 22 ngày
(ước)</t>
        </is>
      </c>
      <c r="F9" s="847" t="inlineStr">
        <is>
          <t>ATR(14)
ước tính (₫)</t>
        </is>
      </c>
      <c r="G9" s="847" t="inlineStr">
        <is>
          <t>ATR / Giá
(volatility)</t>
        </is>
      </c>
      <c r="H9" s="847" t="inlineStr">
        <is>
          <t>STOP LOSS
(Chandelier)</t>
        </is>
      </c>
      <c r="I9" s="847" t="inlineStr">
        <is>
          <t>% Cách stop</t>
        </is>
      </c>
      <c r="J9" s="847" t="inlineStr">
        <is>
          <t>Lệnh</t>
        </is>
      </c>
      <c r="K9" s="847" t="inlineStr">
        <is>
          <t>Trạng thái</t>
        </is>
      </c>
    </row>
    <row r="10" ht="15" customHeight="1" s="981">
      <c r="A10" s="898" t="n">
        <v>1</v>
      </c>
      <c r="B10" s="848" t="inlineStr">
        <is>
          <t>FPT</t>
        </is>
      </c>
      <c r="C10" s="849">
        <f>IFERROR(VLOOKUP(B10,'📈 Cổ Phiếu VN 🔍'!$A:$B,2,0),"")</f>
        <v/>
      </c>
      <c r="D10" s="850">
        <f>IFERROR(VLOOKUP(B10,'📈 Cổ Phiếu VN 🔍'!$A:$D,4,0),0)</f>
        <v/>
      </c>
      <c r="E10" s="880">
        <f>D10*1.08</f>
        <v/>
      </c>
      <c r="F10" s="880">
        <f>D10*0.025</f>
        <v/>
      </c>
      <c r="G10" s="865">
        <f>F10/D10</f>
        <v/>
      </c>
      <c r="H10" s="854">
        <f>E10-$D$6*F10</f>
        <v/>
      </c>
      <c r="I10" s="855">
        <f>(D10-H10)/D10</f>
        <v/>
      </c>
      <c r="J10" s="856">
        <f>IF(D10&lt;H10,"🔴 BÁN NGAY",IF(I10&lt;0.05,"🟡 CẢNH BÁO","🟢 GIỮ"))</f>
        <v/>
      </c>
      <c r="K10" s="856">
        <f>IF(I10&lt;0.03,"🚨 SÁT STOP",IF(I10&lt;0.08,"⚠️ Theo dõi","✅ An toàn"))</f>
        <v/>
      </c>
    </row>
    <row r="11" ht="15" customHeight="1" s="981">
      <c r="A11" s="898" t="n">
        <v>2</v>
      </c>
      <c r="B11" s="848" t="inlineStr">
        <is>
          <t>MBB</t>
        </is>
      </c>
      <c r="C11" s="849">
        <f>IFERROR(VLOOKUP(B11,'📈 Cổ Phiếu VN 🔍'!$A:$B,2,0),"")</f>
        <v/>
      </c>
      <c r="D11" s="850">
        <f>IFERROR(VLOOKUP(B11,'📈 Cổ Phiếu VN 🔍'!$A:$D,4,0),0)</f>
        <v/>
      </c>
      <c r="E11" s="880">
        <f>D11*1.05</f>
        <v/>
      </c>
      <c r="F11" s="880">
        <f>D11*0.03</f>
        <v/>
      </c>
      <c r="G11" s="865">
        <f>F11/D11</f>
        <v/>
      </c>
      <c r="H11" s="854">
        <f>E11-$D$6*F11</f>
        <v/>
      </c>
      <c r="I11" s="855">
        <f>(D11-H11)/D11</f>
        <v/>
      </c>
      <c r="J11" s="856">
        <f>IF(D11&lt;H11,"🔴 BÁN NGAY",IF(I11&lt;0.05,"🟡 CẢNH BÁO","🟢 GIỮ"))</f>
        <v/>
      </c>
      <c r="K11" s="856">
        <f>IF(I11&lt;0.03,"🚨 SÁT STOP",IF(I11&lt;0.08,"⚠️ Theo dõi","✅ An toàn"))</f>
        <v/>
      </c>
    </row>
    <row r="12" ht="15" customHeight="1" s="981">
      <c r="A12" s="898" t="n">
        <v>3</v>
      </c>
      <c r="B12" s="848" t="inlineStr">
        <is>
          <t>VCB</t>
        </is>
      </c>
      <c r="C12" s="849">
        <f>IFERROR(VLOOKUP(B12,'📈 Cổ Phiếu VN 🔍'!$A:$B,2,0),"")</f>
        <v/>
      </c>
      <c r="D12" s="850">
        <f>IFERROR(VLOOKUP(B12,'📈 Cổ Phiếu VN 🔍'!$A:$D,4,0),0)</f>
        <v/>
      </c>
      <c r="E12" s="880">
        <f>D12*1.03</f>
        <v/>
      </c>
      <c r="F12" s="880">
        <f>D12*0.02</f>
        <v/>
      </c>
      <c r="G12" s="865">
        <f>F12/D12</f>
        <v/>
      </c>
      <c r="H12" s="854">
        <f>E12-$D$6*F12</f>
        <v/>
      </c>
      <c r="I12" s="855">
        <f>(D12-H12)/D12</f>
        <v/>
      </c>
      <c r="J12" s="856">
        <f>IF(D12&lt;H12,"🔴 BÁN NGAY",IF(I12&lt;0.05,"🟡 CẢNH BÁO","🟢 GIỮ"))</f>
        <v/>
      </c>
      <c r="K12" s="856">
        <f>IF(I12&lt;0.03,"🚨 SÁT STOP",IF(I12&lt;0.08,"⚠️ Theo dõi","✅ An toàn"))</f>
        <v/>
      </c>
    </row>
    <row r="13" ht="15" customHeight="1" s="981">
      <c r="A13" s="898" t="n">
        <v>4</v>
      </c>
      <c r="B13" s="848" t="inlineStr">
        <is>
          <t>CTR</t>
        </is>
      </c>
      <c r="C13" s="849">
        <f>IFERROR(VLOOKUP(B13,'📈 Cổ Phiếu VN 🔍'!$A:$B,2,0),"")</f>
        <v/>
      </c>
      <c r="D13" s="850">
        <f>IFERROR(VLOOKUP(B13,'📈 Cổ Phiếu VN 🔍'!$A:$D,4,0),0)</f>
        <v/>
      </c>
      <c r="E13" s="880">
        <f>D13*1.1</f>
        <v/>
      </c>
      <c r="F13" s="880">
        <f>D13*0.035</f>
        <v/>
      </c>
      <c r="G13" s="865">
        <f>F13/D13</f>
        <v/>
      </c>
      <c r="H13" s="854">
        <f>E13-$D$6*F13</f>
        <v/>
      </c>
      <c r="I13" s="855">
        <f>(D13-H13)/D13</f>
        <v/>
      </c>
      <c r="J13" s="856">
        <f>IF(D13&lt;H13,"🔴 BÁN NGAY",IF(I13&lt;0.05,"🟡 CẢNH BÁO","🟢 GIỮ"))</f>
        <v/>
      </c>
      <c r="K13" s="856">
        <f>IF(I13&lt;0.03,"🚨 SÁT STOP",IF(I13&lt;0.08,"⚠️ Theo dõi","✅ An toàn"))</f>
        <v/>
      </c>
    </row>
    <row r="14" ht="15" customHeight="1" s="981">
      <c r="A14" s="898" t="n">
        <v>5</v>
      </c>
      <c r="B14" s="848" t="inlineStr">
        <is>
          <t>MWG</t>
        </is>
      </c>
      <c r="C14" s="849">
        <f>IFERROR(VLOOKUP(B14,'📈 Cổ Phiếu VN 🔍'!$A:$B,2,0),"")</f>
        <v/>
      </c>
      <c r="D14" s="850">
        <f>IFERROR(VLOOKUP(B14,'📈 Cổ Phiếu VN 🔍'!$A:$D,4,0),0)</f>
        <v/>
      </c>
      <c r="E14" s="880">
        <f>D14*1.12</f>
        <v/>
      </c>
      <c r="F14" s="880">
        <f>D14*0.04</f>
        <v/>
      </c>
      <c r="G14" s="865">
        <f>F14/D14</f>
        <v/>
      </c>
      <c r="H14" s="854">
        <f>E14-$D$6*F14</f>
        <v/>
      </c>
      <c r="I14" s="855">
        <f>(D14-H14)/D14</f>
        <v/>
      </c>
      <c r="J14" s="856">
        <f>IF(D14&lt;H14,"🔴 BÁN NGAY",IF(I14&lt;0.05,"🟡 CẢNH BÁO","🟢 GIỮ"))</f>
        <v/>
      </c>
      <c r="K14" s="856">
        <f>IF(I14&lt;0.03,"🚨 SÁT STOP",IF(I14&lt;0.08,"⚠️ Theo dõi","✅ An toàn"))</f>
        <v/>
      </c>
    </row>
    <row r="15" ht="15" customHeight="1" s="981">
      <c r="A15" s="898" t="n">
        <v>6</v>
      </c>
      <c r="B15" s="848" t="inlineStr">
        <is>
          <t>HPG</t>
        </is>
      </c>
      <c r="C15" s="849">
        <f>IFERROR(VLOOKUP(B15,'📈 Cổ Phiếu VN 🔍'!$A:$B,2,0),"")</f>
        <v/>
      </c>
      <c r="D15" s="850">
        <f>IFERROR(VLOOKUP(B15,'📈 Cổ Phiếu VN 🔍'!$A:$D,4,0),0)</f>
        <v/>
      </c>
      <c r="E15" s="880">
        <f>D15*1.06</f>
        <v/>
      </c>
      <c r="F15" s="880">
        <f>D15*0.04</f>
        <v/>
      </c>
      <c r="G15" s="865">
        <f>F15/D15</f>
        <v/>
      </c>
      <c r="H15" s="854">
        <f>E15-$D$6*F15</f>
        <v/>
      </c>
      <c r="I15" s="855">
        <f>(D15-H15)/D15</f>
        <v/>
      </c>
      <c r="J15" s="856">
        <f>IF(D15&lt;H15,"🔴 BÁN NGAY",IF(I15&lt;0.05,"🟡 CẢNH BÁO","🟢 GIỮ"))</f>
        <v/>
      </c>
      <c r="K15" s="856">
        <f>IF(I15&lt;0.03,"🚨 SÁT STOP",IF(I15&lt;0.08,"⚠️ Theo dõi","✅ An toàn"))</f>
        <v/>
      </c>
    </row>
    <row r="16" ht="15" customHeight="1" s="981">
      <c r="A16" s="898" t="n">
        <v>7</v>
      </c>
      <c r="B16" s="848" t="inlineStr">
        <is>
          <t>VNM</t>
        </is>
      </c>
      <c r="C16" s="849">
        <f>IFERROR(VLOOKUP(B16,'📈 Cổ Phiếu VN 🔍'!$A:$B,2,0),"")</f>
        <v/>
      </c>
      <c r="D16" s="850">
        <f>IFERROR(VLOOKUP(B16,'📈 Cổ Phiếu VN 🔍'!$A:$D,4,0),0)</f>
        <v/>
      </c>
      <c r="E16" s="880">
        <f>D16*1.04</f>
        <v/>
      </c>
      <c r="F16" s="880">
        <f>D16*0.018</f>
        <v/>
      </c>
      <c r="G16" s="865">
        <f>F16/D16</f>
        <v/>
      </c>
      <c r="H16" s="854">
        <f>E16-$D$6*F16</f>
        <v/>
      </c>
      <c r="I16" s="855">
        <f>(D16-H16)/D16</f>
        <v/>
      </c>
      <c r="J16" s="856">
        <f>IF(D16&lt;H16,"🔴 BÁN NGAY",IF(I16&lt;0.05,"🟡 CẢNH BÁO","🟢 GIỮ"))</f>
        <v/>
      </c>
      <c r="K16" s="856">
        <f>IF(I16&lt;0.03,"🚨 SÁT STOP",IF(I16&lt;0.08,"⚠️ Theo dõi","✅ An toàn"))</f>
        <v/>
      </c>
    </row>
    <row r="17" ht="15" customHeight="1" s="981">
      <c r="A17" s="898" t="n">
        <v>8</v>
      </c>
      <c r="B17" s="848" t="inlineStr">
        <is>
          <t>VIX</t>
        </is>
      </c>
      <c r="C17" s="849">
        <f>IFERROR(VLOOKUP(B17,'📈 Cổ Phiếu VN 🔍'!$A:$B,2,0),"")</f>
        <v/>
      </c>
      <c r="D17" s="850">
        <f>IFERROR(VLOOKUP(B17,'📈 Cổ Phiếu VN 🔍'!$A:$D,4,0),0)</f>
        <v/>
      </c>
      <c r="E17" s="880">
        <f>D17*1.15</f>
        <v/>
      </c>
      <c r="F17" s="880">
        <f>D17*0.055</f>
        <v/>
      </c>
      <c r="G17" s="865">
        <f>F17/D17</f>
        <v/>
      </c>
      <c r="H17" s="854">
        <f>E17-$D$6*F17</f>
        <v/>
      </c>
      <c r="I17" s="855">
        <f>(D17-H17)/D17</f>
        <v/>
      </c>
      <c r="J17" s="856">
        <f>IF(D17&lt;H17,"🔴 BÁN NGAY",IF(I17&lt;0.05,"🟡 CẢNH BÁO","🟢 GIỮ"))</f>
        <v/>
      </c>
      <c r="K17" s="856">
        <f>IF(I17&lt;0.03,"🚨 SÁT STOP",IF(I17&lt;0.08,"⚠️ Theo dõi","✅ An toàn"))</f>
        <v/>
      </c>
    </row>
  </sheetData>
  <mergeCells count="5">
    <mergeCell ref="A3:K3"/>
    <mergeCell ref="A2:K2"/>
    <mergeCell ref="A1:K1"/>
    <mergeCell ref="A5:K5"/>
    <mergeCell ref="A8:K8"/>
  </mergeCells>
  <pageMargins left="0.75" right="0.75" top="1" bottom="1" header="0.511811023622047" footer="0.511811023622047"/>
  <pageSetup orientation="portrait" paperSize="9" horizontalDpi="300" verticalDpi="300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7" customWidth="1" style="981" min="2" max="2"/>
    <col width="16" customWidth="1" style="981" min="3" max="3"/>
    <col width="11" customWidth="1" style="981" min="4" max="5"/>
    <col width="9" customWidth="1" style="981" min="6" max="6"/>
    <col width="13" customWidth="1" style="981" min="7" max="8"/>
    <col width="14" customWidth="1" style="981" min="9" max="9"/>
    <col width="11" customWidth="1" style="981" min="10" max="10"/>
    <col width="20" customWidth="1" style="981" min="11" max="11"/>
    <col width="11" customWidth="1" style="981" min="12" max="12"/>
  </cols>
  <sheetData>
    <row r="1" ht="25.5" customHeight="1" s="981">
      <c r="A1" s="1226" t="inlineStr">
        <is>
          <t>🐺 SÓI CÔ ĐỘC DANH ĐẠT — Lone Wolf Institutional Edition v42</t>
        </is>
      </c>
    </row>
    <row r="2" ht="30" customHeight="1" s="981">
      <c r="A2" s="1225" t="inlineStr">
        <is>
          <t>💸 TAX-LOSS HARVESTING — Thu hoạch lỗ cuối năm để cấn trừ thuế</t>
        </is>
      </c>
    </row>
    <row r="3" ht="15" customHeight="1" s="981">
      <c r="A3" s="986" t="inlineStr">
        <is>
          <t>💎 Cuối tháng 12, bán lỗ → cấn trừ lãi → mua lại sau 30 ngày hoặc mã tương đương cùng ngành.</t>
        </is>
      </c>
    </row>
    <row r="5" ht="21.75" customHeight="1" s="981">
      <c r="A5" s="1224" t="inlineStr">
        <is>
          <t>⚙️ THAM SỐ THUẾ</t>
        </is>
      </c>
    </row>
    <row r="6" ht="15" customHeight="1" s="981">
      <c r="A6" s="872" t="inlineStr">
        <is>
          <t>Thuế bán CK VN:</t>
        </is>
      </c>
      <c r="C6" s="909" t="n">
        <v>0.001</v>
      </c>
      <c r="E6" s="872" t="inlineStr">
        <is>
          <t>Thuế cổ tức:</t>
        </is>
      </c>
      <c r="G6" s="852" t="n">
        <v>0.05</v>
      </c>
      <c r="I6" s="872" t="inlineStr">
        <is>
          <t>Lãi thực tế đã chốt năm (đ):</t>
        </is>
      </c>
      <c r="K6" s="851" t="n">
        <v>200000000</v>
      </c>
    </row>
    <row r="8" ht="21.75" customHeight="1" s="981">
      <c r="A8" s="1224" t="inlineStr">
        <is>
          <t>📊 BẢNG VỊ THẾ — Xác định mã đang LỖ để thu hoạch</t>
        </is>
      </c>
    </row>
    <row r="9" ht="31.5" customHeight="1" s="981">
      <c r="A9" s="847" t="inlineStr">
        <is>
          <t>STT</t>
        </is>
      </c>
      <c r="B9" s="847" t="inlineStr">
        <is>
          <t>Mã</t>
        </is>
      </c>
      <c r="C9" s="847" t="inlineStr">
        <is>
          <t>Tên</t>
        </is>
      </c>
      <c r="D9" s="847" t="inlineStr">
        <is>
          <t>Giá vốn TB</t>
        </is>
      </c>
      <c r="E9" s="847" t="inlineStr">
        <is>
          <t>Giá HT</t>
        </is>
      </c>
      <c r="F9" s="847" t="inlineStr">
        <is>
          <t>Số lượng</t>
        </is>
      </c>
      <c r="G9" s="847" t="inlineStr">
        <is>
          <t>GT vốn</t>
        </is>
      </c>
      <c r="H9" s="847" t="inlineStr">
        <is>
          <t>GT HT</t>
        </is>
      </c>
      <c r="I9" s="847" t="inlineStr">
        <is>
          <t>Lãi/Lỗ (đ)</t>
        </is>
      </c>
      <c r="J9" s="847" t="inlineStr">
        <is>
          <t>% Lãi/Lỗ</t>
        </is>
      </c>
      <c r="K9" s="847" t="inlineStr">
        <is>
          <t>Hành động</t>
        </is>
      </c>
      <c r="L9" s="847" t="inlineStr">
        <is>
          <t>Mã thay thế</t>
        </is>
      </c>
    </row>
    <row r="10" ht="15" customHeight="1" s="981">
      <c r="A10" s="898" t="n">
        <v>1</v>
      </c>
      <c r="B10" s="848" t="inlineStr">
        <is>
          <t>FPT</t>
        </is>
      </c>
      <c r="C10" s="849">
        <f>IFERROR(VLOOKUP(B10,'📈 Cổ Phiếu VN 🔍'!$A:$B,2,0),"")</f>
        <v/>
      </c>
      <c r="D10" s="851" t="n">
        <v>65000</v>
      </c>
      <c r="E10" s="850">
        <f>IFERROR(VLOOKUP(B10,'📈 Cổ Phiếu VN 🔍'!$A:$D,4,0),0)</f>
        <v/>
      </c>
      <c r="F10" s="851" t="n">
        <v>1000</v>
      </c>
      <c r="G10" s="880">
        <f>D10*F10</f>
        <v/>
      </c>
      <c r="H10" s="880">
        <f>E10*F10</f>
        <v/>
      </c>
      <c r="I10" s="889">
        <f>H10-G10</f>
        <v/>
      </c>
      <c r="J10" s="855">
        <f>IFERROR(I10/G10,0)</f>
        <v/>
      </c>
      <c r="K10" s="856">
        <f>IF(J10&lt;-0.1,"💸 BÁN LỖ — Harvest",IF(J10&lt;0,"🟡 Đợi cuối Q4","🟢 Giữ vì đang lãi"))</f>
        <v/>
      </c>
      <c r="L10" s="986" t="inlineStr">
        <is>
          <t>CMG</t>
        </is>
      </c>
    </row>
    <row r="11" ht="15" customHeight="1" s="981">
      <c r="A11" s="898" t="n">
        <v>2</v>
      </c>
      <c r="B11" s="848" t="inlineStr">
        <is>
          <t>MBB</t>
        </is>
      </c>
      <c r="C11" s="849">
        <f>IFERROR(VLOOKUP(B11,'📈 Cổ Phiếu VN 🔍'!$A:$B,2,0),"")</f>
        <v/>
      </c>
      <c r="D11" s="851" t="n">
        <v>28000</v>
      </c>
      <c r="E11" s="850">
        <f>IFERROR(VLOOKUP(B11,'📈 Cổ Phiếu VN 🔍'!$A:$D,4,0),0)</f>
        <v/>
      </c>
      <c r="F11" s="851" t="n">
        <v>2000</v>
      </c>
      <c r="G11" s="880">
        <f>D11*F11</f>
        <v/>
      </c>
      <c r="H11" s="880">
        <f>E11*F11</f>
        <v/>
      </c>
      <c r="I11" s="889">
        <f>H11-G11</f>
        <v/>
      </c>
      <c r="J11" s="855">
        <f>IFERROR(I11/G11,0)</f>
        <v/>
      </c>
      <c r="K11" s="856">
        <f>IF(J11&lt;-0.1,"💸 BÁN LỖ — Harvest",IF(J11&lt;0,"🟡 Đợi cuối Q4","🟢 Giữ vì đang lãi"))</f>
        <v/>
      </c>
      <c r="L11" s="986" t="inlineStr">
        <is>
          <t>ACB</t>
        </is>
      </c>
    </row>
    <row r="12" ht="15" customHeight="1" s="981">
      <c r="A12" s="898" t="n">
        <v>3</v>
      </c>
      <c r="B12" s="848" t="inlineStr">
        <is>
          <t>VCB</t>
        </is>
      </c>
      <c r="C12" s="849">
        <f>IFERROR(VLOOKUP(B12,'📈 Cổ Phiếu VN 🔍'!$A:$B,2,0),"")</f>
        <v/>
      </c>
      <c r="D12" s="851" t="n">
        <v>65000</v>
      </c>
      <c r="E12" s="850">
        <f>IFERROR(VLOOKUP(B12,'📈 Cổ Phiếu VN 🔍'!$A:$D,4,0),0)</f>
        <v/>
      </c>
      <c r="F12" s="851" t="n">
        <v>500</v>
      </c>
      <c r="G12" s="880">
        <f>D12*F12</f>
        <v/>
      </c>
      <c r="H12" s="880">
        <f>E12*F12</f>
        <v/>
      </c>
      <c r="I12" s="889">
        <f>H12-G12</f>
        <v/>
      </c>
      <c r="J12" s="855">
        <f>IFERROR(I12/G12,0)</f>
        <v/>
      </c>
      <c r="K12" s="856">
        <f>IF(J12&lt;-0.1,"💸 BÁN LỖ — Harvest",IF(J12&lt;0,"🟡 Đợi cuối Q4","🟢 Giữ vì đang lãi"))</f>
        <v/>
      </c>
      <c r="L12" s="986" t="inlineStr">
        <is>
          <t>BID</t>
        </is>
      </c>
    </row>
    <row r="13" ht="15" customHeight="1" s="981">
      <c r="A13" s="898" t="n">
        <v>4</v>
      </c>
      <c r="B13" s="848" t="inlineStr">
        <is>
          <t>CTR</t>
        </is>
      </c>
      <c r="C13" s="849">
        <f>IFERROR(VLOOKUP(B13,'📈 Cổ Phiếu VN 🔍'!$A:$B,2,0),"")</f>
        <v/>
      </c>
      <c r="D13" s="851" t="n">
        <v>75000</v>
      </c>
      <c r="E13" s="850">
        <f>IFERROR(VLOOKUP(B13,'📈 Cổ Phiếu VN 🔍'!$A:$D,4,0),0)</f>
        <v/>
      </c>
      <c r="F13" s="851" t="n">
        <v>500</v>
      </c>
      <c r="G13" s="880">
        <f>D13*F13</f>
        <v/>
      </c>
      <c r="H13" s="880">
        <f>E13*F13</f>
        <v/>
      </c>
      <c r="I13" s="889">
        <f>H13-G13</f>
        <v/>
      </c>
      <c r="J13" s="855">
        <f>IFERROR(I13/G13,0)</f>
        <v/>
      </c>
      <c r="K13" s="856">
        <f>IF(J13&lt;-0.1,"💸 BÁN LỖ — Harvest",IF(J13&lt;0,"🟡 Đợi cuối Q4","🟢 Giữ vì đang lãi"))</f>
        <v/>
      </c>
      <c r="L13" s="986" t="inlineStr">
        <is>
          <t>VGI</t>
        </is>
      </c>
    </row>
    <row r="14" ht="15" customHeight="1" s="981">
      <c r="A14" s="898" t="n">
        <v>5</v>
      </c>
      <c r="B14" s="848" t="inlineStr">
        <is>
          <t>MWG</t>
        </is>
      </c>
      <c r="C14" s="849">
        <f>IFERROR(VLOOKUP(B14,'📈 Cổ Phiếu VN 🔍'!$A:$B,2,0),"")</f>
        <v/>
      </c>
      <c r="D14" s="851" t="n">
        <v>90000</v>
      </c>
      <c r="E14" s="850">
        <f>IFERROR(VLOOKUP(B14,'📈 Cổ Phiếu VN 🔍'!$A:$D,4,0),0)</f>
        <v/>
      </c>
      <c r="F14" s="851" t="n">
        <v>300</v>
      </c>
      <c r="G14" s="880">
        <f>D14*F14</f>
        <v/>
      </c>
      <c r="H14" s="880">
        <f>E14*F14</f>
        <v/>
      </c>
      <c r="I14" s="889">
        <f>H14-G14</f>
        <v/>
      </c>
      <c r="J14" s="855">
        <f>IFERROR(I14/G14,0)</f>
        <v/>
      </c>
      <c r="K14" s="856">
        <f>IF(J14&lt;-0.1,"💸 BÁN LỖ — Harvest",IF(J14&lt;0,"🟡 Đợi cuối Q4","🟢 Giữ vì đang lãi"))</f>
        <v/>
      </c>
      <c r="L14" s="986" t="inlineStr">
        <is>
          <t>FRT</t>
        </is>
      </c>
    </row>
    <row r="15" ht="15" customHeight="1" s="981">
      <c r="A15" s="898" t="n">
        <v>6</v>
      </c>
      <c r="B15" s="848" t="inlineStr">
        <is>
          <t>HPG</t>
        </is>
      </c>
      <c r="C15" s="849">
        <f>IFERROR(VLOOKUP(B15,'📈 Cổ Phiếu VN 🔍'!$A:$B,2,0),"")</f>
        <v/>
      </c>
      <c r="D15" s="851" t="n">
        <v>30000</v>
      </c>
      <c r="E15" s="850">
        <f>IFERROR(VLOOKUP(B15,'📈 Cổ Phiếu VN 🔍'!$A:$D,4,0),0)</f>
        <v/>
      </c>
      <c r="F15" s="851" t="n">
        <v>1500</v>
      </c>
      <c r="G15" s="880">
        <f>D15*F15</f>
        <v/>
      </c>
      <c r="H15" s="880">
        <f>E15*F15</f>
        <v/>
      </c>
      <c r="I15" s="889">
        <f>H15-G15</f>
        <v/>
      </c>
      <c r="J15" s="855">
        <f>IFERROR(I15/G15,0)</f>
        <v/>
      </c>
      <c r="K15" s="856">
        <f>IF(J15&lt;-0.1,"💸 BÁN LỖ — Harvest",IF(J15&lt;0,"🟡 Đợi cuối Q4","🟢 Giữ vì đang lãi"))</f>
        <v/>
      </c>
      <c r="L15" s="986" t="inlineStr">
        <is>
          <t>HSG</t>
        </is>
      </c>
    </row>
    <row r="16" ht="15" customHeight="1" s="981">
      <c r="A16" s="898" t="n">
        <v>7</v>
      </c>
      <c r="B16" s="848" t="inlineStr">
        <is>
          <t>VNM</t>
        </is>
      </c>
      <c r="C16" s="849">
        <f>IFERROR(VLOOKUP(B16,'📈 Cổ Phiếu VN 🔍'!$A:$B,2,0),"")</f>
        <v/>
      </c>
      <c r="D16" s="851" t="n">
        <v>58000</v>
      </c>
      <c r="E16" s="850">
        <f>IFERROR(VLOOKUP(B16,'📈 Cổ Phiếu VN 🔍'!$A:$D,4,0),0)</f>
        <v/>
      </c>
      <c r="F16" s="851" t="n">
        <v>500</v>
      </c>
      <c r="G16" s="880">
        <f>D16*F16</f>
        <v/>
      </c>
      <c r="H16" s="880">
        <f>E16*F16</f>
        <v/>
      </c>
      <c r="I16" s="889">
        <f>H16-G16</f>
        <v/>
      </c>
      <c r="J16" s="855">
        <f>IFERROR(I16/G16,0)</f>
        <v/>
      </c>
      <c r="K16" s="856">
        <f>IF(J16&lt;-0.1,"💸 BÁN LỖ — Harvest",IF(J16&lt;0,"🟡 Đợi cuối Q4","🟢 Giữ vì đang lãi"))</f>
        <v/>
      </c>
      <c r="L16" s="986" t="inlineStr">
        <is>
          <t>SAB</t>
        </is>
      </c>
    </row>
    <row r="17" ht="15" customHeight="1" s="981">
      <c r="A17" s="898" t="n">
        <v>8</v>
      </c>
      <c r="B17" s="848" t="inlineStr">
        <is>
          <t>VIX</t>
        </is>
      </c>
      <c r="C17" s="849">
        <f>IFERROR(VLOOKUP(B17,'📈 Cổ Phiếu VN 🔍'!$A:$B,2,0),"")</f>
        <v/>
      </c>
      <c r="D17" s="851" t="n">
        <v>22000</v>
      </c>
      <c r="E17" s="850">
        <f>IFERROR(VLOOKUP(B17,'📈 Cổ Phiếu VN 🔍'!$A:$D,4,0),0)</f>
        <v/>
      </c>
      <c r="F17" s="851" t="n">
        <v>1000</v>
      </c>
      <c r="G17" s="880">
        <f>D17*F17</f>
        <v/>
      </c>
      <c r="H17" s="880">
        <f>E17*F17</f>
        <v/>
      </c>
      <c r="I17" s="889">
        <f>H17-G17</f>
        <v/>
      </c>
      <c r="J17" s="855">
        <f>IFERROR(I17/G17,0)</f>
        <v/>
      </c>
      <c r="K17" s="856">
        <f>IF(J17&lt;-0.1,"💸 BÁN LỖ — Harvest",IF(J17&lt;0,"🟡 Đợi cuối Q4","🟢 Giữ vì đang lãi"))</f>
        <v/>
      </c>
      <c r="L17" s="986" t="inlineStr">
        <is>
          <t>SSI</t>
        </is>
      </c>
    </row>
    <row r="19" ht="21.75" customHeight="1" s="981">
      <c r="A19" s="1224" t="inlineStr">
        <is>
          <t>🎯 TỔNG KẾT THUẾ</t>
        </is>
      </c>
    </row>
    <row r="20" ht="15" customHeight="1" s="981">
      <c r="A20" s="872" t="inlineStr">
        <is>
          <t>Tổng lỗ có thể harvest:</t>
        </is>
      </c>
      <c r="C20" s="910">
        <f>SUMIF(I10:I17,"&lt;0")</f>
        <v/>
      </c>
      <c r="E20" s="872" t="inlineStr">
        <is>
          <t>Tiết kiệm thuế (~5%):</t>
        </is>
      </c>
      <c r="G20" s="854">
        <f>ABS(C20)*0.05</f>
        <v/>
      </c>
      <c r="I20" s="872" t="inlineStr">
        <is>
          <t>Lãi sau harvest:</t>
        </is>
      </c>
      <c r="K20" s="880">
        <f>K6+C20</f>
        <v/>
      </c>
    </row>
  </sheetData>
  <mergeCells count="6">
    <mergeCell ref="A2:L2"/>
    <mergeCell ref="A19:L19"/>
    <mergeCell ref="A1:L1"/>
    <mergeCell ref="A5:L5"/>
    <mergeCell ref="A8:L8"/>
    <mergeCell ref="A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zoomScaleNormal="100" workbookViewId="0">
      <selection activeCell="A1" sqref="A1"/>
    </sheetView>
  </sheetViews>
  <sheetFormatPr baseColWidth="8" defaultColWidth="8.6640625" defaultRowHeight="14.4"/>
  <cols>
    <col width="12" customWidth="1" style="981" min="1" max="1"/>
    <col width="22" customWidth="1" style="981" min="2" max="2"/>
    <col width="14" customWidth="1" style="981" min="3" max="3"/>
    <col width="12" customWidth="1" style="981" min="4" max="4"/>
    <col width="10" customWidth="1" style="981" min="5" max="7"/>
    <col width="16" customWidth="1" style="981" min="8" max="9"/>
    <col width="14" customWidth="1" style="981" min="10" max="10"/>
  </cols>
  <sheetData>
    <row r="1" ht="31.5" customHeight="1" s="981">
      <c r="A1" s="998" t="inlineStr">
        <is>
          <t>💰 CRYPTO &amp; BITCOIN — DATABASE TOP 20 COINS</t>
        </is>
      </c>
    </row>
    <row r="2" ht="21.75" customHeight="1" s="981">
      <c r="A2" s="1231" t="inlineStr">
        <is>
          <t>Cap nhat: 19:46 28/05/2026 | Nguon: yfinance</t>
        </is>
      </c>
    </row>
    <row r="3" ht="14.25" customHeight="1" s="981">
      <c r="A3" s="1230" t="inlineStr">
        <is>
          <t>⚠️ Snapshot 21/05/2026 — chạy CHAY_v45.bat để cập nhật live</t>
        </is>
      </c>
    </row>
    <row r="4" ht="27.75" customHeight="1" s="981">
      <c r="A4" s="911" t="inlineStr">
        <is>
          <t>Mã</t>
        </is>
      </c>
      <c r="B4" s="911" t="inlineStr">
        <is>
          <t>Tên Coin</t>
        </is>
      </c>
      <c r="C4" s="911" t="inlineStr">
        <is>
          <t>Giá (USD)</t>
        </is>
      </c>
      <c r="D4" s="911" t="inlineStr">
        <is>
          <t>24h Δ ($)</t>
        </is>
      </c>
      <c r="E4" s="911" t="inlineStr">
        <is>
          <t>% 24h</t>
        </is>
      </c>
      <c r="F4" s="911" t="inlineStr">
        <is>
          <t>% 7D</t>
        </is>
      </c>
      <c r="G4" s="911" t="inlineStr">
        <is>
          <t>% 30D</t>
        </is>
      </c>
      <c r="H4" s="911" t="inlineStr">
        <is>
          <t>Market Cap ($B)</t>
        </is>
      </c>
      <c r="I4" s="911" t="inlineStr">
        <is>
          <t>Volume 24h ($M)</t>
        </is>
      </c>
      <c r="J4" s="911" t="inlineStr">
        <is>
          <t>Tín hiệu</t>
        </is>
      </c>
      <c r="K4" s="506" t="inlineStr">
        <is>
          <t>🔗 Match C4</t>
        </is>
      </c>
    </row>
    <row r="5" ht="14.25" customHeight="1" s="981">
      <c r="A5" s="982" t="inlineStr">
        <is>
          <t>BTC-USD</t>
        </is>
      </c>
      <c r="B5" s="912" t="inlineStr">
        <is>
          <t>Bitcoin</t>
        </is>
      </c>
      <c r="C5" s="912" t="n">
        <v>73425.64</v>
      </c>
      <c r="D5" s="912" t="n">
        <v>-919.0599999999999</v>
      </c>
      <c r="E5" s="913" t="inlineStr">
        <is>
          <t>-1.24%</t>
        </is>
      </c>
      <c r="F5" s="912" t="inlineStr">
        <is>
          <t>-2.73%</t>
        </is>
      </c>
      <c r="G5" s="912" t="inlineStr">
        <is>
          <t>+0.00</t>
        </is>
      </c>
      <c r="H5" s="912" t="n">
        <v>1470.3</v>
      </c>
      <c r="I5" s="912" t="n">
        <v>42475.3</v>
      </c>
      <c r="J5" s="1233" t="inlineStr">
        <is>
          <t>🟢 MUA</t>
        </is>
      </c>
      <c r="K5" s="1024">
        <f>IF(A5='🎯 SÓI v42 — TRA CỨU &amp; DEEP DIV'!$C$4,"⭐ ĐANG XEM","")</f>
        <v/>
      </c>
    </row>
    <row r="6" ht="14.25" customHeight="1" s="981">
      <c r="A6" s="982" t="inlineStr">
        <is>
          <t>ETH-USD</t>
        </is>
      </c>
      <c r="B6" s="912" t="inlineStr">
        <is>
          <t>Ethereum</t>
        </is>
      </c>
      <c r="C6" s="912" t="n">
        <v>1989.45</v>
      </c>
      <c r="D6" s="912" t="n">
        <v>-32.75</v>
      </c>
      <c r="E6" s="913" t="inlineStr">
        <is>
          <t>-1.62%</t>
        </is>
      </c>
      <c r="F6" s="912" t="inlineStr">
        <is>
          <t>-3.64%</t>
        </is>
      </c>
      <c r="G6" s="912" t="inlineStr">
        <is>
          <t>+0.00</t>
        </is>
      </c>
      <c r="H6" s="912" t="n">
        <v>239.9</v>
      </c>
      <c r="I6" s="912" t="n">
        <v>18499.8</v>
      </c>
      <c r="J6" s="1233" t="inlineStr">
        <is>
          <t>🟢 MUA</t>
        </is>
      </c>
      <c r="K6" s="1024">
        <f>IF(A6='🎯 SÓI v42 — TRA CỨU &amp; DEEP DIV'!$C$4,"⭐ ĐANG XEM","")</f>
        <v/>
      </c>
    </row>
    <row r="7" ht="14.25" customHeight="1" s="981">
      <c r="A7" s="982" t="inlineStr">
        <is>
          <t>BNB-USD</t>
        </is>
      </c>
      <c r="B7" s="912" t="inlineStr">
        <is>
          <t>Binance Coin</t>
        </is>
      </c>
      <c r="C7" s="912" t="n">
        <v>632.15</v>
      </c>
      <c r="D7" s="912" t="n">
        <v>-16.01</v>
      </c>
      <c r="E7" s="913" t="inlineStr">
        <is>
          <t>-2.47%</t>
        </is>
      </c>
      <c r="F7" s="912" t="inlineStr">
        <is>
          <t>-2.67%</t>
        </is>
      </c>
      <c r="G7" s="912" t="inlineStr">
        <is>
          <t>+0.00</t>
        </is>
      </c>
      <c r="H7" s="912" t="n">
        <v>85.2</v>
      </c>
      <c r="I7" s="912" t="n">
        <v>1380.4</v>
      </c>
      <c r="J7" s="915" t="inlineStr">
        <is>
          <t>🟡 GIỮ</t>
        </is>
      </c>
      <c r="K7" s="1024">
        <f>IF(A7='🎯 SÓI v42 — TRA CỨU &amp; DEEP DIV'!$C$4,"⭐ ĐANG XEM","")</f>
        <v/>
      </c>
    </row>
    <row r="8" ht="14.25" customHeight="1" s="981">
      <c r="A8" s="982" t="inlineStr">
        <is>
          <t>SOL-USD</t>
        </is>
      </c>
      <c r="B8" s="912" t="inlineStr">
        <is>
          <t>Solana</t>
        </is>
      </c>
      <c r="C8" s="912" t="n">
        <v>81.11</v>
      </c>
      <c r="D8" s="912" t="n">
        <v>-1.26</v>
      </c>
      <c r="E8" s="913" t="inlineStr">
        <is>
          <t>-1.53%</t>
        </is>
      </c>
      <c r="F8" s="912" t="inlineStr">
        <is>
          <t>-3.79%</t>
        </is>
      </c>
      <c r="G8" s="912" t="inlineStr">
        <is>
          <t>+0.00</t>
        </is>
      </c>
      <c r="H8" s="912" t="n">
        <v>46.8</v>
      </c>
      <c r="I8" s="912" t="n">
        <v>3898.9</v>
      </c>
      <c r="J8" s="1233" t="inlineStr">
        <is>
          <t>🟢 MUA</t>
        </is>
      </c>
      <c r="K8" s="1024">
        <f>IF(A8='🎯 SÓI v42 — TRA CỨU &amp; DEEP DIV'!$C$4,"⭐ ĐANG XEM","")</f>
        <v/>
      </c>
    </row>
    <row r="9" ht="14.25" customHeight="1" s="981">
      <c r="A9" s="982" t="inlineStr">
        <is>
          <t>XRP-USD</t>
        </is>
      </c>
      <c r="B9" s="912" t="inlineStr">
        <is>
          <t>XRP (Ripple)</t>
        </is>
      </c>
      <c r="C9" s="912" t="n">
        <v>1.29</v>
      </c>
      <c r="D9" s="912" t="n">
        <v>-0.02</v>
      </c>
      <c r="E9" s="913" t="inlineStr">
        <is>
          <t>-1.24%</t>
        </is>
      </c>
      <c r="F9" s="912" t="inlineStr">
        <is>
          <t>-3.28%</t>
        </is>
      </c>
      <c r="G9" s="912" t="inlineStr">
        <is>
          <t>+0.00</t>
        </is>
      </c>
      <c r="H9" s="912" t="n">
        <v>79.8</v>
      </c>
      <c r="I9" s="912" t="n">
        <v>2391.9</v>
      </c>
      <c r="J9" s="915" t="inlineStr">
        <is>
          <t>🟡 GIỮ</t>
        </is>
      </c>
      <c r="K9" s="1024">
        <f>IF(A9='🎯 SÓI v42 — TRA CỨU &amp; DEEP DIV'!$C$4,"⭐ ĐANG XEM","")</f>
        <v/>
      </c>
    </row>
    <row r="10" ht="14.25" customHeight="1" s="981">
      <c r="A10" s="982" t="inlineStr">
        <is>
          <t>ADA-USD</t>
        </is>
      </c>
      <c r="B10" s="912" t="inlineStr">
        <is>
          <t>Cardano</t>
        </is>
      </c>
      <c r="C10" s="912" t="n">
        <v>0.23</v>
      </c>
      <c r="D10" s="912" t="n">
        <v>-0.01</v>
      </c>
      <c r="E10" s="913" t="inlineStr">
        <is>
          <t>-2.98%</t>
        </is>
      </c>
      <c r="F10" s="912" t="inlineStr">
        <is>
          <t>-5.12%</t>
        </is>
      </c>
      <c r="G10" s="912" t="inlineStr">
        <is>
          <t>+0.00</t>
        </is>
      </c>
      <c r="H10" s="912" t="n">
        <v>8.4</v>
      </c>
      <c r="I10" s="912" t="n">
        <v>550.4</v>
      </c>
      <c r="J10" s="915" t="inlineStr">
        <is>
          <t>🟡 GIỮ</t>
        </is>
      </c>
      <c r="K10" s="1024">
        <f>IF(A10='🎯 SÓI v42 — TRA CỨU &amp; DEEP DIV'!$C$4,"⭐ ĐANG XEM","")</f>
        <v/>
      </c>
    </row>
    <row r="11" ht="14.25" customHeight="1" s="981">
      <c r="A11" s="982" t="inlineStr">
        <is>
          <t>DOGE-USD</t>
        </is>
      </c>
      <c r="B11" s="912" t="inlineStr">
        <is>
          <t>Dogecoin</t>
        </is>
      </c>
      <c r="C11" s="912" t="n">
        <v>0.1</v>
      </c>
      <c r="D11" s="912" t="n">
        <v>0</v>
      </c>
      <c r="E11" s="913" t="inlineStr">
        <is>
          <t>-0.41%</t>
        </is>
      </c>
      <c r="F11" s="912" t="inlineStr">
        <is>
          <t>-2.21%</t>
        </is>
      </c>
      <c r="G11" s="912" t="inlineStr">
        <is>
          <t>+0.00</t>
        </is>
      </c>
      <c r="H11" s="912" t="n">
        <v>16.6</v>
      </c>
      <c r="I11" s="912" t="n">
        <v>989.3</v>
      </c>
      <c r="J11" s="1233" t="inlineStr">
        <is>
          <t>🟢 MUA</t>
        </is>
      </c>
      <c r="K11" s="1024">
        <f>IF(A11='🎯 SÓI v42 — TRA CỨU &amp; DEEP DIV'!$C$4,"⭐ ĐANG XEM","")</f>
        <v/>
      </c>
    </row>
    <row r="12" ht="14.25" customHeight="1" s="981">
      <c r="A12" s="982" t="inlineStr">
        <is>
          <t>TRX-USD</t>
        </is>
      </c>
      <c r="B12" s="912" t="inlineStr">
        <is>
          <t>TRON</t>
        </is>
      </c>
      <c r="C12" s="912" t="n">
        <v>0.35</v>
      </c>
      <c r="D12" s="912" t="n">
        <v>-0.02</v>
      </c>
      <c r="E12" s="913" t="inlineStr">
        <is>
          <t>-4.83%</t>
        </is>
      </c>
      <c r="F12" s="912" t="inlineStr">
        <is>
          <t>-3.29%</t>
        </is>
      </c>
      <c r="G12" s="912" t="inlineStr">
        <is>
          <t>+0.00</t>
        </is>
      </c>
      <c r="H12" s="912" t="n">
        <v>33.1</v>
      </c>
      <c r="I12" s="912" t="n">
        <v>1287.7</v>
      </c>
      <c r="J12" s="915" t="inlineStr">
        <is>
          <t>🟡 GIỮ</t>
        </is>
      </c>
      <c r="K12" s="1024">
        <f>IF(A12='🎯 SÓI v42 — TRA CỨU &amp; DEEP DIV'!$C$4,"⭐ ĐANG XEM","")</f>
        <v/>
      </c>
    </row>
    <row r="13" ht="14.25" customHeight="1" s="981">
      <c r="A13" s="982" t="inlineStr">
        <is>
          <t>AVAX-USD</t>
        </is>
      </c>
      <c r="B13" s="912" t="inlineStr">
        <is>
          <t>Avalanche</t>
        </is>
      </c>
      <c r="C13" s="912" t="n">
        <v>8.85</v>
      </c>
      <c r="D13" s="912" t="n">
        <v>-0.19</v>
      </c>
      <c r="E13" s="913" t="inlineStr">
        <is>
          <t>-2.08%</t>
        </is>
      </c>
      <c r="F13" s="912" t="inlineStr">
        <is>
          <t>-3.24%</t>
        </is>
      </c>
      <c r="G13" s="912" t="inlineStr">
        <is>
          <t>+0.00</t>
        </is>
      </c>
      <c r="H13" s="912" t="n">
        <v>3.8</v>
      </c>
      <c r="I13" s="912" t="n">
        <v>324</v>
      </c>
      <c r="J13" s="1233" t="inlineStr">
        <is>
          <t>🟢 MUA</t>
        </is>
      </c>
      <c r="K13" s="1024">
        <f>IF(A13='🎯 SÓI v42 — TRA CỨU &amp; DEEP DIV'!$C$4,"⭐ ĐANG XEM","")</f>
        <v/>
      </c>
    </row>
    <row r="14" ht="14.25" customHeight="1" s="981">
      <c r="A14" s="982" t="inlineStr">
        <is>
          <t>LINK-USD</t>
        </is>
      </c>
      <c r="B14" s="912" t="inlineStr">
        <is>
          <t>Chainlink</t>
        </is>
      </c>
      <c r="C14" s="912" t="n">
        <v>8.869999999999999</v>
      </c>
      <c r="D14" s="912" t="n">
        <v>-0.26</v>
      </c>
      <c r="E14" s="913" t="inlineStr">
        <is>
          <t>-2.83%</t>
        </is>
      </c>
      <c r="F14" s="912" t="inlineStr">
        <is>
          <t>-5.79%</t>
        </is>
      </c>
      <c r="G14" s="912" t="inlineStr">
        <is>
          <t>+0.00</t>
        </is>
      </c>
      <c r="H14" s="912" t="n">
        <v>6.4</v>
      </c>
      <c r="I14" s="912" t="n">
        <v>418.6</v>
      </c>
      <c r="J14" s="1233" t="inlineStr">
        <is>
          <t>🟢 MUA</t>
        </is>
      </c>
      <c r="K14" s="1024">
        <f>IF(A14='🎯 SÓI v42 — TRA CỨU &amp; DEEP DIV'!$C$4,"⭐ ĐANG XEM","")</f>
        <v/>
      </c>
    </row>
    <row r="15" ht="14.25" customHeight="1" s="981">
      <c r="A15" s="982" t="inlineStr">
        <is>
          <t>DOT-USD</t>
        </is>
      </c>
      <c r="B15" s="912" t="inlineStr">
        <is>
          <t>Polkadot</t>
        </is>
      </c>
      <c r="C15" s="912" t="n">
        <v>1.2</v>
      </c>
      <c r="D15" s="912" t="n">
        <v>-0.03</v>
      </c>
      <c r="E15" s="913" t="inlineStr">
        <is>
          <t>-2.35%</t>
        </is>
      </c>
      <c r="F15" s="912" t="inlineStr">
        <is>
          <t>-4.56%</t>
        </is>
      </c>
      <c r="G15" s="912" t="inlineStr">
        <is>
          <t>+0.00</t>
        </is>
      </c>
      <c r="H15" s="912" t="n">
        <v>2</v>
      </c>
      <c r="I15" s="912" t="n">
        <v>205.5</v>
      </c>
      <c r="J15" s="915" t="inlineStr">
        <is>
          <t>🟡 GIỮ</t>
        </is>
      </c>
      <c r="K15" s="1024">
        <f>IF(A15='🎯 SÓI v42 — TRA CỨU &amp; DEEP DIV'!$C$4,"⭐ ĐANG XEM","")</f>
        <v/>
      </c>
    </row>
    <row r="16" ht="14.25" customHeight="1" s="981">
      <c r="A16" s="982" t="inlineStr">
        <is>
          <t>MATIC-USD</t>
        </is>
      </c>
      <c r="B16" s="912" t="inlineStr">
        <is>
          <t>Polygon</t>
        </is>
      </c>
      <c r="C16" s="912" t="n"/>
      <c r="D16" s="912" t="n"/>
      <c r="E16" s="913" t="n"/>
      <c r="F16" s="912" t="n"/>
      <c r="G16" s="912" t="n"/>
      <c r="H16" s="912" t="n"/>
      <c r="I16" s="912" t="n"/>
      <c r="J16" s="1233" t="inlineStr">
        <is>
          <t>🟢 MUA</t>
        </is>
      </c>
      <c r="K16" s="1024">
        <f>IF(A16='🎯 SÓI v42 — TRA CỨU &amp; DEEP DIV'!$C$4,"⭐ ĐANG XEM","")</f>
        <v/>
      </c>
    </row>
    <row r="17" ht="14.25" customHeight="1" s="981">
      <c r="A17" s="982" t="inlineStr">
        <is>
          <t>SHIB-USD</t>
        </is>
      </c>
      <c r="B17" s="912" t="inlineStr">
        <is>
          <t>Shiba Inu (Meme)</t>
        </is>
      </c>
      <c r="C17" s="912" t="n">
        <v>0</v>
      </c>
      <c r="D17" s="912" t="n">
        <v>0</v>
      </c>
      <c r="E17" s="913" t="inlineStr">
        <is>
          <t>-100.00%</t>
        </is>
      </c>
      <c r="F17" s="912" t="inlineStr">
        <is>
          <t>-100.00%</t>
        </is>
      </c>
      <c r="G17" s="912" t="inlineStr">
        <is>
          <t>+0.00</t>
        </is>
      </c>
      <c r="H17" s="912" t="n">
        <v>3.1</v>
      </c>
      <c r="I17" s="912" t="n">
        <v>174.2</v>
      </c>
      <c r="J17" s="915" t="inlineStr">
        <is>
          <t>🟡 ĐẦU CƠ</t>
        </is>
      </c>
      <c r="K17" s="1024">
        <f>IF(A17='🎯 SÓI v42 — TRA CỨU &amp; DEEP DIV'!$C$4,"⭐ ĐANG XEM","")</f>
        <v/>
      </c>
    </row>
    <row r="18" ht="14.25" customHeight="1" s="981">
      <c r="A18" s="982" t="inlineStr">
        <is>
          <t>LTC-USD</t>
        </is>
      </c>
      <c r="B18" s="912" t="inlineStr">
        <is>
          <t>Litecoin</t>
        </is>
      </c>
      <c r="C18" s="912" t="n">
        <v>50.81</v>
      </c>
      <c r="D18" s="912" t="n">
        <v>-1.11</v>
      </c>
      <c r="E18" s="913" t="inlineStr">
        <is>
          <t>-2.14%</t>
        </is>
      </c>
      <c r="F18" s="912" t="inlineStr">
        <is>
          <t>-3.44%</t>
        </is>
      </c>
      <c r="G18" s="912" t="inlineStr">
        <is>
          <t>+0.00</t>
        </is>
      </c>
      <c r="H18" s="912" t="n">
        <v>3.9</v>
      </c>
      <c r="I18" s="912" t="n">
        <v>302</v>
      </c>
      <c r="J18" s="915" t="inlineStr">
        <is>
          <t>🟡 GIỮ</t>
        </is>
      </c>
      <c r="K18" s="1024">
        <f>IF(A18='🎯 SÓI v42 — TRA CỨU &amp; DEEP DIV'!$C$4,"⭐ ĐANG XEM","")</f>
        <v/>
      </c>
    </row>
    <row r="19" ht="14.25" customHeight="1" s="981">
      <c r="A19" s="982" t="inlineStr">
        <is>
          <t>BCH-USD</t>
        </is>
      </c>
      <c r="B19" s="912" t="inlineStr">
        <is>
          <t>Bitcoin Cash</t>
        </is>
      </c>
      <c r="C19" s="912" t="n">
        <v>301</v>
      </c>
      <c r="D19" s="912" t="n">
        <v>-32.92</v>
      </c>
      <c r="E19" s="913" t="inlineStr">
        <is>
          <t>-9.86%</t>
        </is>
      </c>
      <c r="F19" s="912" t="inlineStr">
        <is>
          <t>-16.43%</t>
        </is>
      </c>
      <c r="G19" s="912" t="inlineStr">
        <is>
          <t>+0.00</t>
        </is>
      </c>
      <c r="H19" s="912" t="n">
        <v>6</v>
      </c>
      <c r="I19" s="912" t="n">
        <v>352.8</v>
      </c>
      <c r="J19" s="915" t="inlineStr">
        <is>
          <t>🟡 GIỮ</t>
        </is>
      </c>
      <c r="K19" s="1024">
        <f>IF(A19='🎯 SÓI v42 — TRA CỨU &amp; DEEP DIV'!$C$4,"⭐ ĐANG XEM","")</f>
        <v/>
      </c>
    </row>
    <row r="20" ht="14.25" customHeight="1" s="981">
      <c r="A20" s="982" t="inlineStr">
        <is>
          <t>ATOM-USD</t>
        </is>
      </c>
      <c r="B20" s="912" t="inlineStr">
        <is>
          <t>Cosmos</t>
        </is>
      </c>
      <c r="C20" s="912" t="n">
        <v>2.02</v>
      </c>
      <c r="D20" s="912" t="n">
        <v>-0.11</v>
      </c>
      <c r="E20" s="913" t="inlineStr">
        <is>
          <t>-5.09%</t>
        </is>
      </c>
      <c r="F20" s="912" t="inlineStr">
        <is>
          <t>-2.45%</t>
        </is>
      </c>
      <c r="G20" s="912" t="inlineStr">
        <is>
          <t>+0.00</t>
        </is>
      </c>
      <c r="H20" s="912" t="n">
        <v>1</v>
      </c>
      <c r="I20" s="912" t="n">
        <v>54.6</v>
      </c>
      <c r="J20" s="915" t="inlineStr">
        <is>
          <t>🟡 GIỮ</t>
        </is>
      </c>
      <c r="K20" s="1024">
        <f>IF(A20='🎯 SÓI v42 — TRA CỨU &amp; DEEP DIV'!$C$4,"⭐ ĐANG XEM","")</f>
        <v/>
      </c>
    </row>
    <row r="21" ht="14.25" customHeight="1" s="981">
      <c r="A21" s="982" t="inlineStr">
        <is>
          <t>UNI-USD</t>
        </is>
      </c>
      <c r="B21" s="912" t="inlineStr">
        <is>
          <t>Uniswap</t>
        </is>
      </c>
      <c r="C21" s="912" t="n"/>
      <c r="D21" s="912" t="n"/>
      <c r="E21" s="913" t="n"/>
      <c r="F21" s="912" t="n"/>
      <c r="G21" s="912" t="n"/>
      <c r="H21" s="912" t="n"/>
      <c r="I21" s="912" t="n"/>
      <c r="J21" s="1233" t="inlineStr">
        <is>
          <t>🟢 MUA</t>
        </is>
      </c>
      <c r="K21" s="1024">
        <f>IF(A21='🎯 SÓI v42 — TRA CỨU &amp; DEEP DIV'!$C$4,"⭐ ĐANG XEM","")</f>
        <v/>
      </c>
    </row>
    <row r="22" ht="14.25" customHeight="1" s="981">
      <c r="A22" s="982" t="inlineStr">
        <is>
          <t>NEAR-USD</t>
        </is>
      </c>
      <c r="B22" s="912" t="inlineStr">
        <is>
          <t>NEAR Protocol</t>
        </is>
      </c>
      <c r="C22" s="912" t="n">
        <v>2.36</v>
      </c>
      <c r="D22" s="912" t="n">
        <v>-0.13</v>
      </c>
      <c r="E22" s="913" t="inlineStr">
        <is>
          <t>-5.41%</t>
        </is>
      </c>
      <c r="F22" s="912" t="inlineStr">
        <is>
          <t>+12.13%</t>
        </is>
      </c>
      <c r="G22" s="912" t="inlineStr">
        <is>
          <t>+0.00</t>
        </is>
      </c>
      <c r="H22" s="912" t="n">
        <v>3.1</v>
      </c>
      <c r="I22" s="912" t="n">
        <v>798.9</v>
      </c>
      <c r="J22" s="1233" t="inlineStr">
        <is>
          <t>🟢 MUA</t>
        </is>
      </c>
      <c r="K22" s="1024">
        <f>IF(A22='🎯 SÓI v42 — TRA CỨU &amp; DEEP DIV'!$C$4,"⭐ ĐANG XEM","")</f>
        <v/>
      </c>
    </row>
    <row r="23" ht="14.25" customHeight="1" s="981">
      <c r="A23" s="982" t="inlineStr">
        <is>
          <t>APT-USD</t>
        </is>
      </c>
      <c r="B23" s="912" t="inlineStr">
        <is>
          <t>Aptos</t>
        </is>
      </c>
      <c r="C23" s="912" t="n"/>
      <c r="D23" s="912" t="n"/>
      <c r="E23" s="913" t="n"/>
      <c r="F23" s="912" t="n"/>
      <c r="G23" s="912" t="n"/>
      <c r="H23" s="912" t="n"/>
      <c r="I23" s="912" t="n"/>
      <c r="J23" s="1233" t="inlineStr">
        <is>
          <t>🟢 MUA</t>
        </is>
      </c>
      <c r="K23" s="1024">
        <f>IF(A23='🎯 SÓI v42 — TRA CỨU &amp; DEEP DIV'!$C$4,"⭐ ĐANG XEM","")</f>
        <v/>
      </c>
    </row>
    <row r="24" ht="14.25" customHeight="1" s="981">
      <c r="A24" s="982" t="inlineStr">
        <is>
          <t>ARB-USD</t>
        </is>
      </c>
      <c r="B24" s="912" t="inlineStr">
        <is>
          <t>Arbitrum</t>
        </is>
      </c>
      <c r="C24" s="912" t="n">
        <v>0</v>
      </c>
      <c r="D24" s="912" t="n">
        <v>0</v>
      </c>
      <c r="E24" s="913" t="inlineStr">
        <is>
          <t>-100.00%</t>
        </is>
      </c>
      <c r="F24" s="912" t="inlineStr">
        <is>
          <t>-100.00%</t>
        </is>
      </c>
      <c r="G24" s="912" t="inlineStr">
        <is>
          <t>+0.00</t>
        </is>
      </c>
      <c r="H24" s="912" t="n">
        <v>0</v>
      </c>
      <c r="I24" s="912" t="n">
        <v>0</v>
      </c>
      <c r="J24" s="1233" t="inlineStr">
        <is>
          <t>🟢 MUA</t>
        </is>
      </c>
      <c r="K24" s="1024">
        <f>IF(A24='🎯 SÓI v42 — TRA CỨU &amp; DEEP DIV'!$C$4,"⭐ ĐANG XEM","")</f>
        <v/>
      </c>
    </row>
    <row r="27" ht="14.25" customHeight="1" s="981">
      <c r="A27" s="1229" t="inlineStr">
        <is>
          <t>📊 TỔNG MARKET CAP TOÀN CRYPTO: $3.85 trillion (+2.1% 24h)</t>
        </is>
      </c>
      <c r="K27" s="1024">
        <f>IF(A27='🎯 SÓI v42 — TRA CỨU &amp; DEEP DIV'!$C$4,"⭐ ĐANG XEM","")</f>
        <v/>
      </c>
    </row>
  </sheetData>
  <mergeCells count="4">
    <mergeCell ref="A1:J1"/>
    <mergeCell ref="A27:J27"/>
    <mergeCell ref="A3:J3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2"/>
  <sheetViews>
    <sheetView zoomScaleNormal="100" workbookViewId="0">
      <selection activeCell="A1" sqref="A1"/>
    </sheetView>
  </sheetViews>
  <sheetFormatPr baseColWidth="8" defaultColWidth="8.6640625" defaultRowHeight="14.4"/>
  <cols>
    <col width="12" customWidth="1" style="981" min="1" max="1"/>
    <col width="28" customWidth="1" style="981" min="2" max="2"/>
    <col width="14" customWidth="1" style="981" min="3" max="3"/>
    <col width="10" customWidth="1" style="981" min="4" max="6"/>
    <col width="12" customWidth="1" style="981" min="7" max="8"/>
    <col width="18" customWidth="1" style="981" min="9" max="9"/>
  </cols>
  <sheetData>
    <row r="1" ht="31.5" customHeight="1" s="981">
      <c r="A1" s="998" t="inlineStr">
        <is>
          <t>💱 TỶ GIÁ FOREX — TẤT CẢ CẶP CHÍNH VỚI VND + MAJORS</t>
        </is>
      </c>
    </row>
    <row r="2" ht="21.75" customHeight="1" s="981">
      <c r="A2" s="1231" t="inlineStr">
        <is>
          <t>Cap nhat: 19:46 28/05/2026 | Nguon: yfinance</t>
        </is>
      </c>
    </row>
    <row r="3" ht="14.25" customHeight="1" s="981">
      <c r="A3" s="1230" t="inlineStr">
        <is>
          <t>Ty gia VCB: USD/VND 26,355 | Ty gia tu do USD/VND 26,420</t>
        </is>
      </c>
    </row>
    <row r="4" ht="27.75" customHeight="1" s="981">
      <c r="A4" s="911" t="inlineStr">
        <is>
          <t>Cặp</t>
        </is>
      </c>
      <c r="B4" s="911" t="inlineStr">
        <is>
          <t>Mô tả</t>
        </is>
      </c>
      <c r="C4" s="911" t="inlineStr">
        <is>
          <t>Tỷ giá</t>
        </is>
      </c>
      <c r="D4" s="911" t="inlineStr">
        <is>
          <t>24h Δ</t>
        </is>
      </c>
      <c r="E4" s="911" t="inlineStr">
        <is>
          <t>% 24h</t>
        </is>
      </c>
      <c r="F4" s="911" t="inlineStr">
        <is>
          <t>% YTD</t>
        </is>
      </c>
      <c r="G4" s="911" t="inlineStr">
        <is>
          <t>Cao 52T</t>
        </is>
      </c>
      <c r="H4" s="911" t="inlineStr">
        <is>
          <t>Thấp 52T</t>
        </is>
      </c>
      <c r="I4" s="911" t="inlineStr">
        <is>
          <t>Tín hiệu</t>
        </is>
      </c>
      <c r="K4" s="506" t="inlineStr">
        <is>
          <t>🔗 Match C4</t>
        </is>
      </c>
    </row>
    <row r="5" ht="14.25" customHeight="1" s="981">
      <c r="A5" s="982" t="inlineStr">
        <is>
          <t>USDVND=X</t>
        </is>
      </c>
      <c r="B5" s="912" t="inlineStr">
        <is>
          <t>USD/VND - Đô la Mỹ</t>
        </is>
      </c>
      <c r="C5" s="912" t="n">
        <v>26325</v>
      </c>
      <c r="D5" s="912" t="n">
        <v>31</v>
      </c>
      <c r="E5" s="912" t="n">
        <v>0.12</v>
      </c>
      <c r="F5" s="912" t="n"/>
      <c r="G5" s="912" t="n">
        <v>26350</v>
      </c>
      <c r="H5" s="912" t="n">
        <v>26294</v>
      </c>
      <c r="I5" s="915" t="inlineStr">
        <is>
          <t>🟡 Tăng nhẹ</t>
        </is>
      </c>
      <c r="K5" s="1024">
        <f>IF(A5='🎯 SÓI v42 — TRA CỨU &amp; DEEP DIV'!$C$4,"⭐ ĐANG XEM","")</f>
        <v/>
      </c>
    </row>
    <row r="6" ht="14.25" customHeight="1" s="981">
      <c r="A6" s="982" t="inlineStr">
        <is>
          <t>EURVND=X</t>
        </is>
      </c>
      <c r="B6" s="912" t="inlineStr">
        <is>
          <t>EUR/VND - Euro</t>
        </is>
      </c>
      <c r="C6" s="912" t="n">
        <v>30620</v>
      </c>
      <c r="D6" s="912" t="n">
        <v>181</v>
      </c>
      <c r="E6" s="912" t="n">
        <v>0.59</v>
      </c>
      <c r="F6" s="912" t="n"/>
      <c r="G6" s="912" t="n">
        <v>30620</v>
      </c>
      <c r="H6" s="912" t="n">
        <v>30348</v>
      </c>
      <c r="I6" s="1233" t="inlineStr">
        <is>
          <t>🟢 Mạnh</t>
        </is>
      </c>
      <c r="K6" s="1024">
        <f>IF(A6='🎯 SÓI v42 — TRA CỨU &amp; DEEP DIV'!$C$4,"⭐ ĐANG XEM","")</f>
        <v/>
      </c>
    </row>
    <row r="7" ht="14.25" customHeight="1" s="981">
      <c r="A7" s="982" t="inlineStr">
        <is>
          <t>JPYVND=X</t>
        </is>
      </c>
      <c r="B7" s="912" t="inlineStr">
        <is>
          <t>JPY/VND - Yên Nhật</t>
        </is>
      </c>
      <c r="C7" s="912" t="n">
        <v>164.74</v>
      </c>
      <c r="D7" s="912" t="n">
        <v>0</v>
      </c>
      <c r="E7" s="912" t="n">
        <v>0</v>
      </c>
      <c r="F7" s="912" t="n"/>
      <c r="G7" s="912" t="n">
        <v>164.74</v>
      </c>
      <c r="H7" s="912" t="n">
        <v>164.74</v>
      </c>
      <c r="I7" s="916" t="inlineStr">
        <is>
          <t>🔴 Yếu</t>
        </is>
      </c>
      <c r="K7" s="1024">
        <f>IF(A7='🎯 SÓI v42 — TRA CỨU &amp; DEEP DIV'!$C$4,"⭐ ĐANG XEM","")</f>
        <v/>
      </c>
    </row>
    <row r="8" ht="14.25" customHeight="1" s="981">
      <c r="A8" s="982" t="inlineStr">
        <is>
          <t>GBPVND=X</t>
        </is>
      </c>
      <c r="B8" s="912" t="inlineStr">
        <is>
          <t>GBP/VND - Bảng Anh</t>
        </is>
      </c>
      <c r="C8" s="912" t="n">
        <v>35325.39</v>
      </c>
      <c r="D8" s="912" t="n">
        <v>-57.62</v>
      </c>
      <c r="E8" s="912" t="n">
        <v>-0.16</v>
      </c>
      <c r="F8" s="912" t="n"/>
      <c r="G8" s="912" t="n">
        <v>35527.3</v>
      </c>
      <c r="H8" s="912" t="n">
        <v>35325.39</v>
      </c>
      <c r="I8" s="1233" t="inlineStr">
        <is>
          <t>🟢 Mạnh</t>
        </is>
      </c>
      <c r="K8" s="1024">
        <f>IF(A8='🎯 SÓI v42 — TRA CỨU &amp; DEEP DIV'!$C$4,"⭐ ĐANG XEM","")</f>
        <v/>
      </c>
    </row>
    <row r="9" ht="14.25" customHeight="1" s="981">
      <c r="A9" s="982" t="inlineStr">
        <is>
          <t>CNYVND=X</t>
        </is>
      </c>
      <c r="B9" s="912" t="inlineStr">
        <is>
          <t>CNY/VND - Nhân dân tệ</t>
        </is>
      </c>
      <c r="C9" s="912" t="n">
        <v>3869.6</v>
      </c>
      <c r="D9" s="912" t="n">
        <v>0</v>
      </c>
      <c r="E9" s="912" t="n">
        <v>0</v>
      </c>
      <c r="F9" s="912" t="n"/>
      <c r="G9" s="912" t="n">
        <v>3869.6</v>
      </c>
      <c r="H9" s="912" t="n">
        <v>3869.6</v>
      </c>
      <c r="I9" s="915" t="inlineStr">
        <is>
          <t>🟡 Tăng nhẹ</t>
        </is>
      </c>
      <c r="K9" s="1024">
        <f>IF(A9='🎯 SÓI v42 — TRA CỨU &amp; DEEP DIV'!$C$4,"⭐ ĐANG XEM","")</f>
        <v/>
      </c>
    </row>
    <row r="10" ht="14.25" customHeight="1" s="981">
      <c r="A10" s="982" t="inlineStr">
        <is>
          <t>KRWVND=X</t>
        </is>
      </c>
      <c r="B10" s="912" t="inlineStr">
        <is>
          <t>KRW/VND - Won Hàn</t>
        </is>
      </c>
      <c r="C10" s="912" t="n">
        <v>1500.6801</v>
      </c>
      <c r="D10" s="912" t="n"/>
      <c r="E10" s="912" t="n">
        <v>0</v>
      </c>
      <c r="F10" s="912" t="n"/>
      <c r="G10" s="912" t="n"/>
      <c r="H10" s="912" t="n"/>
      <c r="I10" s="916" t="inlineStr">
        <is>
          <t>🔴 Yếu</t>
        </is>
      </c>
      <c r="K10" s="1024">
        <f>IF(A10='🎯 SÓI v42 — TRA CỨU &amp; DEEP DIV'!$C$4,"⭐ ĐANG XEM","")</f>
        <v/>
      </c>
    </row>
    <row r="11" ht="14.25" customHeight="1" s="981">
      <c r="A11" s="982" t="inlineStr">
        <is>
          <t>SGDVND=X</t>
        </is>
      </c>
      <c r="B11" s="912" t="inlineStr">
        <is>
          <t>SGD/VND - Singapore</t>
        </is>
      </c>
      <c r="C11" s="912" t="n">
        <v>20569</v>
      </c>
      <c r="D11" s="912" t="n">
        <v>0</v>
      </c>
      <c r="E11" s="912" t="n">
        <v>0</v>
      </c>
      <c r="F11" s="912" t="n"/>
      <c r="G11" s="912" t="n">
        <v>20569</v>
      </c>
      <c r="H11" s="912" t="n">
        <v>20569</v>
      </c>
      <c r="I11" s="1233" t="inlineStr">
        <is>
          <t>🟢 Mạnh</t>
        </is>
      </c>
      <c r="K11" s="1024">
        <f>IF(A11='🎯 SÓI v42 — TRA CỨU &amp; DEEP DIV'!$C$4,"⭐ ĐANG XEM","")</f>
        <v/>
      </c>
    </row>
    <row r="12" ht="14.25" customHeight="1" s="981">
      <c r="A12" s="982" t="inlineStr">
        <is>
          <t>AUDVND=X</t>
        </is>
      </c>
      <c r="B12" s="912" t="inlineStr">
        <is>
          <t>AUD/VND - Úc</t>
        </is>
      </c>
      <c r="C12" s="912" t="n">
        <v>0.7131999999999999</v>
      </c>
      <c r="D12" s="912" t="n"/>
      <c r="E12" s="912" t="n">
        <v>0</v>
      </c>
      <c r="F12" s="912" t="n"/>
      <c r="G12" s="912" t="n"/>
      <c r="H12" s="912" t="n"/>
      <c r="I12" s="915" t="inlineStr">
        <is>
          <t>🟡 Tăng</t>
        </is>
      </c>
      <c r="K12" s="1024">
        <f>IF(A12='🎯 SÓI v42 — TRA CỨU &amp; DEEP DIV'!$C$4,"⭐ ĐANG XEM","")</f>
        <v/>
      </c>
    </row>
    <row r="13" ht="14.25" customHeight="1" s="981">
      <c r="A13" s="982" t="inlineStr">
        <is>
          <t>THBVND=X</t>
        </is>
      </c>
      <c r="B13" s="912" t="inlineStr">
        <is>
          <t>THB/VND - Bath Thái</t>
        </is>
      </c>
      <c r="C13" s="912" t="n">
        <v>32.63</v>
      </c>
      <c r="D13" s="912" t="n"/>
      <c r="E13" s="912" t="n">
        <v>0</v>
      </c>
      <c r="F13" s="912" t="n"/>
      <c r="G13" s="912" t="n"/>
      <c r="H13" s="912" t="n"/>
      <c r="I13" s="915" t="inlineStr">
        <is>
          <t>🟡 Trung tính</t>
        </is>
      </c>
      <c r="K13" s="1024">
        <f>IF(A13='🎯 SÓI v42 — TRA CỨU &amp; DEEP DIV'!$C$4,"⭐ ĐANG XEM","")</f>
        <v/>
      </c>
    </row>
    <row r="14" ht="14.25" customHeight="1" s="981">
      <c r="A14" s="982" t="inlineStr">
        <is>
          <t>HKDVND=X</t>
        </is>
      </c>
      <c r="B14" s="912" t="inlineStr">
        <is>
          <t>HKD/VND - HongKong</t>
        </is>
      </c>
      <c r="C14" s="912" t="n">
        <v>3358.1</v>
      </c>
      <c r="D14" s="912" t="n">
        <v>0</v>
      </c>
      <c r="E14" s="912" t="n">
        <v>0</v>
      </c>
      <c r="F14" s="912" t="n"/>
      <c r="G14" s="912" t="n">
        <v>3358.1</v>
      </c>
      <c r="H14" s="912" t="n">
        <v>3358.1</v>
      </c>
      <c r="I14" s="915" t="inlineStr">
        <is>
          <t>🟡 Tăng nhẹ</t>
        </is>
      </c>
      <c r="K14" s="1024">
        <f>IF(A14='🎯 SÓI v42 — TRA CỨU &amp; DEEP DIV'!$C$4,"⭐ ĐANG XEM","")</f>
        <v/>
      </c>
    </row>
    <row r="15" ht="14.25" customHeight="1" s="981">
      <c r="A15" s="982" t="inlineStr">
        <is>
          <t>EURUSD=X</t>
        </is>
      </c>
      <c r="B15" s="912" t="inlineStr">
        <is>
          <t>EUR/USD - Major</t>
        </is>
      </c>
      <c r="C15" s="912" t="n">
        <v>1.16</v>
      </c>
      <c r="D15" s="912" t="n">
        <v>0</v>
      </c>
      <c r="E15" s="912" t="n">
        <v>-0.32</v>
      </c>
      <c r="F15" s="912" t="n"/>
      <c r="G15" s="912" t="n">
        <v>1.16</v>
      </c>
      <c r="H15" s="912" t="n">
        <v>1.16</v>
      </c>
      <c r="I15" s="1233" t="inlineStr">
        <is>
          <t>🟢 Bullish</t>
        </is>
      </c>
      <c r="K15" s="1024">
        <f>IF(A15='🎯 SÓI v42 — TRA CỨU &amp; DEEP DIV'!$C$4,"⭐ ĐANG XEM","")</f>
        <v/>
      </c>
    </row>
    <row r="16" ht="14.25" customHeight="1" s="981">
      <c r="A16" s="982" t="inlineStr">
        <is>
          <t>GBPUSD=X</t>
        </is>
      </c>
      <c r="B16" s="912" t="inlineStr">
        <is>
          <t>GBP/USD - Cable</t>
        </is>
      </c>
      <c r="C16" s="912" t="n">
        <v>1.34</v>
      </c>
      <c r="D16" s="912" t="n">
        <v>-0.01</v>
      </c>
      <c r="E16" s="912" t="n">
        <v>-0.41</v>
      </c>
      <c r="F16" s="912" t="n"/>
      <c r="G16" s="912" t="n">
        <v>1.35</v>
      </c>
      <c r="H16" s="912" t="n">
        <v>1.34</v>
      </c>
      <c r="I16" s="1233" t="inlineStr">
        <is>
          <t>🟢 Bullish</t>
        </is>
      </c>
      <c r="K16" s="1024">
        <f>IF(A16='🎯 SÓI v42 — TRA CỨU &amp; DEEP DIV'!$C$4,"⭐ ĐANG XEM","")</f>
        <v/>
      </c>
    </row>
    <row r="17" ht="14.25" customHeight="1" s="981">
      <c r="A17" s="982" t="inlineStr">
        <is>
          <t>USDJPY=X</t>
        </is>
      </c>
      <c r="B17" s="912" t="inlineStr">
        <is>
          <t>USD/JPY - Yên</t>
        </is>
      </c>
      <c r="C17" s="912" t="n">
        <v>159.34</v>
      </c>
      <c r="D17" s="912" t="n">
        <v>0.1</v>
      </c>
      <c r="E17" s="912" t="n">
        <v>0.06</v>
      </c>
      <c r="F17" s="912" t="n"/>
      <c r="G17" s="912" t="n">
        <v>159.34</v>
      </c>
      <c r="H17" s="912" t="n">
        <v>158.95</v>
      </c>
      <c r="I17" s="915" t="inlineStr">
        <is>
          <t>🟢 USD mạnh</t>
        </is>
      </c>
      <c r="K17" s="1024">
        <f>IF(A17='🎯 SÓI v42 — TRA CỨU &amp; DEEP DIV'!$C$4,"⭐ ĐANG XEM","")</f>
        <v/>
      </c>
    </row>
    <row r="18" ht="14.25" customHeight="1" s="981">
      <c r="A18" s="982" t="inlineStr">
        <is>
          <t>USDCNY=X</t>
        </is>
      </c>
      <c r="B18" s="912" t="inlineStr">
        <is>
          <t>USD/CNY - NDT</t>
        </is>
      </c>
      <c r="C18" s="912" t="n">
        <v>6.78</v>
      </c>
      <c r="D18" s="912" t="n">
        <v>-0.01</v>
      </c>
      <c r="E18" s="912" t="n">
        <v>-0.09</v>
      </c>
      <c r="F18" s="912" t="n"/>
      <c r="G18" s="912" t="n">
        <v>6.8</v>
      </c>
      <c r="H18" s="912" t="n">
        <v>6.78</v>
      </c>
      <c r="I18" s="915" t="inlineStr">
        <is>
          <t>🟡 Trung tính</t>
        </is>
      </c>
      <c r="K18" s="1024">
        <f>IF(A18='🎯 SÓI v42 — TRA CỨU &amp; DEEP DIV'!$C$4,"⭐ ĐANG XEM","")</f>
        <v/>
      </c>
    </row>
    <row r="19" ht="14.25" customHeight="1" s="981">
      <c r="A19" s="982" t="inlineStr">
        <is>
          <t>AUDUSD=X</t>
        </is>
      </c>
      <c r="B19" s="912" t="inlineStr">
        <is>
          <t>AUD/USD - Aussie</t>
        </is>
      </c>
      <c r="C19" s="912" t="n">
        <v>0.71</v>
      </c>
      <c r="D19" s="912" t="n">
        <v>-0.01</v>
      </c>
      <c r="E19" s="912" t="n">
        <v>-0.99</v>
      </c>
      <c r="F19" s="912" t="n"/>
      <c r="G19" s="912" t="n">
        <v>0.72</v>
      </c>
      <c r="H19" s="912" t="n">
        <v>0.71</v>
      </c>
      <c r="I19" s="916" t="inlineStr">
        <is>
          <t>🔴 Yếu</t>
        </is>
      </c>
      <c r="K19" s="1024">
        <f>IF(A19='🎯 SÓI v42 — TRA CỨU &amp; DEEP DIV'!$C$4,"⭐ ĐANG XEM","")</f>
        <v/>
      </c>
    </row>
    <row r="22" ht="14.25" customHeight="1" s="981">
      <c r="A22" s="1229" t="inlineStr">
        <is>
          <t>📊 DXY (US Dollar Index): 97.88 (yếu) — USD giảm giá rộng → cổ phiếu Mỹ + Vàng được hưởng lợi</t>
        </is>
      </c>
      <c r="K22" s="1024">
        <f>IF(A22='🎯 SÓI v42 — TRA CỨU &amp; DEEP DIV'!$C$4,"⭐ ĐANG XEM","")</f>
        <v/>
      </c>
    </row>
  </sheetData>
  <mergeCells count="4">
    <mergeCell ref="A1:J1"/>
    <mergeCell ref="A2:J2"/>
    <mergeCell ref="A3:I3"/>
    <mergeCell ref="A22:I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Normal="100" workbookViewId="0">
      <selection activeCell="A1" sqref="A1"/>
    </sheetView>
  </sheetViews>
  <sheetFormatPr baseColWidth="8" defaultColWidth="8.6640625" defaultRowHeight="14.4"/>
  <cols>
    <col width="8" customWidth="1" style="981" min="1" max="1"/>
    <col width="22" customWidth="1" style="981" min="2" max="2"/>
    <col width="18" customWidth="1" style="981" min="3" max="3"/>
    <col width="15" customWidth="1" style="981" min="4" max="4"/>
    <col width="14" customWidth="1" style="981" min="5" max="7"/>
    <col width="12" customWidth="1" style="981" min="8" max="8"/>
    <col width="10" customWidth="1" style="981" min="9" max="9"/>
    <col width="14" customWidth="1" style="981" min="10" max="10"/>
    <col width="16" customWidth="1" style="981" min="11" max="11"/>
  </cols>
  <sheetData>
    <row r="1" ht="31.5" customHeight="1" s="981">
      <c r="A1" s="998" t="inlineStr">
        <is>
          <t>🔥 KHỐI NGOẠI NETFLOW — DÒNG TIỀN THÔNG MINH</t>
        </is>
      </c>
    </row>
    <row r="2" ht="21.75" customHeight="1" s="981">
      <c r="A2" s="1231" t="inlineStr">
        <is>
          <t>Cap nhat: 20:49 28/05/2026 | Nguon: TCBS API</t>
        </is>
      </c>
    </row>
    <row r="3" ht="14.25" customHeight="1" s="981">
      <c r="A3" s="1230" t="inlineStr">
        <is>
          <t>💎 Quỹ ngoại đang giữ ~25% giá trị thị trường VN. Họ vào mã nào → mã đó có chuyển động dài hạn</t>
        </is>
      </c>
    </row>
    <row r="4" ht="27.75" customHeight="1" s="981">
      <c r="A4" s="911" t="inlineStr">
        <is>
          <t>Mã</t>
        </is>
      </c>
      <c r="B4" s="911" t="inlineStr">
        <is>
          <t>Tên</t>
        </is>
      </c>
      <c r="C4" s="911" t="inlineStr">
        <is>
          <t>Ngành</t>
        </is>
      </c>
      <c r="D4" s="911" t="inlineStr">
        <is>
          <t>Mua ròng 1D (tỷ)</t>
        </is>
      </c>
      <c r="E4" s="911" t="inlineStr">
        <is>
          <t>Mua ròng 5D</t>
        </is>
      </c>
      <c r="F4" s="911" t="inlineStr">
        <is>
          <t>Mua ròng 20D</t>
        </is>
      </c>
      <c r="G4" s="911" t="inlineStr">
        <is>
          <t>Mua ròng 1Y</t>
        </is>
      </c>
      <c r="H4" s="911" t="inlineStr">
        <is>
          <t>% Sở hữu NN</t>
        </is>
      </c>
      <c r="I4" s="911" t="inlineStr">
        <is>
          <t>Còn room</t>
        </is>
      </c>
      <c r="J4" s="911" t="inlineStr">
        <is>
          <t>Top NN</t>
        </is>
      </c>
      <c r="K4" s="911" t="inlineStr">
        <is>
          <t>Tín hiệu</t>
        </is>
      </c>
    </row>
    <row r="5" ht="14.25" customHeight="1" s="981">
      <c r="A5" s="982" t="inlineStr">
        <is>
          <t>VCB</t>
        </is>
      </c>
      <c r="B5" s="912" t="inlineStr">
        <is>
          <t>Vietcombank</t>
        </is>
      </c>
      <c r="C5" s="912" t="inlineStr">
        <is>
          <t>Ngân hàng</t>
        </is>
      </c>
      <c r="D5" s="913" t="n">
        <v>42</v>
      </c>
      <c r="E5" s="913" t="n">
        <v>185</v>
      </c>
      <c r="F5" s="913" t="n">
        <v>520</v>
      </c>
      <c r="G5" s="913" t="n">
        <v>4250</v>
      </c>
      <c r="H5" s="912" t="n">
        <v>18.5</v>
      </c>
      <c r="I5" s="912" t="inlineStr">
        <is>
          <t>🟡 Hết</t>
        </is>
      </c>
      <c r="J5" s="912" t="inlineStr">
        <is>
          <t>Mizuho</t>
        </is>
      </c>
      <c r="K5" s="1233" t="inlineStr">
        <is>
          <t>🟢 ĐANG GOM</t>
        </is>
      </c>
    </row>
    <row r="6" ht="14.25" customHeight="1" s="981">
      <c r="A6" s="982" t="inlineStr">
        <is>
          <t>FPT</t>
        </is>
      </c>
      <c r="B6" s="912" t="inlineStr">
        <is>
          <t>FPT Corp</t>
        </is>
      </c>
      <c r="C6" s="912" t="inlineStr">
        <is>
          <t>CN thông tin</t>
        </is>
      </c>
      <c r="D6" s="913" t="n">
        <v>28</v>
      </c>
      <c r="E6" s="913" t="n">
        <v>142</v>
      </c>
      <c r="F6" s="913" t="n">
        <v>380</v>
      </c>
      <c r="G6" s="913" t="n">
        <v>2850</v>
      </c>
      <c r="H6" s="912" t="n">
        <v>22.3</v>
      </c>
      <c r="I6" s="912" t="inlineStr">
        <is>
          <t>⚠ Kín</t>
        </is>
      </c>
      <c r="J6" s="912" t="inlineStr">
        <is>
          <t>Dragon Cap</t>
        </is>
      </c>
      <c r="K6" s="1233" t="inlineStr">
        <is>
          <t>🟢 ĐANG GOM</t>
        </is>
      </c>
    </row>
    <row r="7" ht="14.25" customHeight="1" s="981">
      <c r="A7" s="982" t="inlineStr">
        <is>
          <t>VIC</t>
        </is>
      </c>
      <c r="B7" s="912" t="inlineStr">
        <is>
          <t>Vingroup</t>
        </is>
      </c>
      <c r="C7" s="912" t="inlineStr">
        <is>
          <t>BĐS</t>
        </is>
      </c>
      <c r="D7" s="913" t="n"/>
      <c r="E7" s="913" t="n"/>
      <c r="F7" s="913" t="n"/>
      <c r="G7" s="913" t="n"/>
      <c r="H7" s="912" t="n"/>
      <c r="I7" s="912" t="inlineStr">
        <is>
          <t>🟢 OK</t>
        </is>
      </c>
      <c r="J7" s="912" t="inlineStr">
        <is>
          <t>Various</t>
        </is>
      </c>
      <c r="K7" s="915" t="inlineStr">
        <is>
          <t>🟡 GIỮ</t>
        </is>
      </c>
    </row>
    <row r="8" ht="14.25" customHeight="1" s="981">
      <c r="A8" s="982" t="inlineStr">
        <is>
          <t>VHM</t>
        </is>
      </c>
      <c r="B8" s="912" t="inlineStr">
        <is>
          <t>Vinhomes</t>
        </is>
      </c>
      <c r="C8" s="912" t="inlineStr">
        <is>
          <t>BĐS</t>
        </is>
      </c>
      <c r="D8" s="913" t="n"/>
      <c r="E8" s="913" t="n"/>
      <c r="F8" s="913" t="n"/>
      <c r="G8" s="913" t="n"/>
      <c r="H8" s="912" t="n"/>
      <c r="I8" s="912" t="inlineStr">
        <is>
          <t>🟢 OK</t>
        </is>
      </c>
      <c r="J8" s="912" t="inlineStr">
        <is>
          <t>GIC SG</t>
        </is>
      </c>
      <c r="K8" s="915" t="inlineStr">
        <is>
          <t>🟡 GIỮ</t>
        </is>
      </c>
    </row>
    <row r="9" ht="14.25" customHeight="1" s="981">
      <c r="A9" s="982" t="inlineStr">
        <is>
          <t>HPG</t>
        </is>
      </c>
      <c r="B9" s="912" t="inlineStr">
        <is>
          <t>Hòa Phát</t>
        </is>
      </c>
      <c r="C9" s="912" t="inlineStr">
        <is>
          <t>Thép</t>
        </is>
      </c>
      <c r="D9" s="913" t="n">
        <v>-15</v>
      </c>
      <c r="E9" s="913" t="n">
        <v>-45</v>
      </c>
      <c r="F9" s="913" t="n">
        <v>-125</v>
      </c>
      <c r="G9" s="913" t="n">
        <v>-850</v>
      </c>
      <c r="H9" s="912" t="n">
        <v>12.5</v>
      </c>
      <c r="I9" s="912" t="inlineStr">
        <is>
          <t>🟡 Hẹp</t>
        </is>
      </c>
      <c r="J9" s="912" t="inlineStr">
        <is>
          <t>Vanguard</t>
        </is>
      </c>
      <c r="K9" s="1233" t="inlineStr">
        <is>
          <t>🟢 ĐANG GOM</t>
        </is>
      </c>
    </row>
    <row r="10" ht="14.25" customHeight="1" s="981">
      <c r="A10" s="982" t="inlineStr">
        <is>
          <t>MWG</t>
        </is>
      </c>
      <c r="B10" s="912" t="inlineStr">
        <is>
          <t>Mobile World</t>
        </is>
      </c>
      <c r="C10" s="912" t="inlineStr">
        <is>
          <t>Bán lẻ</t>
        </is>
      </c>
      <c r="D10" s="913" t="n">
        <v>8</v>
      </c>
      <c r="E10" s="913" t="n">
        <v>22</v>
      </c>
      <c r="F10" s="913" t="n">
        <v>55</v>
      </c>
      <c r="G10" s="913" t="n">
        <v>420</v>
      </c>
      <c r="H10" s="912" t="n">
        <v>19.8</v>
      </c>
      <c r="I10" s="912" t="inlineStr">
        <is>
          <t>⚠ Kín</t>
        </is>
      </c>
      <c r="J10" s="912" t="inlineStr">
        <is>
          <t>Various</t>
        </is>
      </c>
      <c r="K10" s="915" t="inlineStr">
        <is>
          <t>🟡 GIỮ</t>
        </is>
      </c>
    </row>
    <row r="11" ht="14.25" customHeight="1" s="981">
      <c r="A11" s="982" t="inlineStr">
        <is>
          <t>VNM</t>
        </is>
      </c>
      <c r="B11" s="912" t="inlineStr">
        <is>
          <t>Vinamilk</t>
        </is>
      </c>
      <c r="C11" s="912" t="inlineStr">
        <is>
          <t>Hàng tiêu dùng</t>
        </is>
      </c>
      <c r="D11" s="913" t="n">
        <v>5</v>
      </c>
      <c r="E11" s="913" t="n">
        <v>18</v>
      </c>
      <c r="F11" s="913" t="n">
        <v>42</v>
      </c>
      <c r="G11" s="913" t="n">
        <v>380</v>
      </c>
      <c r="H11" s="912" t="n">
        <v>35.5</v>
      </c>
      <c r="I11" s="912" t="inlineStr">
        <is>
          <t>🟢 OK</t>
        </is>
      </c>
      <c r="J11" s="912" t="inlineStr">
        <is>
          <t>F&amp;N Dairy</t>
        </is>
      </c>
      <c r="K11" s="915" t="inlineStr">
        <is>
          <t>🟡 GIỮ</t>
        </is>
      </c>
    </row>
    <row r="12" ht="14.25" customHeight="1" s="981">
      <c r="A12" s="982" t="inlineStr">
        <is>
          <t>VIB</t>
        </is>
      </c>
      <c r="B12" s="912" t="inlineStr">
        <is>
          <t>VIB Bank</t>
        </is>
      </c>
      <c r="C12" s="912" t="inlineStr">
        <is>
          <t>Ngân hàng</t>
        </is>
      </c>
      <c r="D12" s="917" t="n"/>
      <c r="E12" s="917" t="n"/>
      <c r="F12" s="917" t="n"/>
      <c r="G12" s="917" t="n"/>
      <c r="H12" s="912" t="n"/>
      <c r="I12" s="912" t="inlineStr">
        <is>
          <t>🟢 OK</t>
        </is>
      </c>
      <c r="J12" s="912" t="inlineStr">
        <is>
          <t>CBA</t>
        </is>
      </c>
      <c r="K12" s="916" t="inlineStr">
        <is>
          <t>🔴 ĐANG BÁN</t>
        </is>
      </c>
    </row>
    <row r="13" ht="14.25" customHeight="1" s="981">
      <c r="A13" s="982" t="inlineStr">
        <is>
          <t>MBB</t>
        </is>
      </c>
      <c r="B13" s="912" t="inlineStr">
        <is>
          <t>MB Bank</t>
        </is>
      </c>
      <c r="C13" s="912" t="inlineStr">
        <is>
          <t>Ngân hàng</t>
        </is>
      </c>
      <c r="D13" s="913" t="n">
        <v>18</v>
      </c>
      <c r="E13" s="913" t="n">
        <v>65</v>
      </c>
      <c r="F13" s="913" t="n">
        <v>185</v>
      </c>
      <c r="G13" s="913" t="n">
        <v>1250</v>
      </c>
      <c r="H13" s="912" t="n">
        <v>12.8</v>
      </c>
      <c r="I13" s="912" t="inlineStr">
        <is>
          <t>🟢 OK</t>
        </is>
      </c>
      <c r="J13" s="912" t="inlineStr">
        <is>
          <t>Various</t>
        </is>
      </c>
      <c r="K13" s="1233" t="inlineStr">
        <is>
          <t>🟢 ĐANG GOM</t>
        </is>
      </c>
    </row>
    <row r="14" ht="14.25" customHeight="1" s="981">
      <c r="A14" s="982" t="inlineStr">
        <is>
          <t>VPB</t>
        </is>
      </c>
      <c r="B14" s="912" t="inlineStr">
        <is>
          <t>VPBank</t>
        </is>
      </c>
      <c r="C14" s="912" t="inlineStr">
        <is>
          <t>Ngân hàng</t>
        </is>
      </c>
      <c r="D14" s="917" t="n"/>
      <c r="E14" s="917" t="n"/>
      <c r="F14" s="917" t="n"/>
      <c r="G14" s="917" t="n"/>
      <c r="H14" s="912" t="n"/>
      <c r="I14" s="912" t="inlineStr">
        <is>
          <t>🟢 OK</t>
        </is>
      </c>
      <c r="J14" s="912" t="inlineStr">
        <is>
          <t>SMBC</t>
        </is>
      </c>
      <c r="K14" s="916" t="inlineStr">
        <is>
          <t>🔴 ĐANG BÁN</t>
        </is>
      </c>
    </row>
    <row r="15" ht="14.25" customHeight="1" s="981">
      <c r="A15" s="982" t="inlineStr">
        <is>
          <t>TCB</t>
        </is>
      </c>
      <c r="B15" s="912" t="inlineStr">
        <is>
          <t>Techcombank</t>
        </is>
      </c>
      <c r="C15" s="912" t="inlineStr">
        <is>
          <t>Ngân hàng</t>
        </is>
      </c>
      <c r="D15" s="913" t="n"/>
      <c r="E15" s="913" t="n"/>
      <c r="F15" s="913" t="n"/>
      <c r="G15" s="913" t="n"/>
      <c r="H15" s="912" t="n"/>
      <c r="I15" s="912" t="inlineStr">
        <is>
          <t>🟢 OK</t>
        </is>
      </c>
      <c r="J15" s="912" t="inlineStr">
        <is>
          <t>Masan</t>
        </is>
      </c>
      <c r="K15" s="1233" t="inlineStr">
        <is>
          <t>🟢 ĐANG GOM</t>
        </is>
      </c>
    </row>
    <row r="16" ht="14.25" customHeight="1" s="981">
      <c r="A16" s="982" t="inlineStr">
        <is>
          <t>STB</t>
        </is>
      </c>
      <c r="B16" s="912" t="inlineStr">
        <is>
          <t>Sacombank</t>
        </is>
      </c>
      <c r="C16" s="912" t="inlineStr">
        <is>
          <t>Ngân hàng</t>
        </is>
      </c>
      <c r="D16" s="917" t="n"/>
      <c r="E16" s="917" t="n"/>
      <c r="F16" s="917" t="n"/>
      <c r="G16" s="917" t="n"/>
      <c r="H16" s="912" t="n"/>
      <c r="I16" s="912" t="inlineStr">
        <is>
          <t>🟢 OK</t>
        </is>
      </c>
      <c r="J16" s="912" t="inlineStr">
        <is>
          <t>Various</t>
        </is>
      </c>
      <c r="K16" s="916" t="inlineStr">
        <is>
          <t>🔴 ĐANG BÁN</t>
        </is>
      </c>
    </row>
    <row r="17" ht="14.25" customHeight="1" s="981">
      <c r="A17" s="982" t="inlineStr">
        <is>
          <t>CTG</t>
        </is>
      </c>
      <c r="B17" s="912" t="inlineStr">
        <is>
          <t>VietinBank</t>
        </is>
      </c>
      <c r="C17" s="912" t="inlineStr">
        <is>
          <t>Ngân hàng</t>
        </is>
      </c>
      <c r="D17" s="913" t="n"/>
      <c r="E17" s="913" t="n"/>
      <c r="F17" s="913" t="n"/>
      <c r="G17" s="913" t="n"/>
      <c r="H17" s="912" t="n"/>
      <c r="I17" s="912" t="inlineStr">
        <is>
          <t>🟢 OK</t>
        </is>
      </c>
      <c r="J17" s="912" t="inlineStr">
        <is>
          <t>Various</t>
        </is>
      </c>
      <c r="K17" s="1233" t="inlineStr">
        <is>
          <t>🟢 ĐANG GOM</t>
        </is>
      </c>
    </row>
    <row r="18" ht="14.25" customHeight="1" s="981">
      <c r="A18" s="982" t="inlineStr">
        <is>
          <t>BID</t>
        </is>
      </c>
      <c r="B18" s="912" t="inlineStr">
        <is>
          <t>BIDV</t>
        </is>
      </c>
      <c r="C18" s="912" t="inlineStr">
        <is>
          <t>Ngân hàng</t>
        </is>
      </c>
      <c r="D18" s="913" t="n"/>
      <c r="E18" s="913" t="n"/>
      <c r="F18" s="913" t="n"/>
      <c r="G18" s="913" t="n"/>
      <c r="H18" s="912" t="n"/>
      <c r="I18" s="912" t="inlineStr">
        <is>
          <t>🟢 OK</t>
        </is>
      </c>
      <c r="J18" s="912" t="inlineStr">
        <is>
          <t>Sumitomo</t>
        </is>
      </c>
      <c r="K18" s="915" t="inlineStr">
        <is>
          <t>🟡 GIỮ</t>
        </is>
      </c>
    </row>
    <row r="19" ht="14.25" customHeight="1" s="981">
      <c r="A19" s="982" t="inlineStr">
        <is>
          <t>ACB</t>
        </is>
      </c>
      <c r="B19" s="912" t="inlineStr">
        <is>
          <t>ACB</t>
        </is>
      </c>
      <c r="C19" s="912" t="inlineStr">
        <is>
          <t>Ngân hàng</t>
        </is>
      </c>
      <c r="D19" s="913" t="n"/>
      <c r="E19" s="913" t="n"/>
      <c r="F19" s="913" t="n"/>
      <c r="G19" s="913" t="n"/>
      <c r="H19" s="912" t="n"/>
      <c r="I19" s="912" t="inlineStr">
        <is>
          <t>🟢 OK</t>
        </is>
      </c>
      <c r="J19" s="912" t="inlineStr">
        <is>
          <t>Dragon Cap</t>
        </is>
      </c>
      <c r="K19" s="915" t="inlineStr">
        <is>
          <t>🟡 GIỮ</t>
        </is>
      </c>
    </row>
    <row r="20" ht="14.25" customHeight="1" s="981">
      <c r="A20" s="982" t="inlineStr">
        <is>
          <t>SSI</t>
        </is>
      </c>
      <c r="B20" s="912" t="inlineStr">
        <is>
          <t>SSI Securities</t>
        </is>
      </c>
      <c r="C20" s="912" t="inlineStr">
        <is>
          <t>Chứng khoán</t>
        </is>
      </c>
      <c r="D20" s="913" t="n"/>
      <c r="E20" s="913" t="n"/>
      <c r="F20" s="913" t="n"/>
      <c r="G20" s="913" t="n"/>
      <c r="H20" s="912" t="n"/>
      <c r="I20" s="912" t="inlineStr">
        <is>
          <t>🟡 Hẹp</t>
        </is>
      </c>
      <c r="J20" s="912" t="inlineStr">
        <is>
          <t>Daiwa</t>
        </is>
      </c>
      <c r="K20" s="1233" t="inlineStr">
        <is>
          <t>🟢 ĐANG GOM</t>
        </is>
      </c>
    </row>
    <row r="21" ht="14.25" customHeight="1" s="981">
      <c r="A21" s="982" t="inlineStr">
        <is>
          <t>VND</t>
        </is>
      </c>
      <c r="B21" s="912" t="inlineStr">
        <is>
          <t>VNDirect</t>
        </is>
      </c>
      <c r="C21" s="912" t="inlineStr">
        <is>
          <t>Chứng khoán</t>
        </is>
      </c>
      <c r="D21" s="913" t="n"/>
      <c r="E21" s="913" t="n"/>
      <c r="F21" s="913" t="n"/>
      <c r="G21" s="913" t="n"/>
      <c r="H21" s="912" t="n"/>
      <c r="I21" s="912" t="inlineStr">
        <is>
          <t>🟡 Hẹp</t>
        </is>
      </c>
      <c r="J21" s="912" t="inlineStr">
        <is>
          <t>Various</t>
        </is>
      </c>
      <c r="K21" s="1233" t="inlineStr">
        <is>
          <t>🟢 ĐANG GOM</t>
        </is>
      </c>
    </row>
    <row r="22" ht="14.25" customHeight="1" s="981">
      <c r="A22" s="982" t="inlineStr">
        <is>
          <t>VIX</t>
        </is>
      </c>
      <c r="B22" s="912" t="inlineStr">
        <is>
          <t>VIX Securities</t>
        </is>
      </c>
      <c r="C22" s="912" t="inlineStr">
        <is>
          <t>Chứng khoán</t>
        </is>
      </c>
      <c r="D22" s="913" t="n"/>
      <c r="E22" s="913" t="n"/>
      <c r="F22" s="913" t="n"/>
      <c r="G22" s="913" t="n"/>
      <c r="H22" s="912" t="n"/>
      <c r="I22" s="912" t="inlineStr">
        <is>
          <t>🟢 OK</t>
        </is>
      </c>
      <c r="J22" s="912" t="inlineStr">
        <is>
          <t>Various</t>
        </is>
      </c>
      <c r="K22" s="1233" t="inlineStr">
        <is>
          <t>🟢 ĐANG GOM</t>
        </is>
      </c>
    </row>
    <row r="23" ht="14.25" customHeight="1" s="981">
      <c r="A23" s="982" t="inlineStr">
        <is>
          <t>GAS</t>
        </is>
      </c>
      <c r="B23" s="912" t="inlineStr">
        <is>
          <t>PetroVietnam Gas</t>
        </is>
      </c>
      <c r="C23" s="912" t="inlineStr">
        <is>
          <t>Dầu khí</t>
        </is>
      </c>
      <c r="D23" s="917" t="n"/>
      <c r="E23" s="917" t="n"/>
      <c r="F23" s="917" t="n"/>
      <c r="G23" s="917" t="n"/>
      <c r="H23" s="912" t="n"/>
      <c r="I23" s="912" t="inlineStr">
        <is>
          <t>🟢 OK</t>
        </is>
      </c>
      <c r="J23" s="912" t="inlineStr">
        <is>
          <t>Various</t>
        </is>
      </c>
      <c r="K23" s="915" t="inlineStr">
        <is>
          <t>🟡 GIỮ</t>
        </is>
      </c>
    </row>
    <row r="24" ht="14.25" customHeight="1" s="981">
      <c r="A24" s="982" t="inlineStr">
        <is>
          <t>PLX</t>
        </is>
      </c>
      <c r="B24" s="912" t="inlineStr">
        <is>
          <t>Petrolimex</t>
        </is>
      </c>
      <c r="C24" s="912" t="inlineStr">
        <is>
          <t>Dầu khí</t>
        </is>
      </c>
      <c r="D24" s="913" t="n"/>
      <c r="E24" s="913" t="n"/>
      <c r="F24" s="913" t="n"/>
      <c r="G24" s="913" t="n"/>
      <c r="H24" s="912" t="n"/>
      <c r="I24" s="912" t="inlineStr">
        <is>
          <t>🟢 OK</t>
        </is>
      </c>
      <c r="J24" s="912" t="inlineStr">
        <is>
          <t>Various</t>
        </is>
      </c>
      <c r="K24" s="915" t="inlineStr">
        <is>
          <t>🟡 GIỮ</t>
        </is>
      </c>
    </row>
    <row r="25" ht="14.25" customHeight="1" s="981">
      <c r="A25" s="982" t="inlineStr">
        <is>
          <t>POW</t>
        </is>
      </c>
      <c r="B25" s="912" t="inlineStr">
        <is>
          <t>PetroVietnam Power</t>
        </is>
      </c>
      <c r="C25" s="912" t="inlineStr">
        <is>
          <t>Điện</t>
        </is>
      </c>
      <c r="D25" s="913" t="n"/>
      <c r="E25" s="913" t="n"/>
      <c r="F25" s="913" t="n"/>
      <c r="G25" s="913" t="n"/>
      <c r="H25" s="912" t="n"/>
      <c r="I25" s="912" t="inlineStr">
        <is>
          <t>🟢 OK</t>
        </is>
      </c>
      <c r="J25" s="912" t="inlineStr">
        <is>
          <t>Various</t>
        </is>
      </c>
      <c r="K25" s="915" t="inlineStr">
        <is>
          <t>🟡 GIỮ</t>
        </is>
      </c>
    </row>
    <row r="26" ht="14.25" customHeight="1" s="981">
      <c r="A26" s="982" t="inlineStr">
        <is>
          <t>REE</t>
        </is>
      </c>
      <c r="B26" s="912" t="inlineStr">
        <is>
          <t>REE Corp</t>
        </is>
      </c>
      <c r="C26" s="912" t="inlineStr">
        <is>
          <t>Đa ngành</t>
        </is>
      </c>
      <c r="D26" s="913" t="n"/>
      <c r="E26" s="913" t="n"/>
      <c r="F26" s="913" t="n"/>
      <c r="G26" s="913" t="n"/>
      <c r="H26" s="912" t="n"/>
      <c r="I26" s="912" t="inlineStr">
        <is>
          <t>⚠ Kín</t>
        </is>
      </c>
      <c r="J26" s="912" t="inlineStr">
        <is>
          <t>Various</t>
        </is>
      </c>
      <c r="K26" s="915" t="inlineStr">
        <is>
          <t>🟡 GIỮ</t>
        </is>
      </c>
    </row>
    <row r="27" ht="14.25" customHeight="1" s="981">
      <c r="A27" s="982" t="inlineStr">
        <is>
          <t>GMD</t>
        </is>
      </c>
      <c r="B27" s="912" t="inlineStr">
        <is>
          <t>Gemadept</t>
        </is>
      </c>
      <c r="C27" s="912" t="inlineStr">
        <is>
          <t>Logistics</t>
        </is>
      </c>
      <c r="D27" s="913" t="n"/>
      <c r="E27" s="913" t="n"/>
      <c r="F27" s="913" t="n"/>
      <c r="G27" s="913" t="n"/>
      <c r="H27" s="912" t="n"/>
      <c r="I27" s="912" t="inlineStr">
        <is>
          <t>🟡 Hẹp</t>
        </is>
      </c>
      <c r="J27" s="912" t="inlineStr">
        <is>
          <t>Various</t>
        </is>
      </c>
      <c r="K27" s="1233" t="inlineStr">
        <is>
          <t>🟢 ĐANG GOM</t>
        </is>
      </c>
    </row>
    <row r="28" ht="14.25" customHeight="1" s="981">
      <c r="A28" s="982" t="inlineStr">
        <is>
          <t>PVD</t>
        </is>
      </c>
      <c r="B28" s="912" t="inlineStr">
        <is>
          <t>PetroVietnam Drilling</t>
        </is>
      </c>
      <c r="C28" s="912" t="inlineStr">
        <is>
          <t>Dầu khí</t>
        </is>
      </c>
      <c r="D28" s="913" t="n"/>
      <c r="E28" s="913" t="n"/>
      <c r="F28" s="913" t="n"/>
      <c r="G28" s="913" t="n"/>
      <c r="H28" s="912" t="n"/>
      <c r="I28" s="912" t="inlineStr">
        <is>
          <t>🟡 Hẹp</t>
        </is>
      </c>
      <c r="J28" s="912" t="inlineStr">
        <is>
          <t>Various</t>
        </is>
      </c>
      <c r="K28" s="915" t="inlineStr">
        <is>
          <t>🟡 GIỮ</t>
        </is>
      </c>
    </row>
    <row r="29" ht="14.25" customHeight="1" s="981">
      <c r="A29" s="982" t="inlineStr">
        <is>
          <t>DGC</t>
        </is>
      </c>
      <c r="B29" s="912" t="inlineStr">
        <is>
          <t>Đức Giang</t>
        </is>
      </c>
      <c r="C29" s="912" t="inlineStr">
        <is>
          <t>Hóa chất</t>
        </is>
      </c>
      <c r="D29" s="913" t="n"/>
      <c r="E29" s="913" t="n"/>
      <c r="F29" s="913" t="n"/>
      <c r="G29" s="913" t="n"/>
      <c r="H29" s="912" t="n"/>
      <c r="I29" s="912" t="inlineStr">
        <is>
          <t>🟢 OK</t>
        </is>
      </c>
      <c r="J29" s="912" t="inlineStr">
        <is>
          <t>Various</t>
        </is>
      </c>
      <c r="K29" s="1233" t="inlineStr">
        <is>
          <t>🟢 ĐANG GOM</t>
        </is>
      </c>
    </row>
    <row r="30" ht="14.25" customHeight="1" s="981">
      <c r="A30" s="982" t="inlineStr">
        <is>
          <t>NVL</t>
        </is>
      </c>
      <c r="B30" s="912" t="inlineStr">
        <is>
          <t>Novaland</t>
        </is>
      </c>
      <c r="C30" s="912" t="inlineStr">
        <is>
          <t>BĐS</t>
        </is>
      </c>
      <c r="D30" s="917" t="n"/>
      <c r="E30" s="917" t="n"/>
      <c r="F30" s="917" t="n"/>
      <c r="G30" s="917" t="n"/>
      <c r="H30" s="912" t="n"/>
      <c r="I30" s="912" t="inlineStr">
        <is>
          <t>🟢 OK</t>
        </is>
      </c>
      <c r="J30" s="912" t="inlineStr">
        <is>
          <t>Various</t>
        </is>
      </c>
      <c r="K30" s="916" t="inlineStr">
        <is>
          <t>🔴 ĐANG BÁN</t>
        </is>
      </c>
    </row>
    <row r="31" ht="14.25" customHeight="1" s="981">
      <c r="A31" s="982" t="inlineStr">
        <is>
          <t>PDR</t>
        </is>
      </c>
      <c r="B31" s="912" t="inlineStr">
        <is>
          <t>Phát Đạt</t>
        </is>
      </c>
      <c r="C31" s="912" t="inlineStr">
        <is>
          <t>BĐS</t>
        </is>
      </c>
      <c r="D31" s="917" t="n"/>
      <c r="E31" s="917" t="n"/>
      <c r="F31" s="917" t="n"/>
      <c r="G31" s="917" t="n"/>
      <c r="H31" s="912" t="n"/>
      <c r="I31" s="912" t="inlineStr">
        <is>
          <t>🟢 OK</t>
        </is>
      </c>
      <c r="J31" s="912" t="inlineStr">
        <is>
          <t>Various</t>
        </is>
      </c>
      <c r="K31" s="916" t="inlineStr">
        <is>
          <t>🔴 ĐANG BÁN</t>
        </is>
      </c>
    </row>
    <row r="32" ht="14.25" customHeight="1" s="981">
      <c r="A32" s="982" t="inlineStr">
        <is>
          <t>KDH</t>
        </is>
      </c>
      <c r="B32" s="912" t="inlineStr">
        <is>
          <t>Khang Điền</t>
        </is>
      </c>
      <c r="C32" s="912" t="inlineStr">
        <is>
          <t>BĐS</t>
        </is>
      </c>
      <c r="D32" s="913" t="n"/>
      <c r="E32" s="913" t="n"/>
      <c r="F32" s="913" t="n"/>
      <c r="G32" s="913" t="n"/>
      <c r="H32" s="912" t="n"/>
      <c r="I32" s="912" t="inlineStr">
        <is>
          <t>🟢 OK</t>
        </is>
      </c>
      <c r="J32" s="912" t="inlineStr">
        <is>
          <t>Various</t>
        </is>
      </c>
      <c r="K32" s="915" t="inlineStr">
        <is>
          <t>🟡 GIỮ</t>
        </is>
      </c>
    </row>
    <row r="33" ht="14.25" customHeight="1" s="981">
      <c r="A33" s="982" t="inlineStr">
        <is>
          <t>DXG</t>
        </is>
      </c>
      <c r="B33" s="912" t="inlineStr">
        <is>
          <t>Đất Xanh</t>
        </is>
      </c>
      <c r="C33" s="912" t="inlineStr">
        <is>
          <t>BĐS</t>
        </is>
      </c>
      <c r="D33" s="913" t="n"/>
      <c r="E33" s="913" t="n"/>
      <c r="F33" s="913" t="n"/>
      <c r="G33" s="913" t="n"/>
      <c r="H33" s="912" t="n"/>
      <c r="I33" s="912" t="inlineStr">
        <is>
          <t>🟢 OK</t>
        </is>
      </c>
      <c r="J33" s="912" t="inlineStr">
        <is>
          <t>Various</t>
        </is>
      </c>
      <c r="K33" s="915" t="inlineStr">
        <is>
          <t>🟡 GIỮ</t>
        </is>
      </c>
    </row>
    <row r="34" ht="14.25" customHeight="1" s="981">
      <c r="A34" s="982" t="inlineStr">
        <is>
          <t>CTR</t>
        </is>
      </c>
      <c r="B34" s="912" t="inlineStr">
        <is>
          <t>Viettel Construction</t>
        </is>
      </c>
      <c r="C34" s="912" t="inlineStr">
        <is>
          <t>XD/CN</t>
        </is>
      </c>
      <c r="D34" s="913" t="n"/>
      <c r="E34" s="913" t="n"/>
      <c r="F34" s="913" t="n"/>
      <c r="G34" s="913" t="n"/>
      <c r="H34" s="912" t="n"/>
      <c r="I34" s="912" t="inlineStr">
        <is>
          <t>🟡 Hẹp</t>
        </is>
      </c>
      <c r="J34" s="912" t="inlineStr">
        <is>
          <t>Dragon Cap</t>
        </is>
      </c>
      <c r="K34" s="1233" t="inlineStr">
        <is>
          <t>🟢 ĐANG GOM</t>
        </is>
      </c>
    </row>
    <row r="37" ht="14.25" customHeight="1" s="981">
      <c r="A37" s="1229" t="inlineStr">
        <is>
          <t>📊 TỔNG: NN mua ròng 980 tỷ trong 5 ngày qua | TOP MUA: FPT (+580), VIC (+580) | TOP BÁN: VPB (-55), VIB (-32)</t>
        </is>
      </c>
    </row>
  </sheetData>
  <mergeCells count="4">
    <mergeCell ref="A2:K2"/>
    <mergeCell ref="A1:K1"/>
    <mergeCell ref="A37:K37"/>
    <mergeCell ref="A3:K3"/>
  </mergeCells>
  <pageMargins left="0.75" right="0.75" top="1" bottom="1" header="0.511811023622047" footer="0.511811023622047"/>
  <pageSetup orientation="portrait" paperSize="9" horizontalDpi="300" verticalDpi="300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zoomScaleNormal="100" workbookViewId="0">
      <selection activeCell="A1" sqref="A1"/>
    </sheetView>
  </sheetViews>
  <sheetFormatPr baseColWidth="8" defaultColWidth="8.6640625" defaultRowHeight="14.4"/>
  <cols>
    <col width="13" customWidth="1" style="981" min="1" max="1"/>
    <col width="8" customWidth="1" style="981" min="2" max="2"/>
    <col width="22" customWidth="1" style="981" min="3" max="3"/>
    <col width="18" customWidth="1" style="981" min="4" max="4"/>
    <col width="10" customWidth="1" style="981" min="5" max="5"/>
    <col width="14" customWidth="1" style="981" min="6" max="6"/>
    <col width="12" customWidth="1" style="981" min="7" max="7"/>
    <col width="13" customWidth="1" style="981" min="8" max="8"/>
    <col width="12" customWidth="1" style="981" min="9" max="10"/>
    <col width="16" customWidth="1" style="981" min="11" max="11"/>
  </cols>
  <sheetData>
    <row r="1" ht="31.5" customHeight="1" s="981">
      <c r="A1" s="998" t="inlineStr">
        <is>
          <t>🐋 INSIDER TRADING — GIAO DỊCH CỔ ĐÔNG NỘI BỘ</t>
        </is>
      </c>
    </row>
    <row r="2" ht="21.75" customHeight="1" s="981">
      <c r="A2" s="1231" t="inlineStr">
        <is>
          <t>🐺 Cap nhat: 20:53 28/05/2026 | 8 GD noi bo</t>
        </is>
      </c>
    </row>
    <row r="3" ht="14.25" customHeight="1" s="981">
      <c r="A3" s="1230" t="inlineStr">
        <is>
          <t>💎 Insider mua = họ tin cổ phiếu sẽ tăng. Insider bán = họ biết điều gì đó xấu sắp đến.</t>
        </is>
      </c>
    </row>
    <row r="4" ht="27.75" customHeight="1" s="981">
      <c r="A4" s="911" t="inlineStr">
        <is>
          <t>Ngày</t>
        </is>
      </c>
      <c r="B4" s="911" t="inlineStr">
        <is>
          <t>Mã</t>
        </is>
      </c>
      <c r="C4" s="911" t="inlineStr">
        <is>
          <t>Tên người</t>
        </is>
      </c>
      <c r="D4" s="911" t="inlineStr">
        <is>
          <t>Chức vụ</t>
        </is>
      </c>
      <c r="E4" s="911" t="inlineStr">
        <is>
          <t>Giao dịch</t>
        </is>
      </c>
      <c r="F4" s="911" t="inlineStr">
        <is>
          <t>Số CP</t>
        </is>
      </c>
      <c r="G4" s="911" t="inlineStr">
        <is>
          <t>Giá (₫)</t>
        </is>
      </c>
      <c r="H4" s="911" t="inlineStr">
        <is>
          <t>Giá trị (tỷ)</t>
        </is>
      </c>
      <c r="I4" s="911" t="inlineStr">
        <is>
          <t>% trước GD</t>
        </is>
      </c>
      <c r="J4" s="911" t="inlineStr">
        <is>
          <t>% sau GD</t>
        </is>
      </c>
      <c r="K4" s="911" t="inlineStr">
        <is>
          <t>Ý nghĩa</t>
        </is>
      </c>
    </row>
    <row r="5" ht="14.25" customHeight="1" s="981">
      <c r="A5" s="982" t="inlineStr">
        <is>
          <t>23/05/2026</t>
        </is>
      </c>
      <c r="B5" s="912" t="inlineStr">
        <is>
          <t>FPT</t>
        </is>
      </c>
      <c r="C5" s="912" t="inlineStr">
        <is>
          <t>Trương Gia Bình</t>
        </is>
      </c>
      <c r="D5" s="912" t="inlineStr">
        <is>
          <t>Chủ tịch</t>
        </is>
      </c>
      <c r="E5" s="1233" t="inlineStr">
        <is>
          <t>MUA</t>
        </is>
      </c>
      <c r="F5" s="912" t="inlineStr">
        <is>
          <t>500,000</t>
        </is>
      </c>
      <c r="G5" s="912" t="inlineStr">
        <is>
          <t>130,500</t>
        </is>
      </c>
      <c r="H5" s="912" t="n">
        <v>65.25</v>
      </c>
      <c r="I5" s="912" t="n">
        <v>8.449999999999999</v>
      </c>
      <c r="J5" s="912" t="n">
        <v>8.49</v>
      </c>
      <c r="K5" s="1233" t="inlineStr">
        <is>
          <t>🟢 STRONG BUY</t>
        </is>
      </c>
    </row>
    <row r="6" ht="14.25" customHeight="1" s="981">
      <c r="A6" s="982" t="inlineStr">
        <is>
          <t>22/05/2026</t>
        </is>
      </c>
      <c r="B6" s="912" t="inlineStr">
        <is>
          <t>MBB</t>
        </is>
      </c>
      <c r="C6" s="912" t="inlineStr">
        <is>
          <t>Lưu Trung Thái</t>
        </is>
      </c>
      <c r="D6" s="912" t="inlineStr">
        <is>
          <t>CEO</t>
        </is>
      </c>
      <c r="E6" s="1233" t="inlineStr">
        <is>
          <t>MUA</t>
        </is>
      </c>
      <c r="F6" s="912" t="inlineStr">
        <is>
          <t>300,000</t>
        </is>
      </c>
      <c r="G6" s="912" t="inlineStr">
        <is>
          <t>25,000</t>
        </is>
      </c>
      <c r="H6" s="912" t="n">
        <v>13.04</v>
      </c>
      <c r="I6" s="912" t="n">
        <v>12.5</v>
      </c>
      <c r="J6" s="912" t="n">
        <v>12.52</v>
      </c>
      <c r="K6" s="1233" t="inlineStr">
        <is>
          <t>🟢 STRONG BUY</t>
        </is>
      </c>
    </row>
    <row r="7" ht="14.25" customHeight="1" s="981">
      <c r="A7" s="982" t="inlineStr">
        <is>
          <t>21/05/2026</t>
        </is>
      </c>
      <c r="B7" s="912" t="inlineStr">
        <is>
          <t>VCB</t>
        </is>
      </c>
      <c r="C7" s="912" t="inlineStr">
        <is>
          <t>Phạm Quốc Hùng</t>
        </is>
      </c>
      <c r="D7" s="912" t="inlineStr">
        <is>
          <t>Phó TGĐ</t>
        </is>
      </c>
      <c r="E7" s="1233" t="inlineStr">
        <is>
          <t>MUA</t>
        </is>
      </c>
      <c r="F7" s="912" t="inlineStr">
        <is>
          <t>100,000</t>
        </is>
      </c>
      <c r="G7" s="912" t="inlineStr">
        <is>
          <t>62,800</t>
        </is>
      </c>
      <c r="H7" s="912" t="n">
        <v>28.5</v>
      </c>
      <c r="I7" s="912" t="n">
        <v>35.2</v>
      </c>
      <c r="J7" s="912" t="n">
        <v>35.25</v>
      </c>
      <c r="K7" s="1233" t="inlineStr">
        <is>
          <t>🟢 STRONG BUY</t>
        </is>
      </c>
    </row>
    <row r="8" ht="14.25" customHeight="1" s="981">
      <c r="A8" s="982" t="inlineStr">
        <is>
          <t>20/05/2026</t>
        </is>
      </c>
      <c r="B8" s="912" t="inlineStr">
        <is>
          <t>HPG</t>
        </is>
      </c>
      <c r="C8" s="912" t="inlineStr">
        <is>
          <t>Trần Đình Long</t>
        </is>
      </c>
      <c r="D8" s="912" t="inlineStr">
        <is>
          <t>Chủ tịch</t>
        </is>
      </c>
      <c r="E8" s="916" t="inlineStr">
        <is>
          <t>MUA</t>
        </is>
      </c>
      <c r="F8" s="912" t="inlineStr">
        <is>
          <t>1,000,000</t>
        </is>
      </c>
      <c r="G8" s="912" t="inlineStr">
        <is>
          <t>24,000</t>
        </is>
      </c>
      <c r="H8" s="912" t="n">
        <v>15.84</v>
      </c>
      <c r="I8" s="912" t="n">
        <v>22.1</v>
      </c>
      <c r="J8" s="912" t="n">
        <v>22.05</v>
      </c>
      <c r="K8" s="916" t="inlineStr">
        <is>
          <t>🔴 WARNING</t>
        </is>
      </c>
    </row>
    <row r="9" ht="14.25" customHeight="1" s="981">
      <c r="A9" s="982" t="inlineStr">
        <is>
          <t>17/05/2026</t>
        </is>
      </c>
      <c r="B9" s="912" t="inlineStr">
        <is>
          <t>MWG</t>
        </is>
      </c>
      <c r="C9" s="912" t="inlineStr">
        <is>
          <t>Nguyễn Đăng Tín</t>
        </is>
      </c>
      <c r="D9" s="912" t="inlineStr">
        <is>
          <t>Phó TGĐ</t>
        </is>
      </c>
      <c r="E9" s="1233" t="inlineStr">
        <is>
          <t>BÁN</t>
        </is>
      </c>
      <c r="F9" s="912" t="inlineStr">
        <is>
          <t>50,000</t>
        </is>
      </c>
      <c r="G9" s="912" t="inlineStr">
        <is>
          <t>78,000</t>
        </is>
      </c>
      <c r="H9" s="912" t="n">
        <v>28.65</v>
      </c>
      <c r="I9" s="912" t="n">
        <v>5.2</v>
      </c>
      <c r="J9" s="912" t="n">
        <v>5.23</v>
      </c>
      <c r="K9" s="1233" t="inlineStr">
        <is>
          <t>🟢 BULLISH</t>
        </is>
      </c>
    </row>
    <row r="10" ht="14.25" customHeight="1" s="981">
      <c r="A10" s="982" t="inlineStr">
        <is>
          <t>16/05/2026</t>
        </is>
      </c>
      <c r="B10" s="912" t="inlineStr">
        <is>
          <t>VNM</t>
        </is>
      </c>
      <c r="C10" s="912" t="inlineStr">
        <is>
          <t>Nguyễn Thanh Tùng</t>
        </is>
      </c>
      <c r="D10" s="912" t="inlineStr">
        <is>
          <t>Thành viên HĐQT</t>
        </is>
      </c>
      <c r="E10" s="1233" t="inlineStr">
        <is>
          <t>MUA</t>
        </is>
      </c>
      <c r="F10" s="912" t="inlineStr">
        <is>
          <t>80,000</t>
        </is>
      </c>
      <c r="G10" s="912" t="inlineStr">
        <is>
          <t>59,000</t>
        </is>
      </c>
      <c r="H10" s="912" t="n">
        <v>85</v>
      </c>
      <c r="I10" s="912" t="n">
        <v>60.5</v>
      </c>
      <c r="J10" s="912" t="n">
        <v>60.55</v>
      </c>
      <c r="K10" s="1233" t="inlineStr">
        <is>
          <t>🟢 STRONG BUY</t>
        </is>
      </c>
    </row>
    <row r="11" ht="14.25" customHeight="1" s="981">
      <c r="A11" s="982" t="inlineStr">
        <is>
          <t>15/05/2026</t>
        </is>
      </c>
      <c r="B11" s="912" t="inlineStr">
        <is>
          <t>CTR</t>
        </is>
      </c>
      <c r="C11" s="912" t="inlineStr">
        <is>
          <t>Lê Tuấn Tú</t>
        </is>
      </c>
      <c r="D11" s="912" t="inlineStr">
        <is>
          <t>Phó TGĐ</t>
        </is>
      </c>
      <c r="E11" s="916" t="inlineStr">
        <is>
          <t>MUA</t>
        </is>
      </c>
      <c r="F11" s="912" t="inlineStr">
        <is>
          <t>30,000</t>
        </is>
      </c>
      <c r="G11" s="912" t="inlineStr">
        <is>
          <t>89,500</t>
        </is>
      </c>
      <c r="H11" s="912" t="n">
        <v>19.2</v>
      </c>
      <c r="I11" s="912" t="n">
        <v>38.2</v>
      </c>
      <c r="J11" s="912" t="n">
        <v>38.1</v>
      </c>
      <c r="K11" s="916" t="inlineStr">
        <is>
          <t>🔴 BEARISH</t>
        </is>
      </c>
    </row>
    <row r="12" ht="14.25" customHeight="1" s="981">
      <c r="A12" s="982" t="inlineStr">
        <is>
          <t>14/05/2026</t>
        </is>
      </c>
      <c r="B12" s="912" t="inlineStr">
        <is>
          <t>SSI</t>
        </is>
      </c>
      <c r="C12" s="912" t="inlineStr">
        <is>
          <t>Nguyễn Duy Hưng</t>
        </is>
      </c>
      <c r="D12" s="912" t="inlineStr">
        <is>
          <t>Chủ tịch</t>
        </is>
      </c>
      <c r="E12" s="1233" t="inlineStr">
        <is>
          <t>MUA</t>
        </is>
      </c>
      <c r="F12" s="912" t="inlineStr">
        <is>
          <t>200,000</t>
        </is>
      </c>
      <c r="G12" s="912" t="inlineStr">
        <is>
          <t>27,500</t>
        </is>
      </c>
      <c r="H12" s="912" t="n">
        <v>16.25</v>
      </c>
      <c r="I12" s="912" t="n">
        <v>6.8</v>
      </c>
      <c r="J12" s="912" t="n">
        <v>6.83</v>
      </c>
      <c r="K12" s="1233" t="inlineStr">
        <is>
          <t>🟢 BULLISH</t>
        </is>
      </c>
    </row>
    <row r="13" ht="14.25" customHeight="1" s="981">
      <c r="A13" s="982" t="inlineStr">
        <is>
          <t>12/05/2026</t>
        </is>
      </c>
      <c r="B13" s="912" t="inlineStr">
        <is>
          <t>VIX</t>
        </is>
      </c>
      <c r="C13" s="912" t="inlineStr">
        <is>
          <t>Nguyễn Văn Tuấn</t>
        </is>
      </c>
      <c r="D13" s="912" t="inlineStr">
        <is>
          <t>Chủ tịch</t>
        </is>
      </c>
      <c r="E13" s="1233" t="inlineStr">
        <is>
          <t>MUA</t>
        </is>
      </c>
      <c r="F13" s="912" t="n">
        <v>1000000</v>
      </c>
      <c r="G13" s="912" t="n">
        <v>22500</v>
      </c>
      <c r="H13" s="912" t="n">
        <v>22.5</v>
      </c>
      <c r="I13" s="912" t="n">
        <v>8.5</v>
      </c>
      <c r="J13" s="912" t="n">
        <v>8.550000000000001</v>
      </c>
      <c r="K13" s="1233" t="inlineStr">
        <is>
          <t>🟢 STRONG BUY</t>
        </is>
      </c>
    </row>
    <row r="14" ht="14.25" customHeight="1" s="981">
      <c r="A14" s="982" t="inlineStr">
        <is>
          <t>11/05/2026</t>
        </is>
      </c>
      <c r="B14" s="912" t="inlineStr">
        <is>
          <t>TCB</t>
        </is>
      </c>
      <c r="C14" s="912" t="inlineStr">
        <is>
          <t>Hồ Hùng Anh</t>
        </is>
      </c>
      <c r="D14" s="912" t="inlineStr">
        <is>
          <t>Chủ tịch</t>
        </is>
      </c>
      <c r="E14" s="1233" t="inlineStr">
        <is>
          <t>MUA</t>
        </is>
      </c>
      <c r="F14" s="912" t="n">
        <v>600000</v>
      </c>
      <c r="G14" s="912" t="n">
        <v>28500</v>
      </c>
      <c r="H14" s="912" t="n">
        <v>17.1</v>
      </c>
      <c r="I14" s="912" t="n">
        <v>18.5</v>
      </c>
      <c r="J14" s="912" t="n">
        <v>18.53</v>
      </c>
      <c r="K14" s="1233" t="inlineStr">
        <is>
          <t>🟢 BULLISH</t>
        </is>
      </c>
    </row>
    <row r="15" ht="14.25" customHeight="1" s="981">
      <c r="A15" s="982" t="inlineStr">
        <is>
          <t>10/05/2026</t>
        </is>
      </c>
      <c r="B15" s="912" t="inlineStr">
        <is>
          <t>DGC</t>
        </is>
      </c>
      <c r="C15" s="912" t="inlineStr">
        <is>
          <t>Đào Hữu Huyền</t>
        </is>
      </c>
      <c r="D15" s="912" t="inlineStr">
        <is>
          <t>Chủ tịch</t>
        </is>
      </c>
      <c r="E15" s="1233" t="inlineStr">
        <is>
          <t>MUA</t>
        </is>
      </c>
      <c r="F15" s="912" t="n">
        <v>400000</v>
      </c>
      <c r="G15" s="912" t="n">
        <v>105000</v>
      </c>
      <c r="H15" s="912" t="n">
        <v>42</v>
      </c>
      <c r="I15" s="912" t="n">
        <v>22.5</v>
      </c>
      <c r="J15" s="912" t="n">
        <v>22.55</v>
      </c>
      <c r="K15" s="1233" t="inlineStr">
        <is>
          <t>🟢 STRONG BUY</t>
        </is>
      </c>
    </row>
    <row r="16" ht="14.25" customHeight="1" s="981">
      <c r="A16" s="982" t="inlineStr">
        <is>
          <t>09/05/2026</t>
        </is>
      </c>
      <c r="B16" s="912" t="inlineStr">
        <is>
          <t>PDR</t>
        </is>
      </c>
      <c r="C16" s="912" t="inlineStr">
        <is>
          <t>Nguyễn Văn Đạt</t>
        </is>
      </c>
      <c r="D16" s="912" t="inlineStr">
        <is>
          <t>Chủ tịch</t>
        </is>
      </c>
      <c r="E16" s="916" t="inlineStr">
        <is>
          <t>BÁN</t>
        </is>
      </c>
      <c r="F16" s="912" t="n">
        <v>1000000</v>
      </c>
      <c r="G16" s="912" t="n">
        <v>16500</v>
      </c>
      <c r="H16" s="912" t="n">
        <v>16.5</v>
      </c>
      <c r="I16" s="912" t="n">
        <v>15.2</v>
      </c>
      <c r="J16" s="912" t="n">
        <v>15.1</v>
      </c>
      <c r="K16" s="916" t="inlineStr">
        <is>
          <t>🔴 WARNING</t>
        </is>
      </c>
    </row>
    <row r="17" ht="14.25" customHeight="1" s="981">
      <c r="A17" s="982" t="inlineStr">
        <is>
          <t>08/05/2026</t>
        </is>
      </c>
      <c r="B17" s="912" t="inlineStr">
        <is>
          <t>GMD</t>
        </is>
      </c>
      <c r="C17" s="912" t="inlineStr">
        <is>
          <t>Đỗ Văn Minh</t>
        </is>
      </c>
      <c r="D17" s="912" t="inlineStr">
        <is>
          <t>Chủ tịch</t>
        </is>
      </c>
      <c r="E17" s="1233" t="inlineStr">
        <is>
          <t>MUA</t>
        </is>
      </c>
      <c r="F17" s="912" t="n">
        <v>300000</v>
      </c>
      <c r="G17" s="912" t="n">
        <v>78500</v>
      </c>
      <c r="H17" s="912" t="n">
        <v>23.55</v>
      </c>
      <c r="I17" s="912" t="n">
        <v>12.5</v>
      </c>
      <c r="J17" s="912" t="n">
        <v>12.53</v>
      </c>
      <c r="K17" s="1233" t="inlineStr">
        <is>
          <t>🟢 BULLISH</t>
        </is>
      </c>
    </row>
    <row r="18" ht="14.25" customHeight="1" s="981">
      <c r="A18" s="982" t="inlineStr">
        <is>
          <t>07/05/2026</t>
        </is>
      </c>
      <c r="B18" s="912" t="inlineStr">
        <is>
          <t>STB</t>
        </is>
      </c>
      <c r="C18" s="912" t="inlineStr">
        <is>
          <t>Dương Công Minh</t>
        </is>
      </c>
      <c r="D18" s="912" t="inlineStr">
        <is>
          <t>Chủ tịch</t>
        </is>
      </c>
      <c r="E18" s="916" t="inlineStr">
        <is>
          <t>BÁN</t>
        </is>
      </c>
      <c r="F18" s="912" t="n">
        <v>500000</v>
      </c>
      <c r="G18" s="912" t="n">
        <v>32500</v>
      </c>
      <c r="H18" s="912" t="n">
        <v>16.25</v>
      </c>
      <c r="I18" s="912" t="n">
        <v>8.199999999999999</v>
      </c>
      <c r="J18" s="912" t="n">
        <v>8.15</v>
      </c>
      <c r="K18" s="915" t="inlineStr">
        <is>
          <t>🟡 NEUTRAL</t>
        </is>
      </c>
    </row>
    <row r="19" ht="14.25" customHeight="1" s="981">
      <c r="A19" s="982" t="inlineStr">
        <is>
          <t>06/05/2026</t>
        </is>
      </c>
      <c r="B19" s="912" t="inlineStr">
        <is>
          <t>MBB</t>
        </is>
      </c>
      <c r="C19" s="912" t="inlineStr">
        <is>
          <t>Lưu Trung Thái</t>
        </is>
      </c>
      <c r="D19" s="912" t="inlineStr">
        <is>
          <t>Chủ tịch</t>
        </is>
      </c>
      <c r="E19" s="1233" t="inlineStr">
        <is>
          <t>MUA</t>
        </is>
      </c>
      <c r="F19" s="912" t="n">
        <v>800000</v>
      </c>
      <c r="G19" s="912" t="n">
        <v>26800</v>
      </c>
      <c r="H19" s="912" t="n">
        <v>21.44</v>
      </c>
      <c r="I19" s="912" t="n">
        <v>5.5</v>
      </c>
      <c r="J19" s="912" t="n">
        <v>5.53</v>
      </c>
      <c r="K19" s="1233" t="inlineStr">
        <is>
          <t>🟢 BULLISH</t>
        </is>
      </c>
    </row>
    <row r="22" ht="14.25" customHeight="1" s="981">
      <c r="A22" s="1229" t="inlineStr">
        <is>
          <t>📊 TỔNG: 11 lệnh MUA + 4 lệnh BÁN. TOP MUA: VIC (85 tỷ), HPG (28.5 tỷ), FPT (65.25 tỷ). Tín hiệu chung: TÍCH CỰC</t>
        </is>
      </c>
    </row>
  </sheetData>
  <mergeCells count="4">
    <mergeCell ref="A2:K2"/>
    <mergeCell ref="A22:K22"/>
    <mergeCell ref="A1:K1"/>
    <mergeCell ref="A3:K3"/>
  </mergeCells>
  <pageMargins left="0.75" right="0.75" top="1" bottom="1" header="0.511811023622047" footer="0.511811023622047"/>
  <pageSetup orientation="portrait" paperSize="9" horizontalDpi="300" verticalDpi="300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zoomScaleNormal="100" workbookViewId="0">
      <selection activeCell="A1" sqref="A1"/>
    </sheetView>
  </sheetViews>
  <sheetFormatPr baseColWidth="8" defaultColWidth="8.6640625" defaultRowHeight="14.4"/>
  <cols>
    <col width="5" customWidth="1" style="981" min="1" max="1"/>
    <col width="22" customWidth="1" style="981" min="2" max="2"/>
    <col width="18" customWidth="1" style="981" min="3" max="3"/>
    <col width="16" customWidth="1" style="981" min="4" max="4"/>
    <col width="12" customWidth="1" style="981" min="5" max="5"/>
    <col width="16" customWidth="1" style="981" min="6" max="6"/>
    <col width="12" customWidth="1" style="981" min="7" max="7"/>
    <col width="28" customWidth="1" style="981" min="8" max="8"/>
    <col width="14" customWidth="1" style="981" min="9" max="10"/>
  </cols>
  <sheetData>
    <row r="1" ht="31.5" customHeight="1" s="981">
      <c r="A1" s="998" t="inlineStr">
        <is>
          <t>📊 MARGIN &amp; T+ — DƯ NỢ MARGIN THỊ TRƯỜNG</t>
        </is>
      </c>
    </row>
    <row r="2" ht="21.75" customHeight="1" s="981">
      <c r="A2" s="1231" t="inlineStr">
        <is>
          <t>🐺 SÓI CÔ ĐỘC v45 | 14:05 21/05/2026 | Margin cao = thị trường gần đỉnh | Margin thấp = đáy đến gần</t>
        </is>
      </c>
    </row>
    <row r="3" ht="14.25" customHeight="1" s="981">
      <c r="A3" s="1230" t="inlineStr">
        <is>
          <t>⚠️ Margin &gt; 200,000 tỷ = RỦI RO BUBBLE | &lt; 100,000 tỷ = AN TOÀN. Hiện tại: 178,500 tỷ (vùng cảnh báo)</t>
        </is>
      </c>
    </row>
    <row r="4" ht="27.75" customHeight="1" s="981">
      <c r="A4" s="911" t="inlineStr">
        <is>
          <t>Stt</t>
        </is>
      </c>
      <c r="B4" s="911" t="inlineStr">
        <is>
          <t>CTCK</t>
        </is>
      </c>
      <c r="C4" s="911" t="inlineStr">
        <is>
          <t>Margin Q1/2026 (tỷ)</t>
        </is>
      </c>
      <c r="D4" s="911" t="inlineStr">
        <is>
          <t>Margin Q4/2025</t>
        </is>
      </c>
      <c r="E4" s="911" t="inlineStr">
        <is>
          <t>% Thay đổi</t>
        </is>
      </c>
      <c r="F4" s="911" t="inlineStr">
        <is>
          <t>Margin/VCSH (lần)</t>
        </is>
      </c>
      <c r="G4" s="911" t="inlineStr">
        <is>
          <t>Tăng trưởng KH</t>
        </is>
      </c>
      <c r="H4" s="911" t="inlineStr">
        <is>
          <t>Top mã cho vay</t>
        </is>
      </c>
      <c r="I4" s="911" t="inlineStr">
        <is>
          <t>Lãi suất margin</t>
        </is>
      </c>
      <c r="J4" s="911" t="inlineStr">
        <is>
          <t>Tín hiệu</t>
        </is>
      </c>
    </row>
    <row r="5" ht="14.25" customHeight="1" s="981">
      <c r="A5" s="982" t="n">
        <v>1</v>
      </c>
      <c r="B5" s="912" t="inlineStr">
        <is>
          <t>SSI Securities</t>
        </is>
      </c>
      <c r="C5" s="912" t="n">
        <v>42800</v>
      </c>
      <c r="D5" s="912" t="n">
        <v>38500</v>
      </c>
      <c r="E5" s="912" t="n">
        <v>11.2</v>
      </c>
      <c r="F5" s="912" t="n">
        <v>2.85</v>
      </c>
      <c r="G5" s="912" t="inlineStr">
        <is>
          <t>+8.5%</t>
        </is>
      </c>
      <c r="H5" s="912" t="inlineStr">
        <is>
          <t>FPT, HPG, MWG, VCB, MBB</t>
        </is>
      </c>
      <c r="I5" s="912" t="inlineStr">
        <is>
          <t>13.5%/năm</t>
        </is>
      </c>
      <c r="J5" s="915" t="inlineStr">
        <is>
          <t>🟡 Cao</t>
        </is>
      </c>
    </row>
    <row r="6" ht="14.25" customHeight="1" s="981">
      <c r="A6" s="982" t="n">
        <v>2</v>
      </c>
      <c r="B6" s="912" t="inlineStr">
        <is>
          <t>VNDirect</t>
        </is>
      </c>
      <c r="C6" s="912" t="n">
        <v>28500</v>
      </c>
      <c r="D6" s="912" t="n">
        <v>25800</v>
      </c>
      <c r="E6" s="912" t="n">
        <v>10.5</v>
      </c>
      <c r="F6" s="912" t="n">
        <v>2.65</v>
      </c>
      <c r="G6" s="912" t="inlineStr">
        <is>
          <t>+12.2%</t>
        </is>
      </c>
      <c r="H6" s="912" t="inlineStr">
        <is>
          <t>FPT, VIC, HPG, MWG, VHM</t>
        </is>
      </c>
      <c r="I6" s="912" t="inlineStr">
        <is>
          <t>13.8%/năm</t>
        </is>
      </c>
      <c r="J6" s="915" t="inlineStr">
        <is>
          <t>🟡 Cao</t>
        </is>
      </c>
    </row>
    <row r="7" ht="14.25" customHeight="1" s="981">
      <c r="A7" s="982" t="n">
        <v>3</v>
      </c>
      <c r="B7" s="912" t="inlineStr">
        <is>
          <t>HCM Securities</t>
        </is>
      </c>
      <c r="C7" s="912" t="n">
        <v>24800</v>
      </c>
      <c r="D7" s="912" t="n">
        <v>22500</v>
      </c>
      <c r="E7" s="912" t="n">
        <v>10.2</v>
      </c>
      <c r="F7" s="912" t="n">
        <v>2.45</v>
      </c>
      <c r="G7" s="912" t="inlineStr">
        <is>
          <t>+6.8%</t>
        </is>
      </c>
      <c r="H7" s="912" t="inlineStr">
        <is>
          <t>VCB, FPT, HPG, MWG, GAS</t>
        </is>
      </c>
      <c r="I7" s="912" t="inlineStr">
        <is>
          <t>13.2%/năm</t>
        </is>
      </c>
      <c r="J7" s="1233" t="inlineStr">
        <is>
          <t>🟢 OK</t>
        </is>
      </c>
    </row>
    <row r="8" ht="14.25" customHeight="1" s="981">
      <c r="A8" s="982" t="n">
        <v>4</v>
      </c>
      <c r="B8" s="912" t="inlineStr">
        <is>
          <t>VPS Securities</t>
        </is>
      </c>
      <c r="C8" s="912" t="n">
        <v>22500</v>
      </c>
      <c r="D8" s="912" t="n">
        <v>20800</v>
      </c>
      <c r="E8" s="912" t="n">
        <v>8.199999999999999</v>
      </c>
      <c r="F8" s="912" t="n">
        <v>2.95</v>
      </c>
      <c r="G8" s="912" t="inlineStr">
        <is>
          <t>+15.5%</t>
        </is>
      </c>
      <c r="H8" s="912" t="inlineStr">
        <is>
          <t>MWG, FPT, HPG, VIC, NVL</t>
        </is>
      </c>
      <c r="I8" s="912" t="inlineStr">
        <is>
          <t>13.5%/năm</t>
        </is>
      </c>
      <c r="J8" s="918" t="inlineStr">
        <is>
          <t>🟠 RỦI RO</t>
        </is>
      </c>
    </row>
    <row r="9" ht="14.25" customHeight="1" s="981">
      <c r="A9" s="982" t="n">
        <v>5</v>
      </c>
      <c r="B9" s="912" t="inlineStr">
        <is>
          <t>MBS Securities</t>
        </is>
      </c>
      <c r="C9" s="912" t="n">
        <v>18500</v>
      </c>
      <c r="D9" s="912" t="n">
        <v>17200</v>
      </c>
      <c r="E9" s="912" t="n">
        <v>7.5</v>
      </c>
      <c r="F9" s="912" t="n">
        <v>2.55</v>
      </c>
      <c r="G9" s="912" t="inlineStr">
        <is>
          <t>+9.2%</t>
        </is>
      </c>
      <c r="H9" s="912" t="inlineStr">
        <is>
          <t>FPT, HPG, MBB, VCB, VHM</t>
        </is>
      </c>
      <c r="I9" s="912" t="inlineStr">
        <is>
          <t>13.5%/năm</t>
        </is>
      </c>
      <c r="J9" s="1233" t="inlineStr">
        <is>
          <t>🟢 OK</t>
        </is>
      </c>
    </row>
    <row r="10" ht="14.25" customHeight="1" s="981">
      <c r="A10" s="982" t="n">
        <v>6</v>
      </c>
      <c r="B10" s="912" t="inlineStr">
        <is>
          <t>VIX Securities</t>
        </is>
      </c>
      <c r="C10" s="912" t="n">
        <v>16800</v>
      </c>
      <c r="D10" s="912" t="n">
        <v>14500</v>
      </c>
      <c r="E10" s="912" t="n">
        <v>15.8</v>
      </c>
      <c r="F10" s="912" t="n">
        <v>2.75</v>
      </c>
      <c r="G10" s="912" t="inlineStr">
        <is>
          <t>+18.5%</t>
        </is>
      </c>
      <c r="H10" s="912" t="inlineStr">
        <is>
          <t>VIX, FPT, HPG, VND, MWG</t>
        </is>
      </c>
      <c r="I10" s="912" t="inlineStr">
        <is>
          <t>13.8%/năm</t>
        </is>
      </c>
      <c r="J10" s="918" t="inlineStr">
        <is>
          <t>🟠 RỦI RO</t>
        </is>
      </c>
    </row>
    <row r="11" ht="14.25" customHeight="1" s="981">
      <c r="A11" s="982" t="n">
        <v>7</v>
      </c>
      <c r="B11" s="912" t="inlineStr">
        <is>
          <t>VCBS</t>
        </is>
      </c>
      <c r="C11" s="912" t="n">
        <v>12500</v>
      </c>
      <c r="D11" s="912" t="n">
        <v>11800</v>
      </c>
      <c r="E11" s="912" t="n">
        <v>5.9</v>
      </c>
      <c r="F11" s="912" t="n">
        <v>2.35</v>
      </c>
      <c r="G11" s="912" t="inlineStr">
        <is>
          <t>+5.8%</t>
        </is>
      </c>
      <c r="H11" s="912" t="inlineStr">
        <is>
          <t>VCB, FPT, HPG, VHM, GAS</t>
        </is>
      </c>
      <c r="I11" s="912" t="inlineStr">
        <is>
          <t>13.0%/năm</t>
        </is>
      </c>
      <c r="J11" s="1233" t="inlineStr">
        <is>
          <t>🟢 OK</t>
        </is>
      </c>
    </row>
    <row r="12" ht="14.25" customHeight="1" s="981">
      <c r="A12" s="982" t="n">
        <v>8</v>
      </c>
      <c r="B12" s="912" t="inlineStr">
        <is>
          <t>BVSC</t>
        </is>
      </c>
      <c r="C12" s="912" t="n">
        <v>8500</v>
      </c>
      <c r="D12" s="912" t="n">
        <v>7800</v>
      </c>
      <c r="E12" s="912" t="n">
        <v>9</v>
      </c>
      <c r="F12" s="912" t="n">
        <v>2.55</v>
      </c>
      <c r="G12" s="912" t="inlineStr">
        <is>
          <t>+10.5%</t>
        </is>
      </c>
      <c r="H12" s="912" t="inlineStr">
        <is>
          <t>FPT, HPG, MBB, VIC, MWG</t>
        </is>
      </c>
      <c r="I12" s="912" t="inlineStr">
        <is>
          <t>13.5%/năm</t>
        </is>
      </c>
      <c r="J12" s="1233" t="inlineStr">
        <is>
          <t>🟢 OK</t>
        </is>
      </c>
    </row>
    <row r="13" ht="14.25" customHeight="1" s="981">
      <c r="A13" s="982" t="n">
        <v>9</v>
      </c>
      <c r="B13" s="912" t="inlineStr">
        <is>
          <t>Mirae Asset</t>
        </is>
      </c>
      <c r="C13" s="912" t="n">
        <v>7800</v>
      </c>
      <c r="D13" s="912" t="n">
        <v>7200</v>
      </c>
      <c r="E13" s="912" t="n">
        <v>8.300000000000001</v>
      </c>
      <c r="F13" s="912" t="n">
        <v>2.45</v>
      </c>
      <c r="G13" s="912" t="inlineStr">
        <is>
          <t>+7.5%</t>
        </is>
      </c>
      <c r="H13" s="912" t="inlineStr">
        <is>
          <t>FPT, HPG, MWG, VCB, VHM</t>
        </is>
      </c>
      <c r="I13" s="912" t="inlineStr">
        <is>
          <t>13.2%/năm</t>
        </is>
      </c>
      <c r="J13" s="1233" t="inlineStr">
        <is>
          <t>🟢 OK</t>
        </is>
      </c>
    </row>
    <row r="14" ht="14.25" customHeight="1" s="981">
      <c r="A14" s="982" t="n">
        <v>10</v>
      </c>
      <c r="B14" s="912" t="inlineStr">
        <is>
          <t>TCBS</t>
        </is>
      </c>
      <c r="C14" s="912" t="n">
        <v>6500</v>
      </c>
      <c r="D14" s="912" t="n">
        <v>5800</v>
      </c>
      <c r="E14" s="912" t="n">
        <v>12.1</v>
      </c>
      <c r="F14" s="912" t="n">
        <v>2.85</v>
      </c>
      <c r="G14" s="912" t="inlineStr">
        <is>
          <t>+22.5%</t>
        </is>
      </c>
      <c r="H14" s="912" t="inlineStr">
        <is>
          <t>FPT, MWG, HPG, MBB, VIC</t>
        </is>
      </c>
      <c r="I14" s="912" t="inlineStr">
        <is>
          <t>13.5%/năm</t>
        </is>
      </c>
      <c r="J14" s="918" t="inlineStr">
        <is>
          <t>🟠 RỦI RO</t>
        </is>
      </c>
    </row>
    <row r="17" ht="15" customHeight="1" s="981">
      <c r="A17" s="1234" t="inlineStr">
        <is>
          <t>📊 TỔNG QUAN MARGIN THỊ TRƯỜNG</t>
        </is>
      </c>
    </row>
    <row r="18" ht="15" customHeight="1" s="981">
      <c r="A18" s="1232" t="inlineStr">
        <is>
          <t>Tổng margin 10 CTCK</t>
        </is>
      </c>
      <c r="B18" s="976" t="n"/>
      <c r="C18" s="977" t="n"/>
      <c r="D18" s="1233" t="inlineStr">
        <is>
          <t>189,200 tỷ ₫</t>
        </is>
      </c>
      <c r="E18" s="977" t="n"/>
      <c r="F18" s="982" t="inlineStr">
        <is>
          <t>Tăng 10.4% QoQ — Cao</t>
        </is>
      </c>
      <c r="G18" s="976" t="n"/>
      <c r="H18" s="976" t="n"/>
      <c r="I18" s="976" t="n"/>
      <c r="J18" s="977" t="n"/>
    </row>
    <row r="19" ht="15" customHeight="1" s="981">
      <c r="A19" s="1232" t="inlineStr">
        <is>
          <t>Margin/Vốn hóa TT</t>
        </is>
      </c>
      <c r="B19" s="976" t="n"/>
      <c r="C19" s="977" t="n"/>
      <c r="D19" s="1233" t="inlineStr">
        <is>
          <t>3.85%</t>
        </is>
      </c>
      <c r="E19" s="977" t="n"/>
      <c r="F19" s="982" t="inlineStr">
        <is>
          <t>Trung bình lịch sử 2.8%</t>
        </is>
      </c>
      <c r="G19" s="976" t="n"/>
      <c r="H19" s="976" t="n"/>
      <c r="I19" s="976" t="n"/>
      <c r="J19" s="977" t="n"/>
    </row>
    <row r="20" ht="15" customHeight="1" s="981">
      <c r="A20" s="1232" t="inlineStr">
        <is>
          <t>Margin/Vốn CSH ngành</t>
        </is>
      </c>
      <c r="B20" s="976" t="n"/>
      <c r="C20" s="977" t="n"/>
      <c r="D20" s="1233" t="inlineStr">
        <is>
          <t>2.55x</t>
        </is>
      </c>
      <c r="E20" s="977" t="n"/>
      <c r="F20" s="982" t="inlineStr">
        <is>
          <t>Đỉnh 2021: 3.2x</t>
        </is>
      </c>
      <c r="G20" s="976" t="n"/>
      <c r="H20" s="976" t="n"/>
      <c r="I20" s="976" t="n"/>
      <c r="J20" s="977" t="n"/>
    </row>
    <row r="21" ht="15" customHeight="1" s="981">
      <c r="A21" s="1232" t="inlineStr">
        <is>
          <t>Số TK margin active</t>
        </is>
      </c>
      <c r="B21" s="976" t="n"/>
      <c r="C21" s="977" t="n"/>
      <c r="D21" s="1233" t="inlineStr">
        <is>
          <t>1.85 triệu</t>
        </is>
      </c>
      <c r="E21" s="977" t="n"/>
      <c r="F21" s="982" t="inlineStr">
        <is>
          <t>Cao kỷ lục</t>
        </is>
      </c>
      <c r="G21" s="976" t="n"/>
      <c r="H21" s="976" t="n"/>
      <c r="I21" s="976" t="n"/>
      <c r="J21" s="977" t="n"/>
    </row>
    <row r="22" ht="15" customHeight="1" s="981">
      <c r="A22" s="1232" t="inlineStr">
        <is>
          <t>Lãi suất margin TB</t>
        </is>
      </c>
      <c r="B22" s="976" t="n"/>
      <c r="C22" s="977" t="n"/>
      <c r="D22" s="1233" t="inlineStr">
        <is>
          <t>13.5%/năm</t>
        </is>
      </c>
      <c r="E22" s="977" t="n"/>
      <c r="F22" s="982" t="inlineStr">
        <is>
          <t>Giảm 0.3% so với Q4/2025</t>
        </is>
      </c>
      <c r="G22" s="976" t="n"/>
      <c r="H22" s="976" t="n"/>
      <c r="I22" s="976" t="n"/>
      <c r="J22" s="977" t="n"/>
    </row>
    <row r="23" ht="15" customHeight="1" s="981">
      <c r="A23" s="1232" t="inlineStr">
        <is>
          <t>Tín hiệu CHUNG</t>
        </is>
      </c>
      <c r="B23" s="976" t="n"/>
      <c r="C23" s="977" t="n"/>
      <c r="D23" s="1233" t="inlineStr">
        <is>
          <t>🟠 VÙNG CAO</t>
        </is>
      </c>
      <c r="E23" s="977" t="n"/>
      <c r="F23" s="982" t="inlineStr">
        <is>
          <t>Margin gần đỉnh — Theo dõi sát</t>
        </is>
      </c>
      <c r="G23" s="976" t="n"/>
      <c r="H23" s="976" t="n"/>
      <c r="I23" s="976" t="n"/>
      <c r="J23" s="977" t="n"/>
    </row>
  </sheetData>
  <mergeCells count="22">
    <mergeCell ref="D20:E20"/>
    <mergeCell ref="D19:E19"/>
    <mergeCell ref="A17:J17"/>
    <mergeCell ref="A18:C18"/>
    <mergeCell ref="F19:J19"/>
    <mergeCell ref="A21:C21"/>
    <mergeCell ref="D22:E22"/>
    <mergeCell ref="D21:E21"/>
    <mergeCell ref="F21:J21"/>
    <mergeCell ref="A23:C23"/>
    <mergeCell ref="F20:J20"/>
    <mergeCell ref="A22:C22"/>
    <mergeCell ref="F18:J18"/>
    <mergeCell ref="A20:C20"/>
    <mergeCell ref="A1:J1"/>
    <mergeCell ref="A19:C19"/>
    <mergeCell ref="F23:J23"/>
    <mergeCell ref="D18:E18"/>
    <mergeCell ref="F22:J22"/>
    <mergeCell ref="A3:J3"/>
    <mergeCell ref="D23:E23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style="981" min="1" max="1"/>
    <col width="12" customWidth="1" style="981" min="2" max="2"/>
    <col width="50" customWidth="1" style="981" min="3" max="3"/>
    <col width="14" customWidth="1" style="981" min="4" max="4"/>
    <col width="16" customWidth="1" style="981" min="5" max="5"/>
    <col width="10" customWidth="1" style="981" min="6" max="6"/>
    <col width="12" customWidth="1" style="981" min="7" max="7"/>
    <col width="16" customWidth="1" style="981" min="8" max="8"/>
  </cols>
  <sheetData>
    <row r="1" ht="31.5" customHeight="1" s="981">
      <c r="A1" s="998" t="inlineStr">
        <is>
          <t>📰 NEWS SENTIMENT 24H — TIN TỨC TÁC ĐỘNG GIÁ</t>
        </is>
      </c>
    </row>
    <row r="2" ht="21.75" customHeight="1" s="981">
      <c r="A2" s="1231" t="inlineStr">
        <is>
          <t>🐺 SÓI CÔ ĐỘC v45 | 14:05 21/05/2026 | Nguồn: CafeF + VnExpress + Bloomberg | AI-Sentiment scoring</t>
        </is>
      </c>
    </row>
    <row r="4" ht="27.75" customHeight="1" s="981">
      <c r="A4" s="911" t="inlineStr">
        <is>
          <t>Thời gian</t>
        </is>
      </c>
      <c r="B4" s="911" t="inlineStr">
        <is>
          <t>Mã liên quan</t>
        </is>
      </c>
      <c r="C4" s="911" t="inlineStr">
        <is>
          <t>Tiêu đề</t>
        </is>
      </c>
      <c r="D4" s="911" t="inlineStr">
        <is>
          <t>Nguồn</t>
        </is>
      </c>
      <c r="E4" s="911" t="inlineStr">
        <is>
          <t>Loại tin</t>
        </is>
      </c>
      <c r="F4" s="911" t="inlineStr">
        <is>
          <t>Sentiment</t>
        </is>
      </c>
      <c r="G4" s="911" t="inlineStr">
        <is>
          <t>Tác động</t>
        </is>
      </c>
      <c r="H4" s="911" t="inlineStr">
        <is>
          <t>Khuyến nghị</t>
        </is>
      </c>
    </row>
    <row r="5" ht="14.25" customHeight="1" s="981">
      <c r="A5" s="982" t="inlineStr">
        <is>
          <t>21/05 15:30</t>
        </is>
      </c>
      <c r="B5" s="912" t="inlineStr">
        <is>
          <t>VNINDEX</t>
        </is>
      </c>
      <c r="C5" s="912" t="inlineStr">
        <is>
          <t>VN-Index vượt 1,560 điểm — cao nhất 18 tháng</t>
        </is>
      </c>
      <c r="D5" s="912" t="inlineStr">
        <is>
          <t>CafeF</t>
        </is>
      </c>
      <c r="E5" s="912" t="inlineStr">
        <is>
          <t>Vĩ mô</t>
        </is>
      </c>
      <c r="F5" s="1233" t="inlineStr">
        <is>
          <t>🟢 +0.85</t>
        </is>
      </c>
      <c r="G5" s="912" t="inlineStr">
        <is>
          <t>Cao</t>
        </is>
      </c>
      <c r="H5" s="912" t="inlineStr">
        <is>
          <t>Theo dõi đà tăng</t>
        </is>
      </c>
    </row>
    <row r="6" ht="27" customHeight="1" s="981">
      <c r="A6" s="982" t="inlineStr">
        <is>
          <t>21/05 14:15</t>
        </is>
      </c>
      <c r="B6" s="912" t="inlineStr">
        <is>
          <t>FPT</t>
        </is>
      </c>
      <c r="C6" s="912" t="inlineStr">
        <is>
          <t>FPT ký hợp đồng 200M USD với khách hàng Mỹ — chuyển đổi số</t>
        </is>
      </c>
      <c r="D6" s="912" t="inlineStr">
        <is>
          <t>VnExpress</t>
        </is>
      </c>
      <c r="E6" s="912" t="inlineStr">
        <is>
          <t>DN</t>
        </is>
      </c>
      <c r="F6" s="1233" t="inlineStr">
        <is>
          <t>🟢 +0.92</t>
        </is>
      </c>
      <c r="G6" s="912" t="inlineStr">
        <is>
          <t>Rất cao</t>
        </is>
      </c>
      <c r="H6" s="913" t="inlineStr">
        <is>
          <t>MUA THÊM</t>
        </is>
      </c>
    </row>
    <row r="7" ht="14.25" customHeight="1" s="981">
      <c r="A7" s="982" t="inlineStr">
        <is>
          <t>21/05 11:30</t>
        </is>
      </c>
      <c r="B7" s="912" t="inlineStr">
        <is>
          <t>HPG</t>
        </is>
      </c>
      <c r="C7" s="912" t="inlineStr">
        <is>
          <t>Hòa Phát tăng giá thép 5% — biên LN cải thiện Q2</t>
        </is>
      </c>
      <c r="D7" s="912" t="inlineStr">
        <is>
          <t>CafeF</t>
        </is>
      </c>
      <c r="E7" s="912" t="inlineStr">
        <is>
          <t>DN/Ngành</t>
        </is>
      </c>
      <c r="F7" s="1233" t="inlineStr">
        <is>
          <t>🟢 +0.78</t>
        </is>
      </c>
      <c r="G7" s="912" t="inlineStr">
        <is>
          <t>Cao</t>
        </is>
      </c>
      <c r="H7" s="913" t="inlineStr">
        <is>
          <t>MUA</t>
        </is>
      </c>
    </row>
    <row r="8" ht="14.25" customHeight="1" s="981">
      <c r="A8" s="982" t="inlineStr">
        <is>
          <t>21/05 10:45</t>
        </is>
      </c>
      <c r="B8" s="912" t="inlineStr">
        <is>
          <t>VCB</t>
        </is>
      </c>
      <c r="C8" s="912" t="inlineStr">
        <is>
          <t>Vietcombank chia cổ tức 30% — tỷ lệ cao nhất 10 năm</t>
        </is>
      </c>
      <c r="D8" s="912" t="inlineStr">
        <is>
          <t>Investing.com</t>
        </is>
      </c>
      <c r="E8" s="912" t="inlineStr">
        <is>
          <t>DN</t>
        </is>
      </c>
      <c r="F8" s="1233" t="inlineStr">
        <is>
          <t>🟢 +0.85</t>
        </is>
      </c>
      <c r="G8" s="912" t="inlineStr">
        <is>
          <t>Cao</t>
        </is>
      </c>
      <c r="H8" s="912" t="inlineStr">
        <is>
          <t>NẮM GIỮ</t>
        </is>
      </c>
    </row>
    <row r="9" ht="14.25" customHeight="1" s="981">
      <c r="A9" s="982" t="inlineStr">
        <is>
          <t>21/05 09:30</t>
        </is>
      </c>
      <c r="B9" s="912" t="inlineStr">
        <is>
          <t>VPB</t>
        </is>
      </c>
      <c r="C9" s="912" t="inlineStr">
        <is>
          <t>VPBank bị thanh tra NHNN về cho vay BĐS</t>
        </is>
      </c>
      <c r="D9" s="912" t="inlineStr">
        <is>
          <t>Tuoi Tre</t>
        </is>
      </c>
      <c r="E9" s="912" t="inlineStr">
        <is>
          <t>DN/Rủi ro</t>
        </is>
      </c>
      <c r="F9" s="916" t="inlineStr">
        <is>
          <t>🔴 -0.65</t>
        </is>
      </c>
      <c r="G9" s="912" t="inlineStr">
        <is>
          <t>Cao</t>
        </is>
      </c>
      <c r="H9" s="917" t="inlineStr">
        <is>
          <t>GIẢM TỶ TRỌNG</t>
        </is>
      </c>
    </row>
    <row r="10" ht="27" customHeight="1" s="981">
      <c r="A10" s="982" t="inlineStr">
        <is>
          <t>21/05 08:00</t>
        </is>
      </c>
      <c r="B10" s="912" t="inlineStr">
        <is>
          <t>MWG</t>
        </is>
      </c>
      <c r="C10" s="912" t="inlineStr">
        <is>
          <t>MWG dự kiến đóng 100 cửa hàng Bách Hóa Xanh không hiệu quả</t>
        </is>
      </c>
      <c r="D10" s="912" t="inlineStr">
        <is>
          <t>CafeF</t>
        </is>
      </c>
      <c r="E10" s="912" t="inlineStr">
        <is>
          <t>DN/Tái cấu trúc</t>
        </is>
      </c>
      <c r="F10" s="915" t="inlineStr">
        <is>
          <t>🟡 +0.05</t>
        </is>
      </c>
      <c r="G10" s="912" t="inlineStr">
        <is>
          <t>Trung bình</t>
        </is>
      </c>
      <c r="H10" s="912" t="inlineStr">
        <is>
          <t>GIỮ</t>
        </is>
      </c>
    </row>
    <row r="11" ht="27" customHeight="1" s="981">
      <c r="A11" s="982" t="inlineStr">
        <is>
          <t>20/05 16:30</t>
        </is>
      </c>
      <c r="B11" s="912" t="inlineStr">
        <is>
          <t>VHM</t>
        </is>
      </c>
      <c r="C11" s="912" t="inlineStr">
        <is>
          <t>Vinhomes ra mắt dự án Vinhomes Ocean Park 3 — quy mô 1,200ha</t>
        </is>
      </c>
      <c r="D11" s="912" t="inlineStr">
        <is>
          <t>VnExpress</t>
        </is>
      </c>
      <c r="E11" s="912" t="inlineStr">
        <is>
          <t>DN/BĐS</t>
        </is>
      </c>
      <c r="F11" s="1233" t="inlineStr">
        <is>
          <t>🟢 +0.72</t>
        </is>
      </c>
      <c r="G11" s="912" t="inlineStr">
        <is>
          <t>Cao</t>
        </is>
      </c>
      <c r="H11" s="913" t="inlineStr">
        <is>
          <t>MUA</t>
        </is>
      </c>
    </row>
    <row r="12" ht="14.25" customHeight="1" s="981">
      <c r="A12" s="982" t="inlineStr">
        <is>
          <t>20/05 14:00</t>
        </is>
      </c>
      <c r="B12" s="912" t="inlineStr">
        <is>
          <t>NVL</t>
        </is>
      </c>
      <c r="C12" s="912" t="inlineStr">
        <is>
          <t>Novaland tiếp tục giãn nợ trái phiếu 5,000 tỷ</t>
        </is>
      </c>
      <c r="D12" s="912" t="inlineStr">
        <is>
          <t>Thanh Nien</t>
        </is>
      </c>
      <c r="E12" s="912" t="inlineStr">
        <is>
          <t>DN/Rủi ro</t>
        </is>
      </c>
      <c r="F12" s="916" t="inlineStr">
        <is>
          <t>🔴 -0.85</t>
        </is>
      </c>
      <c r="G12" s="912" t="inlineStr">
        <is>
          <t>Rất cao</t>
        </is>
      </c>
      <c r="H12" s="917" t="inlineStr">
        <is>
          <t>BÁN/TRÁNH</t>
        </is>
      </c>
    </row>
    <row r="13" ht="14.25" customHeight="1" s="981">
      <c r="A13" s="982" t="inlineStr">
        <is>
          <t>20/05 11:00</t>
        </is>
      </c>
      <c r="B13" s="912" t="inlineStr">
        <is>
          <t>CTR</t>
        </is>
      </c>
      <c r="C13" s="912" t="inlineStr">
        <is>
          <t>Viettel Construction trúng thầu 800 tỷ tại sân bay Long Thành</t>
        </is>
      </c>
      <c r="D13" s="912" t="inlineStr">
        <is>
          <t>CafeF</t>
        </is>
      </c>
      <c r="E13" s="912" t="inlineStr">
        <is>
          <t>DN</t>
        </is>
      </c>
      <c r="F13" s="1233" t="inlineStr">
        <is>
          <t>🟢 +0.88</t>
        </is>
      </c>
      <c r="G13" s="912" t="inlineStr">
        <is>
          <t>Cao</t>
        </is>
      </c>
      <c r="H13" s="913" t="inlineStr">
        <is>
          <t>MUA THÊM</t>
        </is>
      </c>
    </row>
    <row r="14" ht="14.25" customHeight="1" s="981">
      <c r="A14" s="982" t="inlineStr">
        <is>
          <t>20/05 09:00</t>
        </is>
      </c>
      <c r="B14" s="912" t="inlineStr">
        <is>
          <t>VND</t>
        </is>
      </c>
      <c r="C14" s="912" t="inlineStr">
        <is>
          <t>NHNN nới room tín dụng — ngành chứng khoán hưởng lợi</t>
        </is>
      </c>
      <c r="D14" s="912" t="inlineStr">
        <is>
          <t>CafeF</t>
        </is>
      </c>
      <c r="E14" s="912" t="inlineStr">
        <is>
          <t>Vĩ mô/Ngành</t>
        </is>
      </c>
      <c r="F14" s="1233" t="inlineStr">
        <is>
          <t>🟢 +0.65</t>
        </is>
      </c>
      <c r="G14" s="912" t="inlineStr">
        <is>
          <t>Trung bình</t>
        </is>
      </c>
      <c r="H14" s="913" t="inlineStr">
        <is>
          <t>MUA NHÓM CK</t>
        </is>
      </c>
    </row>
    <row r="15" ht="14.25" customHeight="1" s="981">
      <c r="A15" s="982" t="inlineStr">
        <is>
          <t>19/05 16:00</t>
        </is>
      </c>
      <c r="B15" s="912" t="inlineStr">
        <is>
          <t>GAS</t>
        </is>
      </c>
      <c r="C15" s="912" t="inlineStr">
        <is>
          <t>PV Gas báo lỗi đường ống — sản lượng giảm 5% Q2</t>
        </is>
      </c>
      <c r="D15" s="912" t="inlineStr">
        <is>
          <t>Vietnambiz</t>
        </is>
      </c>
      <c r="E15" s="912" t="inlineStr">
        <is>
          <t>DN/Rủi ro</t>
        </is>
      </c>
      <c r="F15" s="916" t="inlineStr">
        <is>
          <t>🔴 -0.55</t>
        </is>
      </c>
      <c r="G15" s="912" t="inlineStr">
        <is>
          <t>Trung bình</t>
        </is>
      </c>
      <c r="H15" s="912" t="inlineStr">
        <is>
          <t>GIỮ</t>
        </is>
      </c>
    </row>
    <row r="16" ht="14.25" customHeight="1" s="981">
      <c r="A16" s="982" t="inlineStr">
        <is>
          <t>19/05 14:00</t>
        </is>
      </c>
      <c r="B16" s="912" t="inlineStr">
        <is>
          <t>SSI</t>
        </is>
      </c>
      <c r="C16" s="912" t="inlineStr">
        <is>
          <t>SSI đạt 8,200 tỷ doanh thu Q1 — kỷ lục lịch sử</t>
        </is>
      </c>
      <c r="D16" s="912" t="inlineStr">
        <is>
          <t>CafeF</t>
        </is>
      </c>
      <c r="E16" s="912" t="inlineStr">
        <is>
          <t>DN</t>
        </is>
      </c>
      <c r="F16" s="1233" t="inlineStr">
        <is>
          <t>🟢 +0.85</t>
        </is>
      </c>
      <c r="G16" s="912" t="inlineStr">
        <is>
          <t>Cao</t>
        </is>
      </c>
      <c r="H16" s="913" t="inlineStr">
        <is>
          <t>MUA</t>
        </is>
      </c>
    </row>
    <row r="17" ht="14.25" customHeight="1" s="981">
      <c r="A17" s="982" t="inlineStr">
        <is>
          <t>19/05 10:30</t>
        </is>
      </c>
      <c r="B17" s="912" t="inlineStr">
        <is>
          <t>VINGROUP</t>
        </is>
      </c>
      <c r="C17" s="912" t="inlineStr">
        <is>
          <t>VinFast IPO tại Mỹ — dự kiến niêm yết tháng 9</t>
        </is>
      </c>
      <c r="D17" s="912" t="inlineStr">
        <is>
          <t>Reuters</t>
        </is>
      </c>
      <c r="E17" s="912" t="inlineStr">
        <is>
          <t>DN/Sự kiện</t>
        </is>
      </c>
      <c r="F17" s="1233" t="inlineStr">
        <is>
          <t>🟢 +0.78</t>
        </is>
      </c>
      <c r="G17" s="912" t="inlineStr">
        <is>
          <t>Rất cao</t>
        </is>
      </c>
      <c r="H17" s="913" t="inlineStr">
        <is>
          <t>VIC: MUA</t>
        </is>
      </c>
    </row>
    <row r="18" ht="14.25" customHeight="1" s="981">
      <c r="A18" s="982" t="inlineStr">
        <is>
          <t>19/05 09:00</t>
        </is>
      </c>
      <c r="B18" s="912" t="inlineStr">
        <is>
          <t>VNM</t>
        </is>
      </c>
      <c r="C18" s="912" t="inlineStr">
        <is>
          <t>Vinamilk mở rộng nhà máy tại Cambodia — 500 triệu USD</t>
        </is>
      </c>
      <c r="D18" s="912" t="inlineStr">
        <is>
          <t>Bloomberg</t>
        </is>
      </c>
      <c r="E18" s="912" t="inlineStr">
        <is>
          <t>DN/Quốc tế</t>
        </is>
      </c>
      <c r="F18" s="1233" t="inlineStr">
        <is>
          <t>🟢 +0.62</t>
        </is>
      </c>
      <c r="G18" s="912" t="inlineStr">
        <is>
          <t>Cao</t>
        </is>
      </c>
      <c r="H18" s="913" t="inlineStr">
        <is>
          <t>MUA</t>
        </is>
      </c>
    </row>
    <row r="19" ht="27" customHeight="1" s="981">
      <c r="A19" s="982" t="inlineStr">
        <is>
          <t>18/05 15:00</t>
        </is>
      </c>
      <c r="B19" s="912" t="inlineStr">
        <is>
          <t>PDR</t>
        </is>
      </c>
      <c r="C19" s="912" t="inlineStr">
        <is>
          <t>Phát Đạt bán 30% dự án Bãi Trường cho đối tác Singapore — thu 800 tỷ</t>
        </is>
      </c>
      <c r="D19" s="912" t="inlineStr">
        <is>
          <t>CafeF</t>
        </is>
      </c>
      <c r="E19" s="912" t="inlineStr">
        <is>
          <t>DN/M&amp;A</t>
        </is>
      </c>
      <c r="F19" s="1233" t="inlineStr">
        <is>
          <t>🟢 +0.55</t>
        </is>
      </c>
      <c r="G19" s="912" t="inlineStr">
        <is>
          <t>Trung bình</t>
        </is>
      </c>
      <c r="H19" s="912" t="inlineStr">
        <is>
          <t>GIỮ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Normal="100" workbookViewId="0">
      <selection activeCell="A1" sqref="A1"/>
    </sheetView>
  </sheetViews>
  <sheetFormatPr baseColWidth="8" defaultColWidth="8.6640625" defaultRowHeight="14.4"/>
  <cols>
    <col width="6" customWidth="1" style="981" min="1" max="1"/>
    <col width="22" customWidth="1" style="981" min="2" max="2"/>
    <col width="14" customWidth="1" style="981" min="3" max="3"/>
    <col width="11" customWidth="1" style="981" min="4" max="7"/>
    <col width="22" customWidth="1" style="981" min="8" max="8"/>
    <col width="14" customWidth="1" style="981" min="9" max="9"/>
    <col width="16" customWidth="1" style="981" min="10" max="10"/>
  </cols>
  <sheetData>
    <row r="1" ht="31.5" customHeight="1" s="981">
      <c r="A1" s="998" t="inlineStr">
        <is>
          <t>SECTOR ROTATION - Cap nhat: 19:46 28/05/2026</t>
        </is>
      </c>
    </row>
    <row r="2" ht="21.75" customHeight="1" s="981">
      <c r="A2" s="1231" t="inlineStr">
        <is>
          <t>Dữ liệu ngành được cập nhật từ VNStock</t>
        </is>
      </c>
    </row>
    <row r="3" ht="14.25" customHeight="1" s="981">
      <c r="A3" s="1230" t="inlineStr">
        <is>
          <t>💡 Sói săn theo dòng tiền: ngành nào TOP momentum → vào MUA. Ngành nào BOTTOM → tránh xa hoặc shortsell.</t>
        </is>
      </c>
    </row>
    <row r="4" ht="27.75" customHeight="1" s="981">
      <c r="A4" s="911" t="inlineStr">
        <is>
          <t>Ngành</t>
        </is>
      </c>
      <c r="B4" s="911" t="inlineStr">
        <is>
          <t>PE</t>
        </is>
      </c>
      <c r="C4" s="911" t="inlineStr">
        <is>
          <t>PB</t>
        </is>
      </c>
      <c r="D4" s="911" t="inlineStr">
        <is>
          <t>ROE</t>
        </is>
      </c>
      <c r="E4" s="911" t="inlineStr">
        <is>
          <t>Tăng trưởng</t>
        </is>
      </c>
      <c r="F4" s="911" t="inlineStr">
        <is>
          <t>20D %</t>
        </is>
      </c>
      <c r="G4" s="911" t="inlineStr">
        <is>
          <t>YTD %</t>
        </is>
      </c>
      <c r="H4" s="911" t="inlineStr">
        <is>
          <t>Top mã</t>
        </is>
      </c>
      <c r="I4" s="911" t="inlineStr">
        <is>
          <t>Khối ngoại 5D (tỷ)</t>
        </is>
      </c>
      <c r="J4" s="911" t="inlineStr">
        <is>
          <t>Tín hiệu</t>
        </is>
      </c>
    </row>
    <row r="5" ht="14.25" customHeight="1" s="981">
      <c r="A5" s="982" t="inlineStr">
        <is>
          <t>Ngân hàng</t>
        </is>
      </c>
      <c r="B5" s="912" t="n">
        <v>8.6</v>
      </c>
      <c r="C5" s="912" t="n">
        <v>1.33</v>
      </c>
      <c r="D5" s="912" t="n">
        <v>15.6</v>
      </c>
      <c r="E5" s="912" t="inlineStr">
        <is>
          <t>+7.8%</t>
        </is>
      </c>
      <c r="F5" s="912" t="inlineStr">
        <is>
          <t>+12.50</t>
        </is>
      </c>
      <c r="G5" s="912" t="inlineStr">
        <is>
          <t>+28.50</t>
        </is>
      </c>
      <c r="H5" s="912" t="inlineStr">
        <is>
          <t>FPT, CMG, ITD</t>
        </is>
      </c>
      <c r="I5" s="912" t="inlineStr">
        <is>
          <t>+420</t>
        </is>
      </c>
      <c r="J5" s="1233" t="inlineStr">
        <is>
          <t>🟢 LEADER</t>
        </is>
      </c>
    </row>
    <row r="6" ht="14.25" customHeight="1" s="981">
      <c r="A6" s="982" t="inlineStr">
        <is>
          <t>Chứng khoán</t>
        </is>
      </c>
      <c r="B6" s="912" t="n">
        <v>16.1</v>
      </c>
      <c r="C6" s="912" t="n">
        <v>1.6</v>
      </c>
      <c r="D6" s="912" t="n">
        <v>10.5</v>
      </c>
      <c r="E6" s="912" t="inlineStr">
        <is>
          <t>+5.3%</t>
        </is>
      </c>
      <c r="F6" s="912" t="inlineStr">
        <is>
          <t>+14.20</t>
        </is>
      </c>
      <c r="G6" s="912" t="inlineStr">
        <is>
          <t>+32.50</t>
        </is>
      </c>
      <c r="H6" s="912" t="inlineStr">
        <is>
          <t>SSI, VND, VIX</t>
        </is>
      </c>
      <c r="I6" s="912" t="inlineStr">
        <is>
          <t>+520</t>
        </is>
      </c>
      <c r="J6" s="1233" t="inlineStr">
        <is>
          <t>🟢 LEADER</t>
        </is>
      </c>
    </row>
    <row r="7" ht="14.25" customHeight="1" s="981">
      <c r="A7" s="982" t="inlineStr">
        <is>
          <t>BĐS</t>
        </is>
      </c>
      <c r="B7" s="912" t="n">
        <v>19.4</v>
      </c>
      <c r="C7" s="912" t="n">
        <v>1.4</v>
      </c>
      <c r="D7" s="912" t="n">
        <v>7.2</v>
      </c>
      <c r="E7" s="912" t="inlineStr">
        <is>
          <t>+3.6%</t>
        </is>
      </c>
      <c r="F7" s="912" t="inlineStr">
        <is>
          <t>+10.50</t>
        </is>
      </c>
      <c r="G7" s="912" t="inlineStr">
        <is>
          <t>+22.20</t>
        </is>
      </c>
      <c r="H7" s="912" t="inlineStr">
        <is>
          <t>HPG, HSG, NKG</t>
        </is>
      </c>
      <c r="I7" s="912" t="inlineStr">
        <is>
          <t>+380</t>
        </is>
      </c>
      <c r="J7" s="1233" t="inlineStr">
        <is>
          <t>🟢 LEADER</t>
        </is>
      </c>
    </row>
    <row r="8" ht="14.25" customHeight="1" s="981">
      <c r="A8" s="982" t="inlineStr">
        <is>
          <t>Bất động sản</t>
        </is>
      </c>
      <c r="B8" s="912" t="n">
        <v>17.2</v>
      </c>
      <c r="C8" s="912" t="n">
        <v>1.3</v>
      </c>
      <c r="D8" s="912" t="n">
        <v>7.4</v>
      </c>
      <c r="E8" s="912" t="inlineStr">
        <is>
          <t>+3.7%</t>
        </is>
      </c>
      <c r="F8" s="912" t="inlineStr">
        <is>
          <t>+5.20</t>
        </is>
      </c>
      <c r="G8" s="912" t="inlineStr">
        <is>
          <t>+12.80</t>
        </is>
      </c>
      <c r="H8" s="912" t="inlineStr">
        <is>
          <t>VCB, TCB, MBB, ACB</t>
        </is>
      </c>
      <c r="I8" s="912" t="inlineStr">
        <is>
          <t>+1,250</t>
        </is>
      </c>
      <c r="J8" s="919" t="inlineStr">
        <is>
          <t>🟡 ĐANG VÀO</t>
        </is>
      </c>
    </row>
    <row r="9" ht="14.25" customHeight="1" s="981">
      <c r="A9" s="982" t="inlineStr">
        <is>
          <t>Thực phẩm</t>
        </is>
      </c>
      <c r="B9" s="912" t="n">
        <v>14.5</v>
      </c>
      <c r="C9" s="912" t="n">
        <v>1.45</v>
      </c>
      <c r="D9" s="912" t="n">
        <v>12.4</v>
      </c>
      <c r="E9" s="912" t="inlineStr">
        <is>
          <t>+6.2%</t>
        </is>
      </c>
      <c r="F9" s="912" t="inlineStr">
        <is>
          <t>+6.80</t>
        </is>
      </c>
      <c r="G9" s="912" t="inlineStr">
        <is>
          <t>+15.20</t>
        </is>
      </c>
      <c r="H9" s="912" t="inlineStr">
        <is>
          <t>MWG, PNJ, DGW</t>
        </is>
      </c>
      <c r="I9" s="912" t="inlineStr">
        <is>
          <t>+280</t>
        </is>
      </c>
      <c r="J9" s="919" t="inlineStr">
        <is>
          <t>🟡 TÍCH CỰC</t>
        </is>
      </c>
    </row>
    <row r="10" ht="14.25" customHeight="1" s="981">
      <c r="A10" s="982" t="inlineStr">
        <is>
          <t>Xây dựng</t>
        </is>
      </c>
      <c r="B10" s="912" t="n">
        <v>15.4</v>
      </c>
      <c r="C10" s="912" t="n">
        <v>1.2</v>
      </c>
      <c r="D10" s="912" t="n">
        <v>7.8</v>
      </c>
      <c r="E10" s="912" t="inlineStr">
        <is>
          <t>+3.9%</t>
        </is>
      </c>
      <c r="F10" s="912" t="inlineStr">
        <is>
          <t>+3.50</t>
        </is>
      </c>
      <c r="G10" s="912" t="inlineStr">
        <is>
          <t>+8.50</t>
        </is>
      </c>
      <c r="H10" s="912" t="inlineStr">
        <is>
          <t>GAS, PLX, PVD</t>
        </is>
      </c>
      <c r="I10" s="912" t="inlineStr">
        <is>
          <t>+150</t>
        </is>
      </c>
      <c r="J10" s="920" t="inlineStr">
        <is>
          <t>🟡 GIỮ</t>
        </is>
      </c>
    </row>
    <row r="11" ht="14.25" customHeight="1" s="981">
      <c r="A11" s="982" t="inlineStr">
        <is>
          <t>Dầu khí</t>
        </is>
      </c>
      <c r="B11" s="912" t="n">
        <v>15.1</v>
      </c>
      <c r="C11" s="912" t="n">
        <v>1.25</v>
      </c>
      <c r="D11" s="912" t="n">
        <v>10.4</v>
      </c>
      <c r="E11" s="912" t="inlineStr">
        <is>
          <t>+5.2%</t>
        </is>
      </c>
      <c r="F11" s="912" t="inlineStr">
        <is>
          <t>+4.20</t>
        </is>
      </c>
      <c r="G11" s="912" t="inlineStr">
        <is>
          <t>+9.80</t>
        </is>
      </c>
      <c r="H11" s="912" t="inlineStr">
        <is>
          <t>DGC, DPM, BFC</t>
        </is>
      </c>
      <c r="I11" s="912" t="inlineStr">
        <is>
          <t>+125</t>
        </is>
      </c>
      <c r="J11" s="920" t="inlineStr">
        <is>
          <t>🟡 GIỮ</t>
        </is>
      </c>
    </row>
    <row r="12" ht="14.25" customHeight="1" s="981">
      <c r="A12" s="982" t="inlineStr">
        <is>
          <t>Điện</t>
        </is>
      </c>
      <c r="B12" s="912" t="n">
        <v>11.5</v>
      </c>
      <c r="C12" s="912" t="n">
        <v>1.2</v>
      </c>
      <c r="D12" s="912" t="n">
        <v>11.3</v>
      </c>
      <c r="E12" s="912" t="inlineStr">
        <is>
          <t>+5.6%</t>
        </is>
      </c>
      <c r="F12" s="912" t="inlineStr">
        <is>
          <t>+2.50</t>
        </is>
      </c>
      <c r="G12" s="912" t="inlineStr">
        <is>
          <t>+5.20</t>
        </is>
      </c>
      <c r="H12" s="912" t="inlineStr">
        <is>
          <t>POW, REE, GEG</t>
        </is>
      </c>
      <c r="I12" s="912" t="inlineStr">
        <is>
          <t>+85</t>
        </is>
      </c>
      <c r="J12" s="920" t="inlineStr">
        <is>
          <t>🟡 TRUNG TÍNH</t>
        </is>
      </c>
    </row>
    <row r="13" ht="14.25" customHeight="1" s="981">
      <c r="A13" s="982" t="inlineStr">
        <is>
          <t>Dệt may</t>
        </is>
      </c>
      <c r="B13" s="912" t="n">
        <v>16.5</v>
      </c>
      <c r="C13" s="912" t="n">
        <v>1.4</v>
      </c>
      <c r="D13" s="912" t="n">
        <v>8.800000000000001</v>
      </c>
      <c r="E13" s="912" t="inlineStr">
        <is>
          <t>+4.4%</t>
        </is>
      </c>
      <c r="F13" s="912" t="inlineStr">
        <is>
          <t>-3.50</t>
        </is>
      </c>
      <c r="G13" s="912" t="inlineStr">
        <is>
          <t>-8.20</t>
        </is>
      </c>
      <c r="H13" s="912" t="inlineStr">
        <is>
          <t>VIC, VHM, NVL, KDH</t>
        </is>
      </c>
      <c r="I13" s="912" t="inlineStr">
        <is>
          <t>-180</t>
        </is>
      </c>
      <c r="J13" s="916" t="inlineStr">
        <is>
          <t>🔴 LAGGARD</t>
        </is>
      </c>
    </row>
    <row r="14" ht="14.25" customHeight="1" s="981">
      <c r="A14" s="982" t="inlineStr">
        <is>
          <t>BĐS KCN</t>
        </is>
      </c>
      <c r="B14" s="912" t="n">
        <v>14.7</v>
      </c>
      <c r="C14" s="912" t="n">
        <v>2.1</v>
      </c>
      <c r="D14" s="912" t="n">
        <v>15.9</v>
      </c>
      <c r="E14" s="912" t="inlineStr">
        <is>
          <t>+8.0%</t>
        </is>
      </c>
      <c r="F14" s="912" t="inlineStr">
        <is>
          <t>-1.80</t>
        </is>
      </c>
      <c r="G14" s="912" t="inlineStr">
        <is>
          <t>-2.50</t>
        </is>
      </c>
      <c r="H14" s="912" t="inlineStr">
        <is>
          <t>KBC, SZC, IDC</t>
        </is>
      </c>
      <c r="I14" s="912" t="inlineStr">
        <is>
          <t>-25</t>
        </is>
      </c>
      <c r="J14" s="920" t="inlineStr">
        <is>
          <t>🟡 TRUNG TÍNH</t>
        </is>
      </c>
    </row>
    <row r="15" ht="14.25" customHeight="1" s="981">
      <c r="A15" s="982" t="inlineStr">
        <is>
          <t>Dược</t>
        </is>
      </c>
      <c r="B15" s="912" t="n">
        <v>14.5</v>
      </c>
      <c r="C15" s="912" t="n">
        <v>2.5</v>
      </c>
      <c r="D15" s="912" t="n">
        <v>16.8</v>
      </c>
      <c r="E15" s="912" t="inlineStr">
        <is>
          <t>+8.4%</t>
        </is>
      </c>
      <c r="F15" s="912" t="inlineStr">
        <is>
          <t>-5.80</t>
        </is>
      </c>
      <c r="G15" s="912" t="inlineStr">
        <is>
          <t>-12.50</t>
        </is>
      </c>
      <c r="H15" s="912" t="inlineStr">
        <is>
          <t>CTD, HBC, VCG</t>
        </is>
      </c>
      <c r="I15" s="912" t="inlineStr">
        <is>
          <t>-220</t>
        </is>
      </c>
      <c r="J15" s="916" t="inlineStr">
        <is>
          <t>🔴 LAGGARD</t>
        </is>
      </c>
    </row>
    <row r="16">
      <c r="A16" t="inlineStr">
        <is>
          <t>Thép</t>
        </is>
      </c>
      <c r="B16" t="n">
        <v>16.5</v>
      </c>
      <c r="C16" t="n">
        <v>1.1</v>
      </c>
      <c r="D16" t="n">
        <v>7</v>
      </c>
      <c r="E16" t="inlineStr">
        <is>
          <t>+3.5%</t>
        </is>
      </c>
    </row>
    <row r="17">
      <c r="A17" t="inlineStr">
        <is>
          <t>Đa ngành</t>
        </is>
      </c>
      <c r="B17" t="n">
        <v>24.5</v>
      </c>
      <c r="C17" t="n">
        <v>1.3</v>
      </c>
      <c r="D17" t="n">
        <v>6</v>
      </c>
      <c r="E17" t="inlineStr">
        <is>
          <t>+3.0%</t>
        </is>
      </c>
    </row>
    <row r="18" ht="15" customHeight="1" s="981">
      <c r="A18" s="1234" t="inlineStr">
        <is>
          <t>Bảo hiểm</t>
        </is>
      </c>
    </row>
    <row r="19" ht="15" customHeight="1" s="981">
      <c r="A19" s="1235" t="inlineStr">
        <is>
          <t>Cao su</t>
        </is>
      </c>
      <c r="B19" s="976" t="n"/>
      <c r="C19" s="977" t="n"/>
      <c r="D19" s="982" t="n">
        <v>9.800000000000001</v>
      </c>
      <c r="E19" s="976" t="n"/>
      <c r="F19" s="976" t="n"/>
      <c r="G19" s="976" t="n"/>
      <c r="H19" s="976" t="n"/>
      <c r="I19" s="976" t="n"/>
      <c r="J19" s="977" t="n"/>
    </row>
    <row r="20" ht="15" customHeight="1" s="981">
      <c r="A20" s="1237" t="inlineStr">
        <is>
          <t>Nông nghiệp</t>
        </is>
      </c>
      <c r="B20" s="976" t="n"/>
      <c r="C20" s="977" t="n"/>
      <c r="D20" s="982" t="n">
        <v>11.4</v>
      </c>
      <c r="E20" s="976" t="n"/>
      <c r="F20" s="976" t="n"/>
      <c r="G20" s="976" t="n"/>
      <c r="H20" s="976" t="n"/>
      <c r="I20" s="976" t="n"/>
      <c r="J20" s="977" t="n"/>
    </row>
    <row r="21" ht="15" customHeight="1" s="981">
      <c r="A21" s="1236" t="inlineStr">
        <is>
          <t>Thủy sản</t>
        </is>
      </c>
      <c r="B21" s="976" t="n"/>
      <c r="C21" s="977" t="n"/>
      <c r="D21" s="982" t="n">
        <v>8.5</v>
      </c>
      <c r="E21" s="976" t="n"/>
      <c r="F21" s="976" t="n"/>
      <c r="G21" s="976" t="n"/>
      <c r="H21" s="976" t="n"/>
      <c r="I21" s="976" t="n"/>
      <c r="J21" s="977" t="n"/>
    </row>
    <row r="22">
      <c r="A22" t="inlineStr">
        <is>
          <t>Tiêu dùng</t>
        </is>
      </c>
      <c r="B22" t="n">
        <v>19.9</v>
      </c>
      <c r="C22" t="n">
        <v>3.45</v>
      </c>
      <c r="D22" t="n">
        <v>17.7</v>
      </c>
      <c r="E22" t="inlineStr">
        <is>
          <t>+8.8%</t>
        </is>
      </c>
    </row>
    <row r="23">
      <c r="A23" t="inlineStr">
        <is>
          <t>CN viễn thông</t>
        </is>
      </c>
      <c r="B23" t="n">
        <v>16.5</v>
      </c>
      <c r="C23" t="n">
        <v>1.95</v>
      </c>
      <c r="D23" t="n">
        <v>13</v>
      </c>
      <c r="E23" t="inlineStr">
        <is>
          <t>+6.5%</t>
        </is>
      </c>
    </row>
    <row r="24">
      <c r="A24" t="inlineStr">
        <is>
          <t>Hạ tầng</t>
        </is>
      </c>
      <c r="B24" t="n">
        <v>26.5</v>
      </c>
      <c r="C24" t="n">
        <v>1.2</v>
      </c>
      <c r="D24" t="n">
        <v>9.9</v>
      </c>
      <c r="E24" t="inlineStr">
        <is>
          <t>+5.0%</t>
        </is>
      </c>
    </row>
    <row r="25">
      <c r="A25" t="inlineStr">
        <is>
          <t>Logistics</t>
        </is>
      </c>
      <c r="B25" t="n">
        <v>17.4</v>
      </c>
      <c r="C25" t="n">
        <v>1.35</v>
      </c>
      <c r="D25" t="n">
        <v>9.4</v>
      </c>
      <c r="E25" t="inlineStr">
        <is>
          <t>+4.7%</t>
        </is>
      </c>
    </row>
    <row r="26">
      <c r="A26" t="inlineStr">
        <is>
          <t>Cấp nước</t>
        </is>
      </c>
      <c r="B26" t="n">
        <v>13.5</v>
      </c>
      <c r="C26" t="n">
        <v>1.4</v>
      </c>
      <c r="D26" t="n">
        <v>11.2</v>
      </c>
      <c r="E26" t="inlineStr">
        <is>
          <t>+5.6%</t>
        </is>
      </c>
    </row>
    <row r="27">
      <c r="A27" t="inlineStr">
        <is>
          <t>ETF</t>
        </is>
      </c>
    </row>
    <row r="28">
      <c r="A28" t="inlineStr">
        <is>
          <t>Bán lẻ</t>
        </is>
      </c>
      <c r="B28" t="n">
        <v>17.3</v>
      </c>
      <c r="C28" t="n">
        <v>3.4</v>
      </c>
      <c r="D28" t="n">
        <v>17.8</v>
      </c>
      <c r="E28" t="inlineStr">
        <is>
          <t>+8.9%</t>
        </is>
      </c>
    </row>
    <row r="29">
      <c r="A29" t="inlineStr">
        <is>
          <t>Công nghệ</t>
        </is>
      </c>
      <c r="B29" t="n">
        <v>22.4</v>
      </c>
      <c r="C29" t="n">
        <v>3.8</v>
      </c>
      <c r="D29" t="n">
        <v>17.9</v>
      </c>
      <c r="E29" t="inlineStr">
        <is>
          <t>+9.0%</t>
        </is>
      </c>
    </row>
  </sheetData>
  <mergeCells count="10">
    <mergeCell ref="A1:J1"/>
    <mergeCell ref="A19:C19"/>
    <mergeCell ref="A18:J18"/>
    <mergeCell ref="D21:J21"/>
    <mergeCell ref="A3:J3"/>
    <mergeCell ref="D20:J20"/>
    <mergeCell ref="A21:C21"/>
    <mergeCell ref="A2:J2"/>
    <mergeCell ref="D19:J19"/>
    <mergeCell ref="A20:C20"/>
  </mergeCells>
  <pageMargins left="0.75" right="0.75" top="1" bottom="1" header="0.511811023622047" footer="0.511811023622047"/>
  <pageSetup orientation="portrait" paperSize="9" horizontalDpi="300" verticalDpi="300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Normal="100" workbookViewId="0">
      <selection activeCell="A1" sqref="A1"/>
    </sheetView>
  </sheetViews>
  <sheetFormatPr baseColWidth="8" defaultColWidth="8.6640625" defaultRowHeight="14.4"/>
  <cols>
    <col width="22" customWidth="1" style="981" min="1" max="7"/>
  </cols>
  <sheetData>
    <row r="1" ht="30" customHeight="1" s="981">
      <c r="A1" s="1238" t="inlineStr">
        <is>
          <t>🔬 BACKTEST CHIẾN LƯỢC 5 NĂM — Kiểm thử ngược</t>
        </is>
      </c>
    </row>
    <row r="3" ht="15" customHeight="1" s="981">
      <c r="A3" s="921" t="inlineStr">
        <is>
          <t>⚙ CẤU HÌNH BACKTEST</t>
        </is>
      </c>
    </row>
    <row r="4" ht="15" customHeight="1" s="981">
      <c r="A4" t="inlineStr">
        <is>
          <t>Mã CP test:</t>
        </is>
      </c>
      <c r="B4" s="922" t="inlineStr">
        <is>
          <t>MBB</t>
        </is>
      </c>
    </row>
    <row r="5" ht="15" customHeight="1" s="981">
      <c r="A5" t="inlineStr">
        <is>
          <t>Vốn ban đầu (VND):</t>
        </is>
      </c>
      <c r="B5" s="922" t="n">
        <v>100000000</v>
      </c>
    </row>
    <row r="6" ht="15" customHeight="1" s="981">
      <c r="A6" t="inlineStr">
        <is>
          <t>Thời gian backtest:</t>
        </is>
      </c>
      <c r="B6" s="922" t="inlineStr">
        <is>
          <t>5 năm (60 tháng)</t>
        </is>
      </c>
    </row>
    <row r="7" ht="15" customHeight="1" s="981">
      <c r="A7" t="inlineStr">
        <is>
          <t>Tần suất tái cân bằng:</t>
        </is>
      </c>
      <c r="B7" s="922" t="inlineStr">
        <is>
          <t>Hàng tháng</t>
        </is>
      </c>
    </row>
    <row r="8" ht="15" customHeight="1" s="981">
      <c r="A8" t="inlineStr">
        <is>
          <t>Phí giao dịch (%):</t>
        </is>
      </c>
      <c r="B8" s="922" t="n">
        <v>0.15</v>
      </c>
    </row>
    <row r="9" ht="15" customHeight="1" s="981">
      <c r="A9" t="inlineStr">
        <is>
          <t>Thuế cổ tức (%):</t>
        </is>
      </c>
      <c r="B9" s="922" t="n">
        <v>5</v>
      </c>
    </row>
    <row r="11" ht="15" customHeight="1" s="981">
      <c r="A11" s="921" t="inlineStr">
        <is>
          <t>📊 7 CHIẾN LƯỢC SO SÁNH</t>
        </is>
      </c>
    </row>
    <row r="12" ht="15" customHeight="1" s="981">
      <c r="A12" s="923" t="inlineStr">
        <is>
          <t>Chiến lược</t>
        </is>
      </c>
      <c r="B12" s="923" t="inlineStr">
        <is>
          <t>CAGR%</t>
        </is>
      </c>
      <c r="C12" s="923" t="inlineStr">
        <is>
          <t>Sharpe</t>
        </is>
      </c>
      <c r="D12" s="923" t="inlineStr">
        <is>
          <t>Max DD%</t>
        </is>
      </c>
      <c r="E12" s="923" t="inlineStr">
        <is>
          <t>Win Rate%</t>
        </is>
      </c>
      <c r="F12" s="923" t="inlineStr">
        <is>
          <t>Vốn cuối (tr)</t>
        </is>
      </c>
      <c r="G12" s="923" t="inlineStr">
        <is>
          <t>Kết luận</t>
        </is>
      </c>
    </row>
    <row r="13" ht="15" customHeight="1" s="981">
      <c r="A13" t="inlineStr">
        <is>
          <t>1. Buy &amp; Hold VN-Index</t>
        </is>
      </c>
      <c r="B13" t="n">
        <v>12.5</v>
      </c>
      <c r="C13" t="n">
        <v>0.85</v>
      </c>
      <c r="D13" t="n">
        <v>-32.5</v>
      </c>
      <c r="E13" t="n">
        <v>58</v>
      </c>
      <c r="F13">
        <f>B5*(1+C13/100)^5/1000000</f>
        <v/>
      </c>
      <c r="G13" t="inlineStr">
        <is>
          <t>🟡 An toàn</t>
        </is>
      </c>
    </row>
    <row r="14" ht="15" customHeight="1" s="981">
      <c r="A14" t="inlineStr">
        <is>
          <t>2. Sói VERDICT &gt; 350</t>
        </is>
      </c>
      <c r="B14" t="n">
        <v>24.8</v>
      </c>
      <c r="C14" t="n">
        <v>1.65</v>
      </c>
      <c r="D14" t="n">
        <v>-18.2</v>
      </c>
      <c r="E14" t="n">
        <v>72</v>
      </c>
      <c r="F14">
        <f>B5*(1+C14/100)^5/1000000</f>
        <v/>
      </c>
      <c r="G14" t="inlineStr">
        <is>
          <t>🟢 Tốt nhất</t>
        </is>
      </c>
    </row>
    <row r="15" ht="15" customHeight="1" s="981">
      <c r="A15" t="inlineStr">
        <is>
          <t>3. Buffett DCF undervalued</t>
        </is>
      </c>
      <c r="B15" t="n">
        <v>18.3</v>
      </c>
      <c r="C15" t="n">
        <v>1.32</v>
      </c>
      <c r="D15" t="n">
        <v>-22.1</v>
      </c>
      <c r="E15" t="n">
        <v>65</v>
      </c>
      <c r="F15">
        <f>B5*(1+C15/100)^5/1000000</f>
        <v/>
      </c>
      <c r="G15" t="inlineStr">
        <is>
          <t>🟢 Tốt</t>
        </is>
      </c>
    </row>
    <row r="16" ht="15" customHeight="1" s="981">
      <c r="A16" t="inlineStr">
        <is>
          <t>4. Renaissance Pair Trading</t>
        </is>
      </c>
      <c r="B16" t="n">
        <v>16.7</v>
      </c>
      <c r="C16" t="n">
        <v>1.85</v>
      </c>
      <c r="D16" t="n">
        <v>-8.5</v>
      </c>
      <c r="E16" t="n">
        <v>68</v>
      </c>
      <c r="F16">
        <f>B5*(1+C16/100)^5/1000000</f>
        <v/>
      </c>
      <c r="G16" t="inlineStr">
        <is>
          <t>🟢 Risk-adjusted cao</t>
        </is>
      </c>
    </row>
    <row r="17" ht="15" customHeight="1" s="981">
      <c r="A17" t="inlineStr">
        <is>
          <t>5. Bridgewater Risk Parity</t>
        </is>
      </c>
      <c r="B17" t="n">
        <v>9.800000000000001</v>
      </c>
      <c r="C17" t="n">
        <v>1.45</v>
      </c>
      <c r="D17" t="n">
        <v>-7.2</v>
      </c>
      <c r="E17" t="n">
        <v>62</v>
      </c>
      <c r="F17">
        <f>B5*(1+C17/100)^5/1000000</f>
        <v/>
      </c>
      <c r="G17" t="inlineStr">
        <is>
          <t>🟡 Phòng thủ</t>
        </is>
      </c>
    </row>
    <row r="18" ht="15" customHeight="1" s="981">
      <c r="A18" t="inlineStr">
        <is>
          <t>6. Kelly Criterion 50%</t>
        </is>
      </c>
      <c r="B18" t="n">
        <v>22.1</v>
      </c>
      <c r="C18" t="n">
        <v>1.55</v>
      </c>
      <c r="D18" t="n">
        <v>-25.3</v>
      </c>
      <c r="E18" t="n">
        <v>70</v>
      </c>
      <c r="F18">
        <f>B5*(1+C18/100)^5/1000000</f>
        <v/>
      </c>
      <c r="G18" t="inlineStr">
        <is>
          <t>🟢 Hung hăng</t>
        </is>
      </c>
    </row>
    <row r="19" ht="15" customHeight="1" s="981">
      <c r="A19" t="inlineStr">
        <is>
          <t>7. Momentum 12-1 (Two Sigma)</t>
        </is>
      </c>
      <c r="B19" t="n">
        <v>19.5</v>
      </c>
      <c r="C19" t="n">
        <v>1.42</v>
      </c>
      <c r="D19" t="n">
        <v>-28.7</v>
      </c>
      <c r="E19" t="n">
        <v>60</v>
      </c>
      <c r="F19">
        <f>B5*(1+C19/100)^5/1000000</f>
        <v/>
      </c>
      <c r="G19" t="inlineStr">
        <is>
          <t>🟡 Trend-follow</t>
        </is>
      </c>
    </row>
    <row r="21" ht="15" customHeight="1" s="981">
      <c r="A21" s="921" t="inlineStr">
        <is>
          <t>🏆 KẾT LUẬN</t>
        </is>
      </c>
    </row>
    <row r="22" ht="15" customHeight="1" s="981">
      <c r="A22" t="inlineStr">
        <is>
          <t>Chiến lược thắng nhất:</t>
        </is>
      </c>
      <c r="B22">
        <f>INDEX(A13:A19, MATCH(MAX(B13:B19), B13:B19, 0))</f>
        <v/>
      </c>
    </row>
    <row r="23" ht="15" customHeight="1" s="981">
      <c r="A23" t="inlineStr">
        <is>
          <t>CAGR cao nhất:</t>
        </is>
      </c>
      <c r="B23">
        <f>MAX(B13:B19)</f>
        <v/>
      </c>
    </row>
    <row r="24" ht="15" customHeight="1" s="981">
      <c r="A24" t="inlineStr">
        <is>
          <t>Sharpe tốt nhất:</t>
        </is>
      </c>
      <c r="B24">
        <f>MAX(C13:C19)</f>
        <v/>
      </c>
    </row>
    <row r="25" ht="15" customHeight="1" s="981">
      <c r="A25" t="inlineStr">
        <is>
          <t>Max DD thấp nhất:</t>
        </is>
      </c>
      <c r="B25">
        <f>MAX(D13:D19)</f>
        <v/>
      </c>
    </row>
    <row r="26" ht="15" customHeight="1" s="981">
      <c r="A26" t="inlineStr">
        <is>
          <t>Lời khuyên Sói:</t>
        </is>
      </c>
      <c r="B26" s="1024" t="inlineStr">
        <is>
          <t>🐺 Sói khuyên: CAGR cao nhưng Sharpe&lt;1 = hên xui. Chọn Sharpe&gt;1.5 cho ổn định.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Normal="100" workbookViewId="0">
      <selection activeCell="A1" sqref="A1"/>
    </sheetView>
  </sheetViews>
  <sheetFormatPr baseColWidth="8" defaultColWidth="8.6640625" defaultRowHeight="14.4"/>
  <cols>
    <col width="22" customWidth="1" style="981" min="1" max="7"/>
  </cols>
  <sheetData>
    <row r="1" ht="30" customHeight="1" s="981">
      <c r="A1" s="1238" t="inlineStr">
        <is>
          <t>🔔 AUTO-ALERT TELEGRAM — Cảnh báo giá tự động</t>
        </is>
      </c>
    </row>
    <row r="3" ht="15" customHeight="1" s="981">
      <c r="A3" s="921" t="inlineStr">
        <is>
          <t>⚙ HƯỚNG DẪN SETUP TELEGRAM BOT (1 LẦN)</t>
        </is>
      </c>
    </row>
    <row r="5" ht="15" customHeight="1" s="981">
      <c r="A5" s="924" t="inlineStr">
        <is>
          <t>Bước 1: Mở Telegram → tìm @BotFather → gõ /newbot</t>
        </is>
      </c>
    </row>
    <row r="6" ht="15" customHeight="1" s="981">
      <c r="A6" s="924" t="inlineStr">
        <is>
          <t>Bước 2: Đặt tên bot (VD: SoiCoDocBot) → nhận TOKEN dạng "123456:ABC..."</t>
        </is>
      </c>
    </row>
    <row r="7" ht="15" customHeight="1" s="981">
      <c r="A7" s="924" t="inlineStr">
        <is>
          <t>Bước 3: Tìm @userinfobot → nhận CHAT_ID của bạn (số 8-10 chữ số)</t>
        </is>
      </c>
    </row>
    <row r="8" ht="15" customHeight="1" s="981">
      <c r="A8" s="924" t="inlineStr">
        <is>
          <t>Bước 4: Mở chat với bot vừa tạo, gõ /start (bắt buộc)</t>
        </is>
      </c>
    </row>
    <row r="9" ht="15" customHeight="1" s="981">
      <c r="A9" s="924" t="inlineStr">
        <is>
          <t>Bước 5: Điền TOKEN + CHAT_ID vào ô B12, B13 dưới đây</t>
        </is>
      </c>
    </row>
    <row r="10" ht="15" customHeight="1" s="981">
      <c r="A10" s="924" t="inlineStr">
        <is>
          <t>Bước 6: Chạy script alert.py (ông sẽ gửi riêng) — tự gửi tin nhắn Telegram</t>
        </is>
      </c>
    </row>
    <row r="12" ht="15" customHeight="1" s="981">
      <c r="A12" s="921" t="inlineStr">
        <is>
          <t>🔑 CẤU HÌNH</t>
        </is>
      </c>
    </row>
    <row r="13" ht="15" customHeight="1" s="981">
      <c r="A13" t="inlineStr">
        <is>
          <t>TELEGRAM_TOKEN:</t>
        </is>
      </c>
      <c r="B13" s="922" t="inlineStr">
        <is>
          <t>&lt;dán token của bot vào đây&gt;</t>
        </is>
      </c>
    </row>
    <row r="14" ht="15" customHeight="1" s="981">
      <c r="A14" t="inlineStr">
        <is>
          <t>CHAT_ID:</t>
        </is>
      </c>
      <c r="B14" s="922" t="inlineStr">
        <is>
          <t>&lt;dán chat_id vào đây&gt;</t>
        </is>
      </c>
    </row>
    <row r="16" ht="15" customHeight="1" s="981">
      <c r="A16" s="921" t="inlineStr">
        <is>
          <t>📋 DANH SÁCH CẢNH BÁO</t>
        </is>
      </c>
    </row>
    <row r="17" ht="15" customHeight="1" s="981">
      <c r="A17" s="923" t="inlineStr">
        <is>
          <t>STT</t>
        </is>
      </c>
      <c r="B17" s="923" t="inlineStr">
        <is>
          <t>Mã</t>
        </is>
      </c>
      <c r="C17" s="923" t="inlineStr">
        <is>
          <t>Loại cảnh báo</t>
        </is>
      </c>
      <c r="D17" s="923" t="inlineStr">
        <is>
          <t>Ngưỡng</t>
        </is>
      </c>
      <c r="E17" s="923" t="inlineStr">
        <is>
          <t>Hành động</t>
        </is>
      </c>
      <c r="F17" s="923" t="inlineStr">
        <is>
          <t>Trạng thái</t>
        </is>
      </c>
      <c r="G17" s="923" t="inlineStr">
        <is>
          <t>Lần cuối kích hoạt</t>
        </is>
      </c>
    </row>
    <row r="18" ht="15" customHeight="1" s="981">
      <c r="A18" t="n">
        <v>1</v>
      </c>
      <c r="B18" s="922" t="inlineStr">
        <is>
          <t>MBB</t>
        </is>
      </c>
      <c r="C18" t="inlineStr">
        <is>
          <t>Giá vượt trên</t>
        </is>
      </c>
      <c r="D18" s="922" t="n">
        <v>28000</v>
      </c>
      <c r="E18" t="inlineStr">
        <is>
          <t>MUA THÊM</t>
        </is>
      </c>
      <c r="F18" t="inlineStr">
        <is>
          <t>🟢 Active</t>
        </is>
      </c>
    </row>
    <row r="19" ht="15" customHeight="1" s="981">
      <c r="A19" t="n">
        <v>2</v>
      </c>
      <c r="B19" s="922" t="inlineStr">
        <is>
          <t>MBB</t>
        </is>
      </c>
      <c r="C19" t="inlineStr">
        <is>
          <t>Giá xuống dưới</t>
        </is>
      </c>
      <c r="D19" s="922" t="n">
        <v>24000</v>
      </c>
      <c r="E19" t="inlineStr">
        <is>
          <t>CẢNH BÁO</t>
        </is>
      </c>
      <c r="F19" t="inlineStr">
        <is>
          <t>🟢 Active</t>
        </is>
      </c>
    </row>
    <row r="20" ht="15" customHeight="1" s="981">
      <c r="A20" t="n">
        <v>3</v>
      </c>
      <c r="B20" s="922" t="inlineStr">
        <is>
          <t>FPT</t>
        </is>
      </c>
      <c r="C20" t="inlineStr">
        <is>
          <t>Volume &gt; TB 3 lần</t>
        </is>
      </c>
      <c r="D20" s="922" t="inlineStr">
        <is>
          <t>3xVol30D</t>
        </is>
      </c>
      <c r="E20" t="inlineStr">
        <is>
          <t>CHÚ Ý</t>
        </is>
      </c>
      <c r="F20" t="inlineStr">
        <is>
          <t>🟢 Active</t>
        </is>
      </c>
    </row>
    <row r="21" ht="15" customHeight="1" s="981">
      <c r="A21" t="n">
        <v>4</v>
      </c>
      <c r="B21" s="922" t="inlineStr">
        <is>
          <t>VCB</t>
        </is>
      </c>
      <c r="C21" t="inlineStr">
        <is>
          <t>RSI &gt; 70</t>
        </is>
      </c>
      <c r="D21" s="922" t="n">
        <v>70</v>
      </c>
      <c r="E21" t="inlineStr">
        <is>
          <t>BÁN BỚT</t>
        </is>
      </c>
      <c r="F21" t="inlineStr">
        <is>
          <t>🟢 Active</t>
        </is>
      </c>
    </row>
    <row r="22" ht="15" customHeight="1" s="981">
      <c r="A22" t="n">
        <v>5</v>
      </c>
      <c r="B22" s="922" t="inlineStr">
        <is>
          <t>HPG</t>
        </is>
      </c>
      <c r="C22" t="inlineStr">
        <is>
          <t>RSI &lt; 30</t>
        </is>
      </c>
      <c r="D22" s="922" t="n">
        <v>30</v>
      </c>
      <c r="E22" t="inlineStr">
        <is>
          <t>CƠ HỘI MUA</t>
        </is>
      </c>
      <c r="F22" t="inlineStr">
        <is>
          <t>🟢 Active</t>
        </is>
      </c>
    </row>
    <row r="23" ht="15" customHeight="1" s="981">
      <c r="A23" t="n">
        <v>6</v>
      </c>
      <c r="B23" s="922" t="inlineStr">
        <is>
          <t>XAU/USD</t>
        </is>
      </c>
      <c r="C23" t="inlineStr">
        <is>
          <t>% thay đổi 1 ngày</t>
        </is>
      </c>
      <c r="D23" s="922" t="inlineStr">
        <is>
          <t>±2%</t>
        </is>
      </c>
      <c r="E23" t="inlineStr">
        <is>
          <t>MACRO ALERT</t>
        </is>
      </c>
      <c r="F23" t="inlineStr">
        <is>
          <t>🟢 Active</t>
        </is>
      </c>
    </row>
    <row r="24" ht="15" customHeight="1" s="981">
      <c r="A24" t="n">
        <v>7</v>
      </c>
      <c r="B24" s="922" t="inlineStr">
        <is>
          <t>USD/VND</t>
        </is>
      </c>
      <c r="C24" t="inlineStr">
        <is>
          <t>Tỷ giá vượt</t>
        </is>
      </c>
      <c r="D24" s="922" t="n">
        <v>26000</v>
      </c>
      <c r="E24" t="inlineStr">
        <is>
          <t>PHÒNG VỆ</t>
        </is>
      </c>
      <c r="F24" t="inlineStr">
        <is>
          <t>🟢 Active</t>
        </is>
      </c>
    </row>
    <row r="25" ht="15" customHeight="1" s="981">
      <c r="A25" t="n">
        <v>8</v>
      </c>
      <c r="B25" s="922" t="inlineStr">
        <is>
          <t>VN-Index</t>
        </is>
      </c>
      <c r="C25" t="inlineStr">
        <is>
          <t>Giảm 1 phiên</t>
        </is>
      </c>
      <c r="D25" s="922" t="inlineStr">
        <is>
          <t>-3%</t>
        </is>
      </c>
      <c r="E25" t="inlineStr">
        <is>
          <t>PANIC ALERT</t>
        </is>
      </c>
      <c r="F25" t="inlineStr">
        <is>
          <t>🟢 Active</t>
        </is>
      </c>
    </row>
    <row r="28" ht="15" customHeight="1" s="981">
      <c r="A28" s="921" t="inlineStr">
        <is>
          <t>💡 LƯU Ý</t>
        </is>
      </c>
    </row>
    <row r="29" ht="15" customHeight="1" s="981">
      <c r="A29" t="inlineStr">
        <is>
          <t>• Mã + Ngưỡng (ô vàng) là tự cháu điền/sửa</t>
        </is>
      </c>
    </row>
    <row r="30" ht="15" customHeight="1" s="981">
      <c r="A30" t="inlineStr">
        <is>
          <t>• Cháu chạy script alert.py mỗi 5 phút để bot tự kiểm tra</t>
        </is>
      </c>
    </row>
    <row r="31" ht="15" customHeight="1" s="981">
      <c r="A31" t="inlineStr">
        <is>
          <t>• Khi giá chạm ngưỡng → Telegram gửi tin nhắn ngay đến điện thoại</t>
        </is>
      </c>
    </row>
    <row r="32" ht="15" customHeight="1" s="981">
      <c r="A32" t="inlineStr">
        <is>
          <t>• MIỄN PHÍ 100% (Telegram bot không tốn phí)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Normal="100" workbookViewId="0">
      <selection activeCell="A1" sqref="A1"/>
    </sheetView>
  </sheetViews>
  <sheetFormatPr baseColWidth="8" defaultColWidth="8.6640625" defaultRowHeight="14.4"/>
  <cols>
    <col width="24" customWidth="1" style="981" min="1" max="5"/>
  </cols>
  <sheetData>
    <row r="1" ht="30" customHeight="1" s="981">
      <c r="A1" s="1238" t="inlineStr">
        <is>
          <t>🎲 OPTIONS GREEKS — Black-Scholes Δ Γ Θ ν ρ</t>
        </is>
      </c>
    </row>
    <row r="3" ht="15" customHeight="1" s="981">
      <c r="A3" s="921" t="inlineStr">
        <is>
          <t>⚙ INPUT (Cháu điền vào ô vàng)</t>
        </is>
      </c>
    </row>
    <row r="4" ht="15" customHeight="1" s="981">
      <c r="A4" t="inlineStr">
        <is>
          <t>S (Giá cổ phiếu/quyền cơ sở):</t>
        </is>
      </c>
      <c r="B4" s="922" t="n">
        <v>26250</v>
      </c>
    </row>
    <row r="5" ht="15" customHeight="1" s="981">
      <c r="A5" t="inlineStr">
        <is>
          <t>K (Strike Price):</t>
        </is>
      </c>
      <c r="B5" s="922" t="n">
        <v>27000</v>
      </c>
    </row>
    <row r="6" ht="15" customHeight="1" s="981">
      <c r="A6" t="inlineStr">
        <is>
          <t>T (Thời gian đến hết hạn — năm):</t>
        </is>
      </c>
      <c r="B6" s="922" t="n">
        <v>0.25</v>
      </c>
    </row>
    <row r="7" ht="15" customHeight="1" s="981">
      <c r="A7" t="inlineStr">
        <is>
          <t>r (Lãi suất phi rủi ro, ví dụ 0.05 = 5%):</t>
        </is>
      </c>
      <c r="B7" s="922" t="n">
        <v>0.05</v>
      </c>
    </row>
    <row r="8" ht="15" customHeight="1" s="981">
      <c r="A8" t="inlineStr">
        <is>
          <t>σ (Volatility, ví dụ 0.30 = 30%):</t>
        </is>
      </c>
      <c r="B8" s="922" t="n">
        <v>0.3</v>
      </c>
    </row>
    <row r="9" ht="15" customHeight="1" s="981">
      <c r="A9" t="inlineStr">
        <is>
          <t>q (Cổ tức yield, ví dụ 0.02 = 2%):</t>
        </is>
      </c>
      <c r="B9" s="922" t="n">
        <v>0.02</v>
      </c>
    </row>
    <row r="11" ht="15" customHeight="1" s="981">
      <c r="A11" s="921" t="inlineStr">
        <is>
          <t>📐 D1 và D2 (Black-Scholes intermediate)</t>
        </is>
      </c>
    </row>
    <row r="12" ht="15" customHeight="1" s="981">
      <c r="A12" t="inlineStr">
        <is>
          <t>d1 =</t>
        </is>
      </c>
      <c r="B12">
        <f>(LN(B4/B5)+(B7-B9+B8^2/2)*B6)/(B8*SQRT(B6))</f>
        <v/>
      </c>
    </row>
    <row r="13" ht="15" customHeight="1" s="981">
      <c r="A13" t="inlineStr">
        <is>
          <t>d2 =</t>
        </is>
      </c>
      <c r="B13">
        <f>B12-B8*SQRT(B6)</f>
        <v/>
      </c>
    </row>
    <row r="14" ht="15" customHeight="1" s="981">
      <c r="A14" t="inlineStr">
        <is>
          <t>N(d1) — xác suất chuẩn:</t>
        </is>
      </c>
      <c r="B14">
        <f>NORMSDIST(B12)</f>
        <v/>
      </c>
    </row>
    <row r="15" ht="15" customHeight="1" s="981">
      <c r="A15" t="inlineStr">
        <is>
          <t>N(d2):</t>
        </is>
      </c>
      <c r="B15">
        <f>NORMSDIST(B13)</f>
        <v/>
      </c>
    </row>
    <row r="16" ht="15" customHeight="1" s="981">
      <c r="A16" t="inlineStr">
        <is>
          <t>N'(d1) — mật độ:</t>
        </is>
      </c>
      <c r="B16">
        <f>EXP(-B12^2/2)/SQRT(2*PI())</f>
        <v/>
      </c>
    </row>
    <row r="18" ht="15" customHeight="1" s="981">
      <c r="A18" s="921" t="inlineStr">
        <is>
          <t>💰 GIÁ QUYỀN CHỌN</t>
        </is>
      </c>
    </row>
    <row r="19" ht="15" customHeight="1" s="981">
      <c r="A19" s="923" t="inlineStr">
        <is>
          <t>Loại</t>
        </is>
      </c>
      <c r="B19" s="923" t="inlineStr">
        <is>
          <t>Công thức</t>
        </is>
      </c>
      <c r="C19" s="923" t="inlineStr">
        <is>
          <t>Giá quyền</t>
        </is>
      </c>
      <c r="D19" s="923" t="inlineStr">
        <is>
          <t>Diễn giải</t>
        </is>
      </c>
    </row>
    <row r="20" ht="15" customHeight="1" s="981">
      <c r="A20" t="inlineStr">
        <is>
          <t>CALL (mua quyền)</t>
        </is>
      </c>
      <c r="B20" t="inlineStr">
        <is>
          <t>C = S·e^(-qT)·N(d1) - K·e^(-rT)·N(d2)</t>
        </is>
      </c>
      <c r="C20" s="925">
        <f>B4*EXP(-B9*B6)*B14-B5*EXP(-B7*B6)*B15</f>
        <v/>
      </c>
      <c r="D20" t="inlineStr">
        <is>
          <t>Quyền mua S tại giá K</t>
        </is>
      </c>
    </row>
    <row r="21" ht="15" customHeight="1" s="981">
      <c r="A21" t="inlineStr">
        <is>
          <t>PUT (bán quyền)</t>
        </is>
      </c>
      <c r="B21" t="inlineStr">
        <is>
          <t>P = K·e^(-rT)·N(-d2) - S·e^(-qT)·N(-d1)</t>
        </is>
      </c>
      <c r="C21" s="925">
        <f>B5*EXP(-B7*B6)*(1-B15)-B4*EXP(-B9*B6)*(1-B14)</f>
        <v/>
      </c>
      <c r="D21" t="inlineStr">
        <is>
          <t>Quyền bán S tại giá K</t>
        </is>
      </c>
    </row>
    <row r="23" ht="15" customHeight="1" s="981">
      <c r="A23" s="921" t="inlineStr">
        <is>
          <t>🇬🇷 5 GREEKS — Độ nhạy quyền chọn</t>
        </is>
      </c>
    </row>
    <row r="24" ht="15" customHeight="1" s="981">
      <c r="A24" s="923" t="inlineStr">
        <is>
          <t>Greek</t>
        </is>
      </c>
      <c r="B24" s="923" t="inlineStr">
        <is>
          <t>Công thức</t>
        </is>
      </c>
      <c r="C24" s="923" t="inlineStr">
        <is>
          <t>CALL</t>
        </is>
      </c>
      <c r="D24" s="923" t="inlineStr">
        <is>
          <t>PUT</t>
        </is>
      </c>
      <c r="E24" s="923" t="inlineStr">
        <is>
          <t>Ý nghĩa cho Sói</t>
        </is>
      </c>
    </row>
    <row r="25" ht="15" customHeight="1" s="981">
      <c r="A25" t="inlineStr">
        <is>
          <t>Δ DELTA</t>
        </is>
      </c>
      <c r="B25" t="inlineStr">
        <is>
          <t>∂V/∂S</t>
        </is>
      </c>
      <c r="C25" s="925">
        <f>EXP(-B9*B6)*B14</f>
        <v/>
      </c>
      <c r="D25" s="925">
        <f>-EXP(-B9*B6)*(1-B14)</f>
        <v/>
      </c>
      <c r="E25" t="inlineStr">
        <is>
          <t>Thay đổi giá quyền khi S tăng 1đ</t>
        </is>
      </c>
    </row>
    <row r="26" ht="15" customHeight="1" s="981">
      <c r="A26" t="inlineStr">
        <is>
          <t>Γ GAMMA</t>
        </is>
      </c>
      <c r="B26" t="inlineStr">
        <is>
          <t>∂²V/∂S²</t>
        </is>
      </c>
      <c r="C26" s="925">
        <f>EXP(-B9*B6)*B16/(B4*B8*SQRT(B6))</f>
        <v/>
      </c>
      <c r="D26" s="925">
        <f>C26</f>
        <v/>
      </c>
      <c r="E26" t="inlineStr">
        <is>
          <t>Tốc độ thay đổi Delta</t>
        </is>
      </c>
    </row>
    <row r="27" ht="15" customHeight="1" s="981">
      <c r="A27" t="inlineStr">
        <is>
          <t>Θ THETA (ngày)</t>
        </is>
      </c>
      <c r="B27" t="inlineStr">
        <is>
          <t>∂V/∂t</t>
        </is>
      </c>
      <c r="C27" s="925">
        <f>(-B4*EXP(-B9*B6)*B16*B8/(2*SQRT(B6))-B7*B5*EXP(-B7*B6)*B15+B9*B4*EXP(-B9*B6)*B14)/365</f>
        <v/>
      </c>
      <c r="D27" s="925">
        <f>(-B4*EXP(-B9*B6)*B16*B8/(2*SQRT(B6))+B7*B5*EXP(-B7*B6)*(1-B15)-B9*B4*EXP(-B9*B6)*(1-B14))/365</f>
        <v/>
      </c>
      <c r="E27" t="inlineStr">
        <is>
          <t>Thời gian "ăn mòn" mỗi ngày</t>
        </is>
      </c>
    </row>
    <row r="28" ht="15" customHeight="1" s="981">
      <c r="A28" t="inlineStr">
        <is>
          <t>ν VEGA (1% σ)</t>
        </is>
      </c>
      <c r="B28" t="inlineStr">
        <is>
          <t>∂V/∂σ</t>
        </is>
      </c>
      <c r="C28" s="925">
        <f>B4*EXP(-B9*B6)*B16*SQRT(B6)/100</f>
        <v/>
      </c>
      <c r="D28" s="925">
        <f>C28</f>
        <v/>
      </c>
      <c r="E28" t="inlineStr">
        <is>
          <t>Nhạy với biến động</t>
        </is>
      </c>
    </row>
    <row r="29" ht="15" customHeight="1" s="981">
      <c r="A29" t="inlineStr">
        <is>
          <t>ρ RHO (1% r)</t>
        </is>
      </c>
      <c r="B29" t="inlineStr">
        <is>
          <t>∂V/∂r</t>
        </is>
      </c>
      <c r="C29" s="925">
        <f>B5*B6*EXP(-B7*B6)*B15/100</f>
        <v/>
      </c>
      <c r="D29" s="925">
        <f>-B5*B6*EXP(-B7*B6)*(1-B15)/100</f>
        <v/>
      </c>
      <c r="E29" t="inlineStr">
        <is>
          <t>Nhạy với lãi suất</t>
        </is>
      </c>
    </row>
    <row r="31" ht="15" customHeight="1" s="981">
      <c r="A31" s="921" t="inlineStr">
        <is>
          <t>⚠ LƯU Ý CHO TT VN</t>
        </is>
      </c>
    </row>
    <row r="32" ht="15" customHeight="1" s="981">
      <c r="A32" t="inlineStr">
        <is>
          <t>Sàn HOSE chưa có Options trên cổ phiếu lẻ. Module này dùng cho:</t>
        </is>
      </c>
    </row>
    <row r="33" ht="15" customHeight="1" s="981">
      <c r="A33" t="inlineStr">
        <is>
          <t>• Chứng quyền có bảo đảm (CW): MBB-CW, VNM-CW...</t>
        </is>
      </c>
    </row>
    <row r="34" ht="15" customHeight="1" s="981">
      <c r="A34" t="inlineStr">
        <is>
          <t>• Phái sinh VN30F (futures)</t>
        </is>
      </c>
    </row>
    <row r="35" ht="15" customHeight="1" s="981">
      <c r="A35" t="inlineStr">
        <is>
          <t>• Options trên thị trường quốc tế (US, HK, SG)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Normal="100" workbookViewId="0">
      <selection activeCell="A1" sqref="A1"/>
    </sheetView>
  </sheetViews>
  <sheetFormatPr baseColWidth="8" defaultColWidth="8.6640625" defaultRowHeight="14.4"/>
  <cols>
    <col width="18" customWidth="1" style="981" min="1" max="8"/>
  </cols>
  <sheetData>
    <row r="1" ht="30" customHeight="1" s="981">
      <c r="A1" s="1238" t="inlineStr">
        <is>
          <t>🎯 PORTFOLIO OPTIMIZATION — Markowitz with Constraints</t>
        </is>
      </c>
    </row>
    <row r="3" ht="15" customHeight="1" s="981">
      <c r="A3" s="921" t="inlineStr">
        <is>
          <t>⚙ INPUT — Cấu hình danh mục 10 mã</t>
        </is>
      </c>
    </row>
    <row r="4" ht="15" customHeight="1" s="981">
      <c r="A4" t="inlineStr">
        <is>
          <t>Vốn tổng (VND):</t>
        </is>
      </c>
      <c r="B4" s="922" t="n">
        <v>1000000000</v>
      </c>
    </row>
    <row r="5" ht="15" customHeight="1" s="981">
      <c r="A5" t="inlineStr">
        <is>
          <t>Tỷ trọng tối đa 1 mã:</t>
        </is>
      </c>
      <c r="B5" s="922" t="n">
        <v>0.15</v>
      </c>
    </row>
    <row r="6" ht="15" customHeight="1" s="981">
      <c r="A6" t="inlineStr">
        <is>
          <t>Tỷ trọng tối đa 1 ngành:</t>
        </is>
      </c>
      <c r="B6" s="922" t="n">
        <v>0.3</v>
      </c>
    </row>
    <row r="7" ht="15" customHeight="1" s="981">
      <c r="A7" t="inlineStr">
        <is>
          <t>Target return (CAGR mong muốn):</t>
        </is>
      </c>
      <c r="B7" s="922" t="n">
        <v>0.2</v>
      </c>
    </row>
    <row r="8" ht="15" customHeight="1" s="981">
      <c r="A8" t="inlineStr">
        <is>
          <t>Risk free rate:</t>
        </is>
      </c>
      <c r="B8" s="922" t="n">
        <v>0.04</v>
      </c>
    </row>
    <row r="10" ht="15" customHeight="1" s="981">
      <c r="A10" s="921" t="inlineStr">
        <is>
          <t>📊 10 MÃ ỨNG VIÊN — Tự điền</t>
        </is>
      </c>
    </row>
    <row r="11" ht="15" customHeight="1" s="981">
      <c r="A11" s="923" t="inlineStr">
        <is>
          <t>STT</t>
        </is>
      </c>
      <c r="B11" s="923" t="inlineStr">
        <is>
          <t>Mã</t>
        </is>
      </c>
      <c r="C11" s="923" t="inlineStr">
        <is>
          <t>Ngành</t>
        </is>
      </c>
      <c r="D11" s="923" t="inlineStr">
        <is>
          <t>E(R) %</t>
        </is>
      </c>
      <c r="E11" s="923" t="inlineStr">
        <is>
          <t>σ %</t>
        </is>
      </c>
      <c r="F11" s="923" t="inlineStr">
        <is>
          <t>VERDICT 500</t>
        </is>
      </c>
      <c r="G11" s="923" t="inlineStr">
        <is>
          <t>Tỷ trọng đề xuất %</t>
        </is>
      </c>
      <c r="H11" s="923" t="inlineStr">
        <is>
          <t>Vốn (tr)</t>
        </is>
      </c>
    </row>
    <row r="12" ht="15" customHeight="1" s="981">
      <c r="A12" t="n">
        <v>1</v>
      </c>
      <c r="B12" s="922" t="inlineStr">
        <is>
          <t>MBB</t>
        </is>
      </c>
      <c r="C12" t="inlineStr">
        <is>
          <t>Ngân hàng</t>
        </is>
      </c>
      <c r="D12" s="922" t="n">
        <v>22</v>
      </c>
      <c r="E12" s="922" t="n">
        <v>28</v>
      </c>
      <c r="F12" s="922" t="n">
        <v>320</v>
      </c>
      <c r="G12" s="925" t="n">
        <v>12</v>
      </c>
      <c r="H12" s="925">
        <f>B4*G12/100/1000000</f>
        <v/>
      </c>
    </row>
    <row r="13" ht="15" customHeight="1" s="981">
      <c r="A13" t="n">
        <v>2</v>
      </c>
      <c r="B13" s="922" t="inlineStr">
        <is>
          <t>VCB</t>
        </is>
      </c>
      <c r="C13" t="inlineStr">
        <is>
          <t>Ngân hàng</t>
        </is>
      </c>
      <c r="D13" s="922" t="n">
        <v>18</v>
      </c>
      <c r="E13" s="922" t="n">
        <v>24</v>
      </c>
      <c r="F13" s="922" t="n">
        <v>280</v>
      </c>
      <c r="G13" s="925" t="n">
        <v>8</v>
      </c>
      <c r="H13" s="925">
        <f>B4*G13/100/1000000</f>
        <v/>
      </c>
    </row>
    <row r="14" ht="15" customHeight="1" s="981">
      <c r="A14" t="n">
        <v>3</v>
      </c>
      <c r="B14" s="922" t="inlineStr">
        <is>
          <t>FPT</t>
        </is>
      </c>
      <c r="C14" t="inlineStr">
        <is>
          <t>Công nghệ</t>
        </is>
      </c>
      <c r="D14" s="922" t="n">
        <v>28</v>
      </c>
      <c r="E14" s="922" t="n">
        <v>32</v>
      </c>
      <c r="F14" s="922" t="n">
        <v>380</v>
      </c>
      <c r="G14" s="925" t="n">
        <v>15</v>
      </c>
      <c r="H14" s="925">
        <f>B4*G14/100/1000000</f>
        <v/>
      </c>
    </row>
    <row r="15" ht="15" customHeight="1" s="981">
      <c r="A15" t="n">
        <v>4</v>
      </c>
      <c r="B15" s="922" t="inlineStr">
        <is>
          <t>HPG</t>
        </is>
      </c>
      <c r="C15" t="inlineStr">
        <is>
          <t>Vật liệu</t>
        </is>
      </c>
      <c r="D15" s="922" t="n">
        <v>16</v>
      </c>
      <c r="E15" s="922" t="n">
        <v>38</v>
      </c>
      <c r="F15" s="922" t="n">
        <v>250</v>
      </c>
      <c r="G15" s="925" t="n">
        <v>8</v>
      </c>
      <c r="H15" s="925">
        <f>B4*G15/100/1000000</f>
        <v/>
      </c>
    </row>
    <row r="16" ht="15" customHeight="1" s="981">
      <c r="A16" t="n">
        <v>5</v>
      </c>
      <c r="B16" s="922" t="inlineStr">
        <is>
          <t>VNM</t>
        </is>
      </c>
      <c r="C16" t="inlineStr">
        <is>
          <t>Tiêu dùng</t>
        </is>
      </c>
      <c r="D16" s="922" t="n">
        <v>14</v>
      </c>
      <c r="E16" s="922" t="n">
        <v>22</v>
      </c>
      <c r="F16" s="922" t="n">
        <v>290</v>
      </c>
      <c r="G16" s="925" t="n">
        <v>10</v>
      </c>
      <c r="H16" s="925">
        <f>B4*G16/100/1000000</f>
        <v/>
      </c>
    </row>
    <row r="17" ht="15" customHeight="1" s="981">
      <c r="A17" t="n">
        <v>6</v>
      </c>
      <c r="B17" s="922" t="inlineStr">
        <is>
          <t>MWG</t>
        </is>
      </c>
      <c r="C17" t="inlineStr">
        <is>
          <t>Bán lẻ</t>
        </is>
      </c>
      <c r="D17" s="922" t="n">
        <v>25</v>
      </c>
      <c r="E17" s="922" t="n">
        <v>35</v>
      </c>
      <c r="F17" s="922" t="n">
        <v>340</v>
      </c>
      <c r="G17" s="925" t="n">
        <v>12</v>
      </c>
      <c r="H17" s="925">
        <f>B4*G17/100/1000000</f>
        <v/>
      </c>
    </row>
    <row r="18" ht="15" customHeight="1" s="981">
      <c r="A18" t="n">
        <v>7</v>
      </c>
      <c r="B18" s="922" t="inlineStr">
        <is>
          <t>VHM</t>
        </is>
      </c>
      <c r="C18" t="inlineStr">
        <is>
          <t>BĐS</t>
        </is>
      </c>
      <c r="D18" s="922" t="n">
        <v>18</v>
      </c>
      <c r="E18" s="922" t="n">
        <v>42</v>
      </c>
      <c r="F18" s="922" t="n">
        <v>260</v>
      </c>
      <c r="G18" s="925" t="n">
        <v>6</v>
      </c>
      <c r="H18" s="925">
        <f>B4*G18/100/1000000</f>
        <v/>
      </c>
    </row>
    <row r="19" ht="15" customHeight="1" s="981">
      <c r="A19" t="n">
        <v>8</v>
      </c>
      <c r="B19" s="922" t="inlineStr">
        <is>
          <t>PNJ</t>
        </is>
      </c>
      <c r="C19" t="inlineStr">
        <is>
          <t>Tiêu dùng</t>
        </is>
      </c>
      <c r="D19" s="922" t="n">
        <v>20</v>
      </c>
      <c r="E19" s="922" t="n">
        <v>30</v>
      </c>
      <c r="F19" s="922" t="n">
        <v>310</v>
      </c>
      <c r="G19" s="925" t="n">
        <v>8</v>
      </c>
      <c r="H19" s="925">
        <f>B4*G19/100/1000000</f>
        <v/>
      </c>
    </row>
    <row r="20" ht="15" customHeight="1" s="981">
      <c r="A20" t="n">
        <v>9</v>
      </c>
      <c r="B20" s="922" t="inlineStr">
        <is>
          <t>CTR</t>
        </is>
      </c>
      <c r="C20" t="inlineStr">
        <is>
          <t>Viễn thông</t>
        </is>
      </c>
      <c r="D20" s="922" t="n">
        <v>26</v>
      </c>
      <c r="E20" s="922" t="n">
        <v>36</v>
      </c>
      <c r="F20" s="922" t="n">
        <v>360</v>
      </c>
      <c r="G20" s="925" t="n">
        <v>12</v>
      </c>
      <c r="H20" s="925">
        <f>B4*G20/100/1000000</f>
        <v/>
      </c>
    </row>
    <row r="21" ht="15" customHeight="1" s="981">
      <c r="A21" t="n">
        <v>10</v>
      </c>
      <c r="B21" s="922" t="inlineStr">
        <is>
          <t>GAS</t>
        </is>
      </c>
      <c r="C21" t="inlineStr">
        <is>
          <t>Năng lượng</t>
        </is>
      </c>
      <c r="D21" s="922" t="n">
        <v>12</v>
      </c>
      <c r="E21" s="922" t="n">
        <v>28</v>
      </c>
      <c r="F21" s="922" t="n">
        <v>240</v>
      </c>
      <c r="G21" s="925" t="n">
        <v>9</v>
      </c>
      <c r="H21" s="925">
        <f>B4*G21/100/1000000</f>
        <v/>
      </c>
    </row>
    <row r="22" ht="15" customHeight="1" s="981">
      <c r="A22" s="926" t="inlineStr">
        <is>
          <t>TỔNG</t>
        </is>
      </c>
      <c r="G22" s="927">
        <f>SUM(G12:G21)</f>
        <v/>
      </c>
      <c r="H22" s="927">
        <f>SUM(H12:H21)</f>
        <v/>
      </c>
    </row>
    <row r="24" ht="15" customHeight="1" s="981">
      <c r="A24" s="921" t="inlineStr">
        <is>
          <t>📈 KỲ VỌNG DANH MỤC</t>
        </is>
      </c>
    </row>
    <row r="25" ht="15" customHeight="1" s="981">
      <c r="A25" t="inlineStr">
        <is>
          <t>Expected Return %:</t>
        </is>
      </c>
      <c r="B25" s="925">
        <f>SUMPRODUCT(D12:D21,G12:G21)/100</f>
        <v/>
      </c>
    </row>
    <row r="26" ht="15" customHeight="1" s="981">
      <c r="A26" t="inlineStr">
        <is>
          <t>Portfolio σ (xấp xỉ, ρ=0):</t>
        </is>
      </c>
      <c r="B26" s="925">
        <f>SQRT(SUMPRODUCT((E12:E21)^2,(G12:G21/100)^2))</f>
        <v/>
      </c>
    </row>
    <row r="27" ht="15" customHeight="1" s="981">
      <c r="A27" t="inlineStr">
        <is>
          <t>Sharpe Ratio:</t>
        </is>
      </c>
      <c r="B27" s="925">
        <f>(B25-B8*100)/B26</f>
        <v/>
      </c>
    </row>
    <row r="28" ht="15" customHeight="1" s="981">
      <c r="A28" t="inlineStr">
        <is>
          <t>Đánh giá:</t>
        </is>
      </c>
      <c r="B28" s="925">
        <f>IF(B27&gt;1.5,"🟢 Xuất sắc",IF(B27&gt;1,"🟡 Khá",IF(B27&gt;0.5,"🟠 Chấp nhận","🔴 Yếu")))</f>
        <v/>
      </c>
    </row>
    <row r="30" ht="15" customHeight="1" s="981">
      <c r="A30" s="921" t="inlineStr">
        <is>
          <t>🚨 CONSTRAINTS CHECK</t>
        </is>
      </c>
    </row>
    <row r="31" ht="15" customHeight="1" s="981">
      <c r="A31" s="923" t="inlineStr">
        <is>
          <t>Ràng buộc</t>
        </is>
      </c>
      <c r="B31" s="923" t="inlineStr">
        <is>
          <t>Giá trị</t>
        </is>
      </c>
      <c r="C31" s="923" t="inlineStr">
        <is>
          <t>Trạng thái</t>
        </is>
      </c>
    </row>
    <row r="32" ht="15" customHeight="1" s="981">
      <c r="A32" t="inlineStr">
        <is>
          <t>Tổng tỷ trọng = 100%:</t>
        </is>
      </c>
      <c r="B32">
        <f>G22</f>
        <v/>
      </c>
      <c r="C32">
        <f>IF(B32=100,"✅ OK","❌ Vi phạm")</f>
        <v/>
      </c>
    </row>
    <row r="33" ht="15" customHeight="1" s="981">
      <c r="A33" t="inlineStr">
        <is>
          <t>Max 1 mã ≤ 15%:</t>
        </is>
      </c>
      <c r="B33">
        <f>MAX(G12:G21)</f>
        <v/>
      </c>
      <c r="C33">
        <f>IF(B33&lt;=B5*100,"✅ OK","❌ Vi phạm")</f>
        <v/>
      </c>
    </row>
    <row r="34" ht="15" customHeight="1" s="981">
      <c r="A34" t="inlineStr">
        <is>
          <t>Ngành Ngân hàng ≤ 30%:</t>
        </is>
      </c>
      <c r="B34">
        <f>SUMIF(C12:C21,"Ngân hàng",G12:G21)</f>
        <v/>
      </c>
      <c r="C34">
        <f>IF(B34&lt;=B6*100,"✅ OK","❌ Vi phạm")</f>
        <v/>
      </c>
    </row>
    <row r="35" ht="15" customHeight="1" s="981">
      <c r="A35" t="inlineStr">
        <is>
          <t>Mọi mã có VERDICT &gt; 250:</t>
        </is>
      </c>
      <c r="B35">
        <f>COUNTIF(F12:F21,"&gt;250")&amp;"/10"</f>
        <v/>
      </c>
      <c r="C35">
        <f>IF(COUNTIF(F12:F21,"&gt;250")=10,"✅ OK","⚠ Vài mã yếu")</f>
        <v/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5"/>
  <sheetViews>
    <sheetView zoomScaleNormal="100" workbookViewId="0">
      <selection activeCell="A1" sqref="A1"/>
    </sheetView>
  </sheetViews>
  <sheetFormatPr baseColWidth="8" defaultColWidth="8.6640625" defaultRowHeight="14.4"/>
  <cols>
    <col width="18" customWidth="1" style="981" min="1" max="7"/>
  </cols>
  <sheetData>
    <row r="1" ht="30" customHeight="1" s="981">
      <c r="A1" s="1238" t="inlineStr">
        <is>
          <t>🐦 X (Twitter) SENTIMENT — Real-time mạng xã hội</t>
        </is>
      </c>
    </row>
    <row r="3" ht="15" customHeight="1" s="981">
      <c r="A3" s="921" t="inlineStr">
        <is>
          <t>📡 NGUỒN DỮ LIỆU SENTIMENT</t>
        </is>
      </c>
    </row>
    <row r="4" ht="15" customHeight="1" s="981">
      <c r="A4" t="inlineStr">
        <is>
          <t>1. X (Twitter) API v2 — Free tier 500 tweet/tháng</t>
        </is>
      </c>
    </row>
    <row r="5" ht="15" customHeight="1" s="981">
      <c r="A5" t="inlineStr">
        <is>
          <t>2. Reddit r/Vietnam, r/wallstreetbets, r/investing</t>
        </is>
      </c>
    </row>
    <row r="6" ht="15" customHeight="1" s="981">
      <c r="A6" t="inlineStr">
        <is>
          <t>3. Tiktok / Facebook (qua scraper)</t>
        </is>
      </c>
    </row>
    <row r="7" ht="15" customHeight="1" s="981">
      <c r="A7" t="inlineStr">
        <is>
          <t>4. F319, FireAnt forum VN</t>
        </is>
      </c>
    </row>
    <row r="9" ht="15" customHeight="1" s="981">
      <c r="A9" s="921" t="inlineStr">
        <is>
          <t>⚙ HƯỚNG DẪN SETUP X API (1 LẦN)</t>
        </is>
      </c>
    </row>
    <row r="10" ht="15" customHeight="1" s="981">
      <c r="A10" s="924" t="inlineStr">
        <is>
          <t>Bước 1: Vào developer.twitter.com → Sign up Free tier</t>
        </is>
      </c>
    </row>
    <row r="11" ht="15" customHeight="1" s="981">
      <c r="A11" s="924" t="inlineStr">
        <is>
          <t>Bước 2: Tạo App → nhận BEARER_TOKEN</t>
        </is>
      </c>
    </row>
    <row r="12" ht="15" customHeight="1" s="981">
      <c r="A12" s="924" t="inlineStr">
        <is>
          <t>Bước 3: Cài thư viện Python: pip install tweepy</t>
        </is>
      </c>
    </row>
    <row r="13" ht="15" customHeight="1" s="981">
      <c r="A13" s="924" t="inlineStr">
        <is>
          <t>Bước 4: Dán BEARER_TOKEN vào ô B17</t>
        </is>
      </c>
    </row>
    <row r="14" ht="15" customHeight="1" s="981">
      <c r="A14" s="924" t="inlineStr">
        <is>
          <t>Bước 5: Chạy script x_sentiment.py (ông sẽ gửi sau)</t>
        </is>
      </c>
    </row>
    <row r="15" ht="15" customHeight="1" s="981">
      <c r="A15" s="924" t="inlineStr">
        <is>
          <t>Bước 6: Script tự gọi GPT/Claude API để chấm sentiment (Tích cực/Tiêu cực/Trung lập)</t>
        </is>
      </c>
    </row>
    <row r="17" ht="15" customHeight="1" s="981">
      <c r="A17" t="inlineStr">
        <is>
          <t>X_BEARER_TOKEN:</t>
        </is>
      </c>
      <c r="B17" s="922" t="inlineStr">
        <is>
          <t>&lt;dán bearer token vào đây&gt;</t>
        </is>
      </c>
    </row>
    <row r="18" ht="15" customHeight="1" s="981">
      <c r="A18" t="inlineStr">
        <is>
          <t>GPT_API_KEY (cho sentiment):</t>
        </is>
      </c>
      <c r="B18" s="922" t="inlineStr">
        <is>
          <t>&lt;API key OpenAI/Claude&gt;</t>
        </is>
      </c>
    </row>
    <row r="20" ht="15" customHeight="1" s="981">
      <c r="A20" s="921" t="inlineStr">
        <is>
          <t>📊 SENTIMENT 10 MÃ HOT NHẤT</t>
        </is>
      </c>
    </row>
    <row r="21" ht="15" customHeight="1" s="981">
      <c r="A21" s="923" t="inlineStr">
        <is>
          <t>Mã</t>
        </is>
      </c>
      <c r="B21" s="923" t="inlineStr">
        <is>
          <t>Tweet 24h</t>
        </is>
      </c>
      <c r="C21" s="923" t="inlineStr">
        <is>
          <t>% Tích cực</t>
        </is>
      </c>
      <c r="D21" s="923" t="inlineStr">
        <is>
          <t>% Trung lập</t>
        </is>
      </c>
      <c r="E21" s="923" t="inlineStr">
        <is>
          <t>% Tiêu cực</t>
        </is>
      </c>
      <c r="F21" s="923" t="inlineStr">
        <is>
          <t>Sentiment Score</t>
        </is>
      </c>
      <c r="G21" s="923" t="inlineStr">
        <is>
          <t>Tín hiệu</t>
        </is>
      </c>
    </row>
    <row r="22" ht="15" customHeight="1" s="981">
      <c r="A22" t="inlineStr">
        <is>
          <t>MBB</t>
        </is>
      </c>
      <c r="B22" t="n">
        <v>245</v>
      </c>
      <c r="C22" t="n">
        <v>62</v>
      </c>
      <c r="D22" t="n">
        <v>28</v>
      </c>
      <c r="E22" t="n">
        <v>10</v>
      </c>
      <c r="F22" s="925">
        <f>C22-E22</f>
        <v/>
      </c>
      <c r="G22" s="925">
        <f>IF(F22&gt;30,"🟢 Bullish",IF(F22&gt;0,"🟡 Hơi tốt",IF(F22&gt;-30,"🟠 Hơi xấu","🔴 Bearish")))</f>
        <v/>
      </c>
    </row>
    <row r="23" ht="15" customHeight="1" s="981">
      <c r="A23" t="inlineStr">
        <is>
          <t>FPT</t>
        </is>
      </c>
      <c r="B23" t="n">
        <v>412</v>
      </c>
      <c r="C23" t="n">
        <v>71</v>
      </c>
      <c r="D23" t="n">
        <v>22</v>
      </c>
      <c r="E23" t="n">
        <v>7</v>
      </c>
      <c r="F23" s="925">
        <f>C23-E23</f>
        <v/>
      </c>
      <c r="G23" s="925">
        <f>IF(F23&gt;30,"🟢 Bullish",IF(F23&gt;0,"🟡 Hơi tốt",IF(F23&gt;-30,"🟠 Hơi xấu","🔴 Bearish")))</f>
        <v/>
      </c>
    </row>
    <row r="24" ht="15" customHeight="1" s="981">
      <c r="A24" t="inlineStr">
        <is>
          <t>VCB</t>
        </is>
      </c>
      <c r="B24" t="n">
        <v>156</v>
      </c>
      <c r="C24" t="n">
        <v>58</v>
      </c>
      <c r="D24" t="n">
        <v>32</v>
      </c>
      <c r="E24" t="n">
        <v>10</v>
      </c>
      <c r="F24" s="925">
        <f>C24-E24</f>
        <v/>
      </c>
      <c r="G24" s="925">
        <f>IF(F24&gt;30,"🟢 Bullish",IF(F24&gt;0,"🟡 Hơi tốt",IF(F24&gt;-30,"🟠 Hơi xấu","🔴 Bearish")))</f>
        <v/>
      </c>
    </row>
    <row r="25" ht="15" customHeight="1" s="981">
      <c r="A25" t="inlineStr">
        <is>
          <t>HPG</t>
        </is>
      </c>
      <c r="B25" t="n">
        <v>320</v>
      </c>
      <c r="C25" t="n">
        <v>45</v>
      </c>
      <c r="D25" t="n">
        <v>30</v>
      </c>
      <c r="E25" t="n">
        <v>25</v>
      </c>
      <c r="F25" s="925">
        <f>C25-E25</f>
        <v/>
      </c>
      <c r="G25" s="925">
        <f>IF(F25&gt;30,"🟢 Bullish",IF(F25&gt;0,"🟡 Hơi tốt",IF(F25&gt;-30,"🟠 Hơi xấu","🔴 Bearish")))</f>
        <v/>
      </c>
    </row>
    <row r="26" ht="15" customHeight="1" s="981">
      <c r="A26" t="inlineStr">
        <is>
          <t>VNM</t>
        </is>
      </c>
      <c r="B26" t="n">
        <v>89</v>
      </c>
      <c r="C26" t="n">
        <v>52</v>
      </c>
      <c r="D26" t="n">
        <v>35</v>
      </c>
      <c r="E26" t="n">
        <v>13</v>
      </c>
      <c r="F26" s="925">
        <f>C26-E26</f>
        <v/>
      </c>
      <c r="G26" s="925">
        <f>IF(F26&gt;30,"🟢 Bullish",IF(F26&gt;0,"🟡 Hơi tốt",IF(F26&gt;-30,"🟠 Hơi xấu","🔴 Bearish")))</f>
        <v/>
      </c>
    </row>
    <row r="27" ht="15" customHeight="1" s="981">
      <c r="A27" t="inlineStr">
        <is>
          <t>MWG</t>
        </is>
      </c>
      <c r="B27" t="n">
        <v>178</v>
      </c>
      <c r="C27" t="n">
        <v>68</v>
      </c>
      <c r="D27" t="n">
        <v>22</v>
      </c>
      <c r="E27" t="n">
        <v>10</v>
      </c>
      <c r="F27" s="925">
        <f>C27-E27</f>
        <v/>
      </c>
      <c r="G27" s="925">
        <f>IF(F27&gt;30,"🟢 Bullish",IF(F27&gt;0,"🟡 Hơi tốt",IF(F27&gt;-30,"🟠 Hơi xấu","🔴 Bearish")))</f>
        <v/>
      </c>
    </row>
    <row r="28" ht="15" customHeight="1" s="981">
      <c r="A28" t="inlineStr">
        <is>
          <t>VHM</t>
        </is>
      </c>
      <c r="B28" t="n">
        <v>234</v>
      </c>
      <c r="C28" t="n">
        <v>38</v>
      </c>
      <c r="D28" t="n">
        <v>28</v>
      </c>
      <c r="E28" t="n">
        <v>34</v>
      </c>
      <c r="F28" s="925">
        <f>C28-E28</f>
        <v/>
      </c>
      <c r="G28" s="925">
        <f>IF(F28&gt;30,"🟢 Bullish",IF(F28&gt;0,"🟡 Hơi tốt",IF(F28&gt;-30,"🟠 Hơi xấu","🔴 Bearish")))</f>
        <v/>
      </c>
    </row>
    <row r="29" ht="15" customHeight="1" s="981">
      <c r="A29" t="inlineStr">
        <is>
          <t>GAS</t>
        </is>
      </c>
      <c r="B29" t="n">
        <v>98</v>
      </c>
      <c r="C29" t="n">
        <v>48</v>
      </c>
      <c r="D29" t="n">
        <v>38</v>
      </c>
      <c r="E29" t="n">
        <v>14</v>
      </c>
      <c r="F29" s="925">
        <f>C29-E29</f>
        <v/>
      </c>
      <c r="G29" s="925">
        <f>IF(F29&gt;30,"🟢 Bullish",IF(F29&gt;0,"🟡 Hơi tốt",IF(F29&gt;-30,"🟠 Hơi xấu","🔴 Bearish")))</f>
        <v/>
      </c>
    </row>
    <row r="30" ht="15" customHeight="1" s="981">
      <c r="A30" t="inlineStr">
        <is>
          <t>CTR</t>
        </is>
      </c>
      <c r="B30" t="n">
        <v>145</v>
      </c>
      <c r="C30" t="n">
        <v>65</v>
      </c>
      <c r="D30" t="n">
        <v>25</v>
      </c>
      <c r="E30" t="n">
        <v>10</v>
      </c>
      <c r="F30" s="925">
        <f>C30-E30</f>
        <v/>
      </c>
      <c r="G30" s="925">
        <f>IF(F30&gt;30,"🟢 Bullish",IF(F30&gt;0,"🟡 Hơi tốt",IF(F30&gt;-30,"🟠 Hơi xấu","🔴 Bearish")))</f>
        <v/>
      </c>
    </row>
    <row r="31" ht="15" customHeight="1" s="981">
      <c r="A31" t="inlineStr">
        <is>
          <t>PNJ</t>
        </is>
      </c>
      <c r="B31" t="n">
        <v>67</v>
      </c>
      <c r="C31" t="n">
        <v>55</v>
      </c>
      <c r="D31" t="n">
        <v>32</v>
      </c>
      <c r="E31" t="n">
        <v>13</v>
      </c>
      <c r="F31" s="925">
        <f>C31-E31</f>
        <v/>
      </c>
      <c r="G31" s="925">
        <f>IF(F31&gt;30,"🟢 Bullish",IF(F31&gt;0,"🟡 Hơi tốt",IF(F31&gt;-30,"🟠 Hơi xấu","🔴 Bearish")))</f>
        <v/>
      </c>
    </row>
    <row r="33" ht="15" customHeight="1" s="981">
      <c r="A33" s="921" t="inlineStr">
        <is>
          <t>🔥 TOP 5 HASHTAG/KEYWORD TRENDING</t>
        </is>
      </c>
    </row>
    <row r="34" ht="15" customHeight="1" s="981">
      <c r="A34" s="923" t="inlineStr">
        <is>
          <t>Hashtag</t>
        </is>
      </c>
      <c r="B34" s="923" t="inlineStr">
        <is>
          <t>Lý do hot</t>
        </is>
      </c>
      <c r="C34" s="923" t="inlineStr">
        <is>
          <t>Tín hiệu</t>
        </is>
      </c>
    </row>
    <row r="35" ht="15" customHeight="1" s="981">
      <c r="A35" t="inlineStr">
        <is>
          <t>#chungkhoanVN</t>
        </is>
      </c>
      <c r="B35" t="inlineStr">
        <is>
          <t>Tăng 45%</t>
        </is>
      </c>
      <c r="C35" t="inlineStr">
        <is>
          <t>Hot</t>
        </is>
      </c>
    </row>
    <row r="36" ht="15" customHeight="1" s="981">
      <c r="A36" t="inlineStr">
        <is>
          <t>#FPT</t>
        </is>
      </c>
      <c r="B36" t="inlineStr">
        <is>
          <t>Đột phá AI</t>
        </is>
      </c>
      <c r="C36" t="inlineStr">
        <is>
          <t>🟢</t>
        </is>
      </c>
    </row>
    <row r="37" ht="15" customHeight="1" s="981">
      <c r="A37" t="inlineStr">
        <is>
          <t>#MBB</t>
        </is>
      </c>
      <c r="B37" t="inlineStr">
        <is>
          <t>Cổ tức 2026</t>
        </is>
      </c>
      <c r="C37" t="inlineStr">
        <is>
          <t>🟢</t>
        </is>
      </c>
    </row>
    <row r="38" ht="15" customHeight="1" s="981">
      <c r="A38" t="inlineStr">
        <is>
          <t>#VHM</t>
        </is>
      </c>
      <c r="B38" t="inlineStr">
        <is>
          <t>Áp lực bán</t>
        </is>
      </c>
      <c r="C38" t="inlineStr">
        <is>
          <t>🔴</t>
        </is>
      </c>
    </row>
    <row r="39" ht="15" customHeight="1" s="981">
      <c r="A39" t="inlineStr">
        <is>
          <t>#HPG</t>
        </is>
      </c>
      <c r="B39" t="inlineStr">
        <is>
          <t>Giá thép giảm</t>
        </is>
      </c>
      <c r="C39" t="inlineStr">
        <is>
          <t>🟡</t>
        </is>
      </c>
    </row>
    <row r="41" ht="15" customHeight="1" s="981">
      <c r="A41" s="921" t="inlineStr">
        <is>
          <t>💡 CÁCH DÙNG</t>
        </is>
      </c>
    </row>
    <row r="42" ht="15" customHeight="1" s="981">
      <c r="A42" t="inlineStr">
        <is>
          <t>• Sentiment Score = % Tích cực - % Tiêu cực</t>
        </is>
      </c>
    </row>
    <row r="43" ht="15" customHeight="1" s="981">
      <c r="A43" t="inlineStr">
        <is>
          <t>• Score &gt; 30: Đám đông lạc quan → cẩn thận hype (Buffett: "Greedy when fear")</t>
        </is>
      </c>
    </row>
    <row r="44" ht="15" customHeight="1" s="981">
      <c r="A44" t="inlineStr">
        <is>
          <t>• Score &lt; -30: Đám đông sợ hãi → CƠ HỘI MUA (Soros: contrarian)</t>
        </is>
      </c>
    </row>
    <row r="45" ht="15" customHeight="1" s="981">
      <c r="A45" t="inlineStr">
        <is>
          <t>• KẾT HỢP với VERDICT 500 — không dùng riêng lẻ!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2"/>
  <sheetViews>
    <sheetView zoomScaleNormal="100" workbookViewId="0">
      <selection activeCell="A1" sqref="A1"/>
    </sheetView>
  </sheetViews>
  <sheetFormatPr baseColWidth="8" defaultColWidth="8.6640625" defaultRowHeight="14.4"/>
  <cols>
    <col width="30" customWidth="1" style="981" min="1" max="4"/>
  </cols>
  <sheetData>
    <row r="1" ht="30" customHeight="1" s="981">
      <c r="A1" s="1238" t="inlineStr">
        <is>
          <t>📊 POWER BI DASHBOARD — Kết nối Excel này</t>
        </is>
      </c>
    </row>
    <row r="3" ht="15" customHeight="1" s="981">
      <c r="A3" s="921" t="inlineStr">
        <is>
          <t>🎯 TẠI SAO DÙNG POWER BI?</t>
        </is>
      </c>
    </row>
    <row r="4" ht="15" customHeight="1" s="981">
      <c r="A4" t="inlineStr">
        <is>
          <t>✅ Dashboard tương tác (click chart → filter các chart khác)</t>
        </is>
      </c>
    </row>
    <row r="5" ht="15" customHeight="1" s="981">
      <c r="A5" t="inlineStr">
        <is>
          <t>✅ Truy cập từ điện thoại (Power BI Mobile App)</t>
        </is>
      </c>
    </row>
    <row r="6" ht="15" customHeight="1" s="981">
      <c r="A6" t="inlineStr">
        <is>
          <t>✅ Auto-refresh dữ liệu mỗi giờ</t>
        </is>
      </c>
    </row>
    <row r="7" ht="15" customHeight="1" s="981">
      <c r="A7" t="inlineStr">
        <is>
          <t>✅ Chia sẻ link cho người khác (read-only)</t>
        </is>
      </c>
    </row>
    <row r="8" ht="15" customHeight="1" s="981">
      <c r="A8" t="inlineStr">
        <is>
          <t>✅ Miễn phí với Power BI Desktop</t>
        </is>
      </c>
    </row>
    <row r="10" ht="15" customHeight="1" s="981">
      <c r="A10" s="921" t="inlineStr">
        <is>
          <t>⚙ HƯỚNG DẪN KẾT NỐI (15 PHÚT SETUP)</t>
        </is>
      </c>
    </row>
    <row r="11" ht="15" customHeight="1" s="981">
      <c r="A11" s="923" t="inlineStr">
        <is>
          <t>Bước</t>
        </is>
      </c>
      <c r="B11" s="923" t="inlineStr">
        <is>
          <t>Việc làm</t>
        </is>
      </c>
    </row>
    <row r="12" ht="15" customHeight="1" s="981">
      <c r="A12" s="926" t="inlineStr">
        <is>
          <t>Bước 1</t>
        </is>
      </c>
      <c r="B12" t="inlineStr">
        <is>
          <t>Tải Power BI Desktop từ powerbi.microsoft.com (FREE)</t>
        </is>
      </c>
    </row>
    <row r="13" ht="15" customHeight="1" s="981">
      <c r="A13" s="926" t="inlineStr">
        <is>
          <t>Bước 2</t>
        </is>
      </c>
      <c r="B13" t="inlineStr">
        <is>
          <t>Mở Power BI → Home → Get Data → Excel workbook</t>
        </is>
      </c>
    </row>
    <row r="14" ht="15" customHeight="1" s="981">
      <c r="A14" s="926" t="inlineStr">
        <is>
          <t>Bước 3</t>
        </is>
      </c>
      <c r="B14" t="inlineStr">
        <is>
          <t>Chọn file: D:\files (1)\TONG_HOP_v44_SOI_HOP_NHAT.xlsx</t>
        </is>
      </c>
    </row>
    <row r="15" ht="15" customHeight="1" s="981">
      <c r="A15" s="926" t="inlineStr">
        <is>
          <t>Bước 4</t>
        </is>
      </c>
      <c r="B15" t="inlineStr">
        <is>
          <t>Tick các sheet cần load: 📡 LIVE PRICE FEED, 🎯 SÓI v42, 🌐 Cổ Phiếu TG</t>
        </is>
      </c>
    </row>
    <row r="16" ht="15" customHeight="1" s="981">
      <c r="A16" s="926" t="inlineStr">
        <is>
          <t>Bước 5</t>
        </is>
      </c>
      <c r="B16" t="inlineStr">
        <is>
          <t>Click "Load" → Power BI nạp dữ liệu</t>
        </is>
      </c>
    </row>
    <row r="17" ht="15" customHeight="1" s="981">
      <c r="A17" s="926" t="inlineStr">
        <is>
          <t>Bước 6</t>
        </is>
      </c>
      <c r="B17" t="inlineStr">
        <is>
          <t>Tạo Dashboard: Drag fields vào canvas</t>
        </is>
      </c>
    </row>
    <row r="18" ht="15" customHeight="1" s="981">
      <c r="A18" s="926" t="inlineStr">
        <is>
          <t>Bước 7</t>
        </is>
      </c>
      <c r="B18" t="inlineStr">
        <is>
          <t>Save .pbix → Publish lên app.powerbi.com (FREE)</t>
        </is>
      </c>
    </row>
    <row r="19" ht="15" customHeight="1" s="981">
      <c r="A19" s="926" t="inlineStr">
        <is>
          <t>Bước 8</t>
        </is>
      </c>
      <c r="B19" t="inlineStr">
        <is>
          <t>Cài Power BI Mobile trên điện thoại → xem mọi nơi</t>
        </is>
      </c>
    </row>
    <row r="21" ht="15" customHeight="1" s="981">
      <c r="A21" s="921" t="inlineStr">
        <is>
          <t>📊 5 CHART GỢI Ý CHO DASHBOARD</t>
        </is>
      </c>
    </row>
    <row r="22" ht="15" customHeight="1" s="981">
      <c r="A22" s="923" t="inlineStr">
        <is>
          <t>Chart</t>
        </is>
      </c>
      <c r="B22" s="923" t="inlineStr">
        <is>
          <t>Dữ liệu</t>
        </is>
      </c>
      <c r="C22" s="923" t="inlineStr">
        <is>
          <t>Loại</t>
        </is>
      </c>
      <c r="D22" s="923" t="inlineStr">
        <is>
          <t>Mục đích</t>
        </is>
      </c>
    </row>
    <row r="23" ht="15" customHeight="1" s="981">
      <c r="A23" t="inlineStr">
        <is>
          <t>1. VN-Index Heat Map</t>
        </is>
      </c>
      <c r="B23" t="inlineStr">
        <is>
          <t>📡 LIVE PRICE FEED</t>
        </is>
      </c>
      <c r="C23" t="inlineStr">
        <is>
          <t>Treemap</t>
        </is>
      </c>
      <c r="D23" t="inlineStr">
        <is>
          <t>Xem ngành nào hot</t>
        </is>
      </c>
    </row>
    <row r="24" ht="15" customHeight="1" s="981">
      <c r="A24" t="inlineStr">
        <is>
          <t>2. Top 10 VERDICT 500</t>
        </is>
      </c>
      <c r="B24" t="inlineStr">
        <is>
          <t>🎯 SÓI v42</t>
        </is>
      </c>
      <c r="C24" t="inlineStr">
        <is>
          <t>Bar chart</t>
        </is>
      </c>
      <c r="D24" t="inlineStr">
        <is>
          <t>Mã đáng mua nhất</t>
        </is>
      </c>
    </row>
    <row r="25" ht="15" customHeight="1" s="981">
      <c r="A25" t="inlineStr">
        <is>
          <t>3. Gold vs USD/VND</t>
        </is>
      </c>
      <c r="B25" t="inlineStr">
        <is>
          <t>🥇 Vàng + 💱 FX</t>
        </is>
      </c>
      <c r="C25" t="inlineStr">
        <is>
          <t>Line chart</t>
        </is>
      </c>
      <c r="D25" t="inlineStr">
        <is>
          <t>Quan hệ vàng-tỷ giá</t>
        </is>
      </c>
    </row>
    <row r="26" ht="15" customHeight="1" s="981">
      <c r="A26" t="inlineStr">
        <is>
          <t>4. Crypto vs S&amp;P500</t>
        </is>
      </c>
      <c r="B26" t="inlineStr">
        <is>
          <t>💰 Crypto + 🌐 TG</t>
        </is>
      </c>
      <c r="C26" t="inlineStr">
        <is>
          <t>Scatter</t>
        </is>
      </c>
      <c r="D26" t="inlineStr">
        <is>
          <t>Tương quan rủi ro</t>
        </is>
      </c>
    </row>
    <row r="27" ht="15" customHeight="1" s="981">
      <c r="A27" t="inlineStr">
        <is>
          <t>5. Portfolio Allocation</t>
        </is>
      </c>
      <c r="B27" t="inlineStr">
        <is>
          <t>🎯 PORTFOLIO OPT</t>
        </is>
      </c>
      <c r="C27" t="inlineStr">
        <is>
          <t>Donut chart</t>
        </is>
      </c>
      <c r="D27" t="inlineStr">
        <is>
          <t>Tỷ trọng danh mục</t>
        </is>
      </c>
    </row>
    <row r="30" ht="15" customHeight="1" s="981">
      <c r="A30" s="921" t="inlineStr">
        <is>
          <t>🔄 AUTO-REFRESH</t>
        </is>
      </c>
    </row>
    <row r="31" ht="15" customHeight="1" s="981">
      <c r="A31" t="inlineStr">
        <is>
          <t>Setup: File → Options → Data Load → Allow refresh on opening</t>
        </is>
      </c>
    </row>
    <row r="32" ht="15" customHeight="1" s="981">
      <c r="A32" t="inlineStr">
        <is>
          <t>Schedule refresh: Power BI Service → Settings → Datasets → Schedule daily 9:30 + 14:35</t>
        </is>
      </c>
    </row>
    <row r="33" ht="15" customHeight="1" s="981">
      <c r="A33" t="inlineStr">
        <is>
          <t>Lưu ý: Power BI Service đọc file Excel qua OneDrive/SharePoint (cần upload)</t>
        </is>
      </c>
    </row>
    <row r="35" ht="15" customHeight="1" s="981">
      <c r="A35" s="921" t="inlineStr">
        <is>
          <t>💎 SO SÁNH POWER BI vs EXCEL</t>
        </is>
      </c>
    </row>
    <row r="36" ht="15" customHeight="1" s="981">
      <c r="A36" s="923" t="inlineStr">
        <is>
          <t>Tiêu chí</t>
        </is>
      </c>
      <c r="B36" s="923" t="inlineStr">
        <is>
          <t>Excel</t>
        </is>
      </c>
      <c r="C36" s="923" t="inlineStr">
        <is>
          <t>Power BI</t>
        </is>
      </c>
    </row>
    <row r="37" ht="15" customHeight="1" s="981">
      <c r="A37" t="inlineStr">
        <is>
          <t>Tốc độ load 88 sheets</t>
        </is>
      </c>
      <c r="B37" t="inlineStr">
        <is>
          <t>5-10 giây</t>
        </is>
      </c>
      <c r="C37" t="inlineStr">
        <is>
          <t>&lt; 1 giây</t>
        </is>
      </c>
    </row>
    <row r="38" ht="15" customHeight="1" s="981">
      <c r="A38" t="inlineStr">
        <is>
          <t>Tương tác chart</t>
        </is>
      </c>
      <c r="B38" t="inlineStr">
        <is>
          <t>Hạn chế</t>
        </is>
      </c>
      <c r="C38" t="inlineStr">
        <is>
          <t>⭐⭐⭐⭐⭐</t>
        </is>
      </c>
    </row>
    <row r="39" ht="15" customHeight="1" s="981">
      <c r="A39" t="inlineStr">
        <is>
          <t>Mobile app</t>
        </is>
      </c>
      <c r="B39" t="inlineStr">
        <is>
          <t>Khó dùng</t>
        </is>
      </c>
      <c r="C39" t="inlineStr">
        <is>
          <t>⭐⭐⭐⭐⭐</t>
        </is>
      </c>
    </row>
    <row r="40" ht="15" customHeight="1" s="981">
      <c r="A40" t="inlineStr">
        <is>
          <t>Chia sẻ link</t>
        </is>
      </c>
      <c r="B40" t="inlineStr">
        <is>
          <t>Phải gửi file</t>
        </is>
      </c>
      <c r="C40" t="inlineStr">
        <is>
          <t>URL trực tiếp</t>
        </is>
      </c>
    </row>
    <row r="41" ht="15" customHeight="1" s="981">
      <c r="A41" t="inlineStr">
        <is>
          <t>Auto-refresh</t>
        </is>
      </c>
      <c r="B41" t="inlineStr">
        <is>
          <t>Manual</t>
        </is>
      </c>
      <c r="C41" t="inlineStr">
        <is>
          <t>Tự động</t>
        </is>
      </c>
    </row>
    <row r="42" ht="15" customHeight="1" s="981">
      <c r="A42" t="inlineStr">
        <is>
          <t>Học tập</t>
        </is>
      </c>
      <c r="B42" t="inlineStr">
        <is>
          <t>⭐⭐ (đã biết)</t>
        </is>
      </c>
      <c r="C42" t="inlineStr">
        <is>
          <t>⭐⭐⭐ (mới học)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6"/>
  <sheetViews>
    <sheetView zoomScaleNormal="100" workbookViewId="0">
      <selection activeCell="A1" sqref="A1"/>
    </sheetView>
  </sheetViews>
  <sheetFormatPr baseColWidth="8" defaultColWidth="8.6640625" defaultRowHeight="14.4"/>
  <cols>
    <col width="16" customWidth="1" style="981" min="1" max="9"/>
  </cols>
  <sheetData>
    <row r="1" ht="27.75" customHeight="1" s="981">
      <c r="A1" s="1238" t="inlineStr">
        <is>
          <t>🌐 CROSS-ASSET MATRIX — Ma trận tương quan đa tài sản</t>
        </is>
      </c>
    </row>
    <row r="3" ht="15" customHeight="1" s="981">
      <c r="A3" s="921" t="inlineStr">
        <is>
          <t>📊 A. CORRELATION MATRIX 60 ngày (Markowitz / Ray Dalio)</t>
        </is>
      </c>
    </row>
    <row r="4" ht="14.25" customHeight="1" s="981">
      <c r="A4" s="923" t="inlineStr">
        <is>
          <t>Asset</t>
        </is>
      </c>
      <c r="B4" s="923" t="inlineStr">
        <is>
          <t>VN30</t>
        </is>
      </c>
      <c r="C4" s="923" t="inlineStr">
        <is>
          <t>S&amp;P500</t>
        </is>
      </c>
      <c r="D4" s="923" t="inlineStr">
        <is>
          <t>XAU</t>
        </is>
      </c>
      <c r="E4" s="923" t="inlineStr">
        <is>
          <t>BTC</t>
        </is>
      </c>
      <c r="F4" s="923" t="inlineStr">
        <is>
          <t>USD/VND</t>
        </is>
      </c>
      <c r="G4" s="923" t="inlineStr">
        <is>
          <t>US 10Y</t>
        </is>
      </c>
      <c r="H4" s="923" t="inlineStr">
        <is>
          <t>Oil</t>
        </is>
      </c>
      <c r="I4" s="923" t="inlineStr">
        <is>
          <t>Copper</t>
        </is>
      </c>
    </row>
    <row r="5" ht="14.25" customHeight="1" s="981">
      <c r="A5" s="926" t="inlineStr">
        <is>
          <t>VN30</t>
        </is>
      </c>
      <c r="B5" s="928" t="n">
        <v>1</v>
      </c>
      <c r="C5" s="929" t="n">
        <v>0.32</v>
      </c>
      <c r="D5" s="929" t="n">
        <v>0.15</v>
      </c>
      <c r="E5" s="929" t="n">
        <v>0.41</v>
      </c>
      <c r="F5" s="930" t="n">
        <v>-0.45</v>
      </c>
      <c r="G5" s="931" t="n">
        <v>-0.28</v>
      </c>
      <c r="H5" s="929" t="n">
        <v>0.38</v>
      </c>
      <c r="I5" s="929" t="n">
        <v>0.42</v>
      </c>
    </row>
    <row r="6" ht="14.25" customHeight="1" s="981">
      <c r="A6" s="926" t="inlineStr">
        <is>
          <t>S&amp;P500</t>
        </is>
      </c>
      <c r="B6" s="929" t="n">
        <v>0.32</v>
      </c>
      <c r="C6" s="928" t="n">
        <v>1</v>
      </c>
      <c r="D6" s="929" t="n">
        <v>0.18</v>
      </c>
      <c r="E6" s="928" t="n">
        <v>0.55</v>
      </c>
      <c r="F6" s="931" t="n">
        <v>-0.12</v>
      </c>
      <c r="G6" s="930" t="n">
        <v>-0.42</v>
      </c>
      <c r="H6" s="929" t="n">
        <v>0.45</v>
      </c>
      <c r="I6" s="928" t="n">
        <v>0.51</v>
      </c>
    </row>
    <row r="7" ht="14.25" customHeight="1" s="981">
      <c r="A7" s="926" t="inlineStr">
        <is>
          <t>XAU</t>
        </is>
      </c>
      <c r="B7" s="929" t="n">
        <v>0.15</v>
      </c>
      <c r="C7" s="929" t="n">
        <v>0.18</v>
      </c>
      <c r="D7" s="928" t="n">
        <v>1</v>
      </c>
      <c r="E7" s="929" t="n">
        <v>0.28</v>
      </c>
      <c r="F7" s="930" t="n">
        <v>-0.62</v>
      </c>
      <c r="G7" s="930" t="n">
        <v>-0.55</v>
      </c>
      <c r="H7" s="929" t="n">
        <v>0.22</v>
      </c>
      <c r="I7" s="929" t="n">
        <v>0.18</v>
      </c>
    </row>
    <row r="8" ht="14.25" customHeight="1" s="981">
      <c r="A8" s="926" t="inlineStr">
        <is>
          <t>BTC</t>
        </is>
      </c>
      <c r="B8" s="929" t="n">
        <v>0.41</v>
      </c>
      <c r="C8" s="928" t="n">
        <v>0.55</v>
      </c>
      <c r="D8" s="929" t="n">
        <v>0.28</v>
      </c>
      <c r="E8" s="928" t="n">
        <v>1</v>
      </c>
      <c r="F8" s="930" t="n">
        <v>-0.35</v>
      </c>
      <c r="G8" s="930" t="n">
        <v>-0.32</v>
      </c>
      <c r="H8" s="929" t="n">
        <v>0.41</v>
      </c>
      <c r="I8" s="929" t="n">
        <v>0.38</v>
      </c>
    </row>
    <row r="9" ht="14.25" customHeight="1" s="981">
      <c r="A9" s="926" t="inlineStr">
        <is>
          <t>USD/VND</t>
        </is>
      </c>
      <c r="B9" s="930" t="n">
        <v>-0.45</v>
      </c>
      <c r="C9" s="931" t="n">
        <v>-0.12</v>
      </c>
      <c r="D9" s="930" t="n">
        <v>-0.62</v>
      </c>
      <c r="E9" s="930" t="n">
        <v>-0.35</v>
      </c>
      <c r="F9" s="928" t="n">
        <v>1</v>
      </c>
      <c r="G9" s="929" t="n">
        <v>0.48</v>
      </c>
      <c r="H9" s="931" t="n">
        <v>-0.25</v>
      </c>
      <c r="I9" s="931" t="n">
        <v>-0.22</v>
      </c>
    </row>
    <row r="10" ht="14.25" customHeight="1" s="981">
      <c r="A10" s="926" t="inlineStr">
        <is>
          <t>US 10Y</t>
        </is>
      </c>
      <c r="B10" s="931" t="n">
        <v>-0.28</v>
      </c>
      <c r="C10" s="930" t="n">
        <v>-0.42</v>
      </c>
      <c r="D10" s="930" t="n">
        <v>-0.55</v>
      </c>
      <c r="E10" s="930" t="n">
        <v>-0.32</v>
      </c>
      <c r="F10" s="929" t="n">
        <v>0.48</v>
      </c>
      <c r="G10" s="928" t="n">
        <v>1</v>
      </c>
      <c r="H10" s="931" t="n">
        <v>-0.18</v>
      </c>
      <c r="I10" s="931" t="n">
        <v>-0.15</v>
      </c>
    </row>
    <row r="11" ht="14.25" customHeight="1" s="981">
      <c r="A11" s="926" t="inlineStr">
        <is>
          <t>Oil</t>
        </is>
      </c>
      <c r="B11" s="929" t="n">
        <v>0.38</v>
      </c>
      <c r="C11" s="929" t="n">
        <v>0.45</v>
      </c>
      <c r="D11" s="929" t="n">
        <v>0.22</v>
      </c>
      <c r="E11" s="929" t="n">
        <v>0.41</v>
      </c>
      <c r="F11" s="931" t="n">
        <v>-0.25</v>
      </c>
      <c r="G11" s="931" t="n">
        <v>-0.18</v>
      </c>
      <c r="H11" s="928" t="n">
        <v>1</v>
      </c>
      <c r="I11" s="928" t="n">
        <v>0.62</v>
      </c>
    </row>
    <row r="12" ht="14.25" customHeight="1" s="981">
      <c r="A12" s="926" t="inlineStr">
        <is>
          <t>Copper</t>
        </is>
      </c>
      <c r="B12" s="929" t="n">
        <v>0.42</v>
      </c>
      <c r="C12" s="928" t="n">
        <v>0.51</v>
      </c>
      <c r="D12" s="929" t="n">
        <v>0.18</v>
      </c>
      <c r="E12" s="929" t="n">
        <v>0.38</v>
      </c>
      <c r="F12" s="931" t="n">
        <v>-0.22</v>
      </c>
      <c r="G12" s="931" t="n">
        <v>-0.15</v>
      </c>
      <c r="H12" s="928" t="n">
        <v>0.62</v>
      </c>
      <c r="I12" s="928" t="n">
        <v>1</v>
      </c>
    </row>
    <row r="14" ht="14.25" customHeight="1" s="981">
      <c r="A14" s="932" t="inlineStr">
        <is>
          <t>🔍 Đọc bảng: Xanh = cùng chiều mạnh | Đỏ = phòng vệ tốt | Vàng = nghịch nhẹ</t>
        </is>
      </c>
    </row>
    <row r="16" ht="15" customHeight="1" s="981">
      <c r="A16" s="921" t="inlineStr">
        <is>
          <t>📈 B. YIELD CURVE — Đường cong lợi suất (Bond Maven)</t>
        </is>
      </c>
    </row>
    <row r="17" ht="14.25" customHeight="1" s="981">
      <c r="A17" s="923" t="inlineStr">
        <is>
          <t>Kỳ hạn</t>
        </is>
      </c>
      <c r="B17" s="923" t="inlineStr">
        <is>
          <t>VN TPCP %</t>
        </is>
      </c>
      <c r="C17" s="923" t="inlineStr">
        <is>
          <t>US Treasury %</t>
        </is>
      </c>
      <c r="D17" s="923" t="inlineStr">
        <is>
          <t>Spread VN-US %</t>
        </is>
      </c>
      <c r="E17" s="923" t="inlineStr">
        <is>
          <t>Tín hiệu</t>
        </is>
      </c>
    </row>
    <row r="18" ht="14.25" customHeight="1" s="981">
      <c r="A18" s="926" t="inlineStr">
        <is>
          <t>3M</t>
        </is>
      </c>
      <c r="B18" s="922" t="n">
        <v>2.45</v>
      </c>
      <c r="C18" s="922" t="n">
        <v>4.85</v>
      </c>
      <c r="D18" s="933">
        <f>B18-C18</f>
        <v/>
      </c>
      <c r="E18">
        <f>IF(D18&gt;0,"🟢 VN cao hơn","🔴 USD hấp dẫn")</f>
        <v/>
      </c>
    </row>
    <row r="19" ht="14.25" customHeight="1" s="981">
      <c r="A19" s="926" t="inlineStr">
        <is>
          <t>1Y</t>
        </is>
      </c>
      <c r="B19" s="922" t="n">
        <v>2.55</v>
      </c>
      <c r="C19" s="922" t="n">
        <v>4.45</v>
      </c>
      <c r="D19" s="933">
        <f>B19-C19</f>
        <v/>
      </c>
      <c r="E19">
        <f>IF(D19&gt;0,"🟢 VN cao hơn","🔴 USD hấp dẫn")</f>
        <v/>
      </c>
    </row>
    <row r="20" ht="14.25" customHeight="1" s="981">
      <c r="A20" s="926" t="inlineStr">
        <is>
          <t>2Y</t>
        </is>
      </c>
      <c r="B20" s="922" t="n">
        <v>2.75</v>
      </c>
      <c r="C20" s="922" t="n">
        <v>4.05</v>
      </c>
      <c r="D20" s="933">
        <f>B20-C20</f>
        <v/>
      </c>
      <c r="E20">
        <f>IF(D20&gt;0,"🟢 VN cao hơn","🔴 USD hấp dẫn")</f>
        <v/>
      </c>
    </row>
    <row r="21" ht="14.25" customHeight="1" s="981">
      <c r="A21" s="926" t="inlineStr">
        <is>
          <t>5Y</t>
        </is>
      </c>
      <c r="B21" s="922" t="n">
        <v>2.85</v>
      </c>
      <c r="C21" s="922" t="n">
        <v>3.95</v>
      </c>
      <c r="D21" s="933">
        <f>B21-C21</f>
        <v/>
      </c>
      <c r="E21">
        <f>IF(D21&gt;0,"🟢 VN cao hơn","🔴 USD hấp dẫn")</f>
        <v/>
      </c>
    </row>
    <row r="22" ht="14.25" customHeight="1" s="981">
      <c r="A22" s="926" t="inlineStr">
        <is>
          <t>10Y</t>
        </is>
      </c>
      <c r="B22" s="922" t="n">
        <v>3</v>
      </c>
      <c r="C22" s="922" t="n">
        <v>4.3</v>
      </c>
      <c r="D22" s="933">
        <f>B22-C22</f>
        <v/>
      </c>
      <c r="E22">
        <f>IF(D22&gt;0,"🟢 VN cao hơn","🔴 USD hấp dẫn")</f>
        <v/>
      </c>
    </row>
    <row r="23" ht="14.25" customHeight="1" s="981">
      <c r="A23" s="926" t="inlineStr">
        <is>
          <t>30Y</t>
        </is>
      </c>
      <c r="B23" s="922" t="n">
        <v>3.35</v>
      </c>
      <c r="C23" s="922" t="n">
        <v>4.55</v>
      </c>
      <c r="D23" s="933">
        <f>B23-C23</f>
        <v/>
      </c>
      <c r="E23">
        <f>IF(D23&gt;0,"🟢 VN cao hơn","🔴 USD hấp dẫn")</f>
        <v/>
      </c>
    </row>
    <row r="25" ht="15" customHeight="1" s="981">
      <c r="A25" s="921" t="inlineStr">
        <is>
          <t>⚠ US 2Y-10Y Spread (Cảnh báo suy thoái)</t>
        </is>
      </c>
    </row>
    <row r="26" ht="14.25" customHeight="1" s="981">
      <c r="A26" t="inlineStr">
        <is>
          <t>US 10Y - US 2Y =</t>
        </is>
      </c>
      <c r="B26" s="933">
        <f>C22-C20</f>
        <v/>
      </c>
      <c r="C26" s="926">
        <f>IF(B26&lt;0,"🔴 INVERTED — Recession warning 12-18 tháng",IF(B26&lt;0.3,"🟡 Phẳng — Theo dõi","🟢 Bình thường"))</f>
        <v/>
      </c>
    </row>
    <row r="28" ht="15" customHeight="1" s="981">
      <c r="A28" s="921" t="inlineStr">
        <is>
          <t>💵 C. CREDIT SPREAD — TPDN vs TPCP (Howard Marks)</t>
        </is>
      </c>
    </row>
    <row r="29" ht="14.25" customHeight="1" s="981">
      <c r="A29" s="923" t="inlineStr">
        <is>
          <t>Hạng tín nhiệm</t>
        </is>
      </c>
      <c r="B29" s="923" t="inlineStr">
        <is>
          <t>YTM %</t>
        </is>
      </c>
      <c r="C29" s="923" t="inlineStr">
        <is>
          <t>Spread vs TPCP %</t>
        </is>
      </c>
      <c r="D29" s="923" t="inlineStr">
        <is>
          <t>Mức rủi ro</t>
        </is>
      </c>
    </row>
    <row r="30" ht="14.25" customHeight="1" s="981">
      <c r="A30" t="inlineStr">
        <is>
          <t>TPCP VN 10Y (an toàn)</t>
        </is>
      </c>
      <c r="B30" t="n">
        <v>3</v>
      </c>
      <c r="C30" s="933">
        <f>B30-B30</f>
        <v/>
      </c>
      <c r="D30" t="inlineStr">
        <is>
          <t>🟢 Risk-free</t>
        </is>
      </c>
    </row>
    <row r="31" ht="14.25" customHeight="1" s="981">
      <c r="A31" t="inlineStr">
        <is>
          <t>TPDN AAA</t>
        </is>
      </c>
      <c r="B31" t="n">
        <v>5.5</v>
      </c>
      <c r="C31" s="933">
        <f>B31-B30</f>
        <v/>
      </c>
      <c r="D31" t="inlineStr">
        <is>
          <t>🟢 Cực an toàn</t>
        </is>
      </c>
    </row>
    <row r="32" ht="14.25" customHeight="1" s="981">
      <c r="A32" t="inlineStr">
        <is>
          <t>TPDN AA</t>
        </is>
      </c>
      <c r="B32" t="n">
        <v>7</v>
      </c>
      <c r="C32" s="933">
        <f>B32-B30</f>
        <v/>
      </c>
      <c r="D32" t="inlineStr">
        <is>
          <t>🟢 An toàn</t>
        </is>
      </c>
    </row>
    <row r="33" ht="14.25" customHeight="1" s="981">
      <c r="A33" t="inlineStr">
        <is>
          <t>TPDN A</t>
        </is>
      </c>
      <c r="B33" t="n">
        <v>8.5</v>
      </c>
      <c r="C33" s="933">
        <f>B33-B30</f>
        <v/>
      </c>
      <c r="D33" t="inlineStr">
        <is>
          <t>🟡 Trung bình</t>
        </is>
      </c>
    </row>
    <row r="34" ht="14.25" customHeight="1" s="981">
      <c r="A34" t="inlineStr">
        <is>
          <t>TPDN BBB</t>
        </is>
      </c>
      <c r="B34" t="n">
        <v>10.5</v>
      </c>
      <c r="C34" s="933">
        <f>B34-B30</f>
        <v/>
      </c>
      <c r="D34" t="inlineStr">
        <is>
          <t>🟡 Risk cao</t>
        </is>
      </c>
    </row>
    <row r="35" ht="14.25" customHeight="1" s="981">
      <c r="A35" t="inlineStr">
        <is>
          <t>TPDN BB (junk)</t>
        </is>
      </c>
      <c r="B35" t="n">
        <v>13.5</v>
      </c>
      <c r="C35" s="933">
        <f>B35-B30</f>
        <v/>
      </c>
      <c r="D35" t="inlineStr">
        <is>
          <t>🔴 Cảnh giác</t>
        </is>
      </c>
    </row>
    <row r="36" ht="14.25" customHeight="1" s="981">
      <c r="A36" t="inlineStr">
        <is>
          <t>TPDN B (junk)</t>
        </is>
      </c>
      <c r="B36" t="n">
        <v>18</v>
      </c>
      <c r="C36" s="933">
        <f>B36-B30</f>
        <v/>
      </c>
      <c r="D36" t="inlineStr">
        <is>
          <t>🔴 NGUY HIỂM</t>
        </is>
      </c>
    </row>
    <row r="38" ht="15" customHeight="1" s="981">
      <c r="A38" s="921" t="inlineStr">
        <is>
          <t>🐂 D. BUFFETT INDICATOR &amp; SHILLER CAPE (Định giá macro)</t>
        </is>
      </c>
    </row>
    <row r="39" ht="28.5" customHeight="1" s="981">
      <c r="A39" s="923" t="inlineStr">
        <is>
          <t>Chỉ số</t>
        </is>
      </c>
      <c r="B39" s="923" t="inlineStr">
        <is>
          <t>Giá trị</t>
        </is>
      </c>
      <c r="C39" s="923" t="inlineStr">
        <is>
          <t>Ngưỡng cảnh báo</t>
        </is>
      </c>
      <c r="D39" s="923" t="inlineStr">
        <is>
          <t>Diễn giải</t>
        </is>
      </c>
    </row>
    <row r="40" ht="14.25" customHeight="1" s="981">
      <c r="A40" t="inlineStr">
        <is>
          <t>Vốn hóa VN-Index (nghìn tỷ):</t>
        </is>
      </c>
      <c r="B40" s="922" t="n">
        <v>6500</v>
      </c>
    </row>
    <row r="41" ht="14.25" customHeight="1" s="981">
      <c r="A41" t="inlineStr">
        <is>
          <t>GDP VN 2026 (nghìn tỷ):</t>
        </is>
      </c>
      <c r="B41" s="922" t="n">
        <v>11500</v>
      </c>
    </row>
    <row r="42" ht="14.25" customHeight="1" s="981">
      <c r="A42" t="inlineStr">
        <is>
          <t>Buffett Indicator (%):</t>
        </is>
      </c>
      <c r="B42" s="933">
        <f>B40/B41*100</f>
        <v/>
      </c>
      <c r="C42" t="inlineStr">
        <is>
          <t>&gt;120% quá đắt</t>
        </is>
      </c>
      <c r="D42">
        <f>IF(B42&lt;70,"🟢 Rẻ — Cơ hội",IF(B42&lt;100,"🟡 Hợp lý",IF(B42&lt;120,"🟠 Hơi đắt","🔴 Bong bóng")))</f>
        <v/>
      </c>
    </row>
    <row r="43" ht="14.25" customHeight="1" s="981">
      <c r="A43" t="inlineStr">
        <is>
          <t>P/E hiện tại VN-Index:</t>
        </is>
      </c>
      <c r="B43" s="922" t="n">
        <v>13.5</v>
      </c>
    </row>
    <row r="44" ht="14.25" customHeight="1" s="981">
      <c r="A44" t="inlineStr">
        <is>
          <t>P/E TB 10 năm (CAPE):</t>
        </is>
      </c>
      <c r="B44" s="922" t="n">
        <v>15.8</v>
      </c>
    </row>
    <row r="45" ht="14.25" customHeight="1" s="981">
      <c r="A45" t="inlineStr">
        <is>
          <t>CAPE Ratio:</t>
        </is>
      </c>
      <c r="B45" s="933">
        <f>B43/B44</f>
        <v/>
      </c>
      <c r="C45" t="inlineStr">
        <is>
          <t>&gt;1.2 đắt</t>
        </is>
      </c>
      <c r="D45">
        <f>IF(B45&lt;0.8,"🟢 RẺ HIẾM CÓ",IF(B45&lt;1,"🟢 Rẻ",IF(B45&lt;1.2,"🟡 Hợp lý","🔴 Đắt")))</f>
        <v/>
      </c>
    </row>
    <row r="46" ht="14.25" customHeight="1" s="981">
      <c r="A46" t="inlineStr">
        <is>
          <t>🐺 KẾT LUẬN MACRO:</t>
        </is>
      </c>
      <c r="B46" s="934">
        <f>IF(AND(B42&lt;100,B45&lt;1),"🟢 GIẢI NGÂN MẠNH","Cân nhắc DCA")</f>
        <v/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1"/>
  <sheetViews>
    <sheetView zoomScaleNormal="100" workbookViewId="0">
      <selection activeCell="A1" sqref="A1"/>
    </sheetView>
  </sheetViews>
  <sheetFormatPr baseColWidth="8" defaultColWidth="8.6640625" defaultRowHeight="14.4"/>
  <cols>
    <col width="22" customWidth="1" style="981" min="1" max="7"/>
  </cols>
  <sheetData>
    <row r="1" ht="27.75" customHeight="1" s="981">
      <c r="A1" s="1238" t="inlineStr">
        <is>
          <t>📅 CALENDAR EVENTS — Cap nhat: 20:53 28/05/2026 | 8 su kien sap toi</t>
        </is>
      </c>
    </row>
    <row r="3" ht="15" customHeight="1" s="981">
      <c r="A3" s="921" t="inlineStr">
        <is>
          <t>🗓 ĐẠI HỘI CỔ ĐÔNG (ĐHCĐ) + CỔ TỨC (Q2-Q3 2026)</t>
        </is>
      </c>
    </row>
    <row r="4" ht="14.25" customHeight="1" s="981">
      <c r="A4" s="923" t="inlineStr">
        <is>
          <t>Mã</t>
        </is>
      </c>
      <c r="B4" s="923" t="inlineStr">
        <is>
          <t>Sự kiện</t>
        </is>
      </c>
      <c r="C4" s="923" t="inlineStr">
        <is>
          <t>Ngày</t>
        </is>
      </c>
      <c r="D4" s="923" t="inlineStr">
        <is>
          <t>Tỷ lệ cổ tức</t>
        </is>
      </c>
      <c r="E4" s="923" t="inlineStr">
        <is>
          <t>Loại</t>
        </is>
      </c>
      <c r="F4" s="923" t="inlineStr">
        <is>
          <t>Lưu ý</t>
        </is>
      </c>
      <c r="G4" s="923" t="inlineStr">
        <is>
          <t>Tác động</t>
        </is>
      </c>
    </row>
    <row r="5" ht="14.25" customHeight="1" s="981">
      <c r="A5" t="inlineStr">
        <is>
          <t>VCB</t>
        </is>
      </c>
      <c r="B5" t="inlineStr">
        <is>
          <t>ĐHCĐ thường niên</t>
        </is>
      </c>
      <c r="C5" t="inlineStr">
        <is>
          <t>12/06/2026</t>
        </is>
      </c>
      <c r="D5" t="inlineStr">
        <is>
          <t>15% TM</t>
        </is>
      </c>
      <c r="E5" t="inlineStr">
        <is>
          <t>TM + CP</t>
        </is>
      </c>
      <c r="F5" t="inlineStr">
        <is>
          <t>Dự kiến quý 2</t>
        </is>
      </c>
      <c r="G5" t="inlineStr">
        <is>
          <t>🟡 Trung tính</t>
        </is>
      </c>
    </row>
    <row r="6" ht="14.25" customHeight="1" s="981">
      <c r="A6" t="inlineStr">
        <is>
          <t>FPT</t>
        </is>
      </c>
      <c r="B6" t="inlineStr">
        <is>
          <t>ĐHCĐ thường niên</t>
        </is>
      </c>
      <c r="C6" t="inlineStr">
        <is>
          <t>17/06/2026</t>
        </is>
      </c>
      <c r="D6" t="inlineStr">
        <is>
          <t>20% TM</t>
        </is>
      </c>
      <c r="E6" t="inlineStr">
        <is>
          <t>TM</t>
        </is>
      </c>
      <c r="F6" t="inlineStr">
        <is>
          <t>Tăng trưởng 22%</t>
        </is>
      </c>
      <c r="G6" t="inlineStr">
        <is>
          <t>🟢 Tích cực</t>
        </is>
      </c>
    </row>
    <row r="7" ht="14.25" customHeight="1" s="981">
      <c r="A7" t="inlineStr">
        <is>
          <t>MBB</t>
        </is>
      </c>
      <c r="B7" t="inlineStr">
        <is>
          <t>Cổ tức 2025</t>
        </is>
      </c>
      <c r="C7" t="inlineStr">
        <is>
          <t>07/06/2026</t>
        </is>
      </c>
      <c r="D7" t="inlineStr">
        <is>
          <t>20% CP</t>
        </is>
      </c>
      <c r="E7" t="inlineStr">
        <is>
          <t>CP</t>
        </is>
      </c>
      <c r="F7" t="inlineStr">
        <is>
          <t>Tỷ lệ 5:1</t>
        </is>
      </c>
      <c r="G7" t="inlineStr">
        <is>
          <t>🟢 Tích cực</t>
        </is>
      </c>
    </row>
    <row r="8" ht="14.25" customHeight="1" s="981">
      <c r="A8" t="inlineStr">
        <is>
          <t>HPG</t>
        </is>
      </c>
      <c r="B8" t="inlineStr">
        <is>
          <t>ĐHCĐ bất thường</t>
        </is>
      </c>
      <c r="C8" t="inlineStr">
        <is>
          <t>27/06/2026</t>
        </is>
      </c>
      <c r="D8" t="inlineStr">
        <is>
          <t>10% TM</t>
        </is>
      </c>
      <c r="E8" t="inlineStr">
        <is>
          <t>TM</t>
        </is>
      </c>
      <c r="F8" t="inlineStr">
        <is>
          <t>KQKD Q1</t>
        </is>
      </c>
      <c r="G8" t="inlineStr">
        <is>
          <t>🟡 Trung tính</t>
        </is>
      </c>
    </row>
    <row r="9" ht="14.25" customHeight="1" s="981">
      <c r="A9" t="inlineStr">
        <is>
          <t>MWG</t>
        </is>
      </c>
      <c r="B9" t="inlineStr">
        <is>
          <t>Cổ tức 2025</t>
        </is>
      </c>
      <c r="C9" t="inlineStr">
        <is>
          <t>12/07/2026</t>
        </is>
      </c>
      <c r="D9" t="inlineStr">
        <is>
          <t>5% TM</t>
        </is>
      </c>
      <c r="E9" t="inlineStr">
        <is>
          <t>TM</t>
        </is>
      </c>
      <c r="F9" t="inlineStr">
        <is>
          <t>Chia cổ tức</t>
        </is>
      </c>
      <c r="G9" t="inlineStr">
        <is>
          <t>🟢 Tích cực</t>
        </is>
      </c>
    </row>
    <row r="10" ht="14.25" customHeight="1" s="981">
      <c r="A10" t="inlineStr">
        <is>
          <t>VNM</t>
        </is>
      </c>
      <c r="B10" t="inlineStr">
        <is>
          <t>ĐHCĐ thường niên</t>
        </is>
      </c>
      <c r="C10" t="inlineStr">
        <is>
          <t>27/07/2026</t>
        </is>
      </c>
      <c r="D10" t="inlineStr">
        <is>
          <t>35% TM</t>
        </is>
      </c>
      <c r="E10" t="inlineStr">
        <is>
          <t>TM</t>
        </is>
      </c>
      <c r="F10" t="inlineStr">
        <is>
          <t>Cổ tức cao</t>
        </is>
      </c>
      <c r="G10" t="inlineStr">
        <is>
          <t>🟢 Tích cực</t>
        </is>
      </c>
    </row>
    <row r="11" ht="14.25" customHeight="1" s="981">
      <c r="A11" t="inlineStr">
        <is>
          <t>SSI</t>
        </is>
      </c>
      <c r="B11" t="inlineStr">
        <is>
          <t>ĐHCĐ thường niên</t>
        </is>
      </c>
      <c r="C11" t="inlineStr">
        <is>
          <t>22/06/2026</t>
        </is>
      </c>
      <c r="D11" t="inlineStr">
        <is>
          <t>10% TM</t>
        </is>
      </c>
      <c r="E11" t="inlineStr">
        <is>
          <t>TM + CP</t>
        </is>
      </c>
      <c r="F11" t="inlineStr">
        <is>
          <t>Mở rộng vốn</t>
        </is>
      </c>
      <c r="G11" t="inlineStr">
        <is>
          <t>🟡 Trung tính</t>
        </is>
      </c>
    </row>
    <row r="12" ht="14.25" customHeight="1" s="981">
      <c r="A12" t="inlineStr">
        <is>
          <t>TCB</t>
        </is>
      </c>
      <c r="B12" t="inlineStr">
        <is>
          <t>Cổ tức 2025</t>
        </is>
      </c>
      <c r="C12" t="inlineStr">
        <is>
          <t>02/07/2026</t>
        </is>
      </c>
      <c r="D12" t="inlineStr">
        <is>
          <t>15% CP</t>
        </is>
      </c>
      <c r="E12" t="inlineStr">
        <is>
          <t>CP</t>
        </is>
      </c>
      <c r="F12" t="inlineStr">
        <is>
          <t>Tỷ lệ 7:1</t>
        </is>
      </c>
      <c r="G12" t="inlineStr">
        <is>
          <t>🟢 Tích cực</t>
        </is>
      </c>
    </row>
    <row r="14" ht="15" customHeight="1" s="981">
      <c r="A14" s="921" t="inlineStr">
        <is>
          <t>🌍 SỰ KIỆN VĨ MÔ THẾ GIỚI + VN (Q2-Q3 2026)</t>
        </is>
      </c>
    </row>
    <row r="15" ht="14.25" customHeight="1" s="981">
      <c r="A15" s="923" t="inlineStr">
        <is>
          <t>Ngày</t>
        </is>
      </c>
      <c r="B15" s="923" t="inlineStr">
        <is>
          <t>Sự kiện</t>
        </is>
      </c>
      <c r="C15" s="923" t="inlineStr">
        <is>
          <t>Quốc gia</t>
        </is>
      </c>
      <c r="D15" s="923" t="inlineStr">
        <is>
          <t>Tác động</t>
        </is>
      </c>
      <c r="E15" s="923" t="inlineStr">
        <is>
          <t>Cường độ</t>
        </is>
      </c>
    </row>
    <row r="16" ht="14.25" customHeight="1" s="981">
      <c r="A16" t="inlineStr">
        <is>
          <t>07/05/2026</t>
        </is>
      </c>
      <c r="B16" t="inlineStr">
        <is>
          <t>Fed FOMC Meeting</t>
        </is>
      </c>
      <c r="C16" t="inlineStr">
        <is>
          <t>US</t>
        </is>
      </c>
      <c r="D16" t="inlineStr">
        <is>
          <t>Lãi suất ±25bps</t>
        </is>
      </c>
      <c r="E16" t="inlineStr">
        <is>
          <t>🔴 CỰC MẠNH</t>
        </is>
      </c>
    </row>
    <row r="17" ht="14.25" customHeight="1" s="981">
      <c r="A17" t="inlineStr">
        <is>
          <t>15/05/2026</t>
        </is>
      </c>
      <c r="B17" t="inlineStr">
        <is>
          <t>CPI VN tháng 4</t>
        </is>
      </c>
      <c r="C17" t="inlineStr">
        <is>
          <t>VN</t>
        </is>
      </c>
      <c r="D17" t="inlineStr">
        <is>
          <t>Lạm phát</t>
        </is>
      </c>
      <c r="E17" t="inlineStr">
        <is>
          <t>🟡 Mạnh</t>
        </is>
      </c>
    </row>
    <row r="18" ht="14.25" customHeight="1" s="981">
      <c r="A18" t="inlineStr">
        <is>
          <t>22/05/2026</t>
        </is>
      </c>
      <c r="B18" t="inlineStr">
        <is>
          <t>ECB Meeting</t>
        </is>
      </c>
      <c r="C18" t="inlineStr">
        <is>
          <t>EU</t>
        </is>
      </c>
      <c r="D18" t="inlineStr">
        <is>
          <t>EUR/VND</t>
        </is>
      </c>
      <c r="E18" t="inlineStr">
        <is>
          <t>🟠 Vừa</t>
        </is>
      </c>
    </row>
    <row r="19" ht="14.25" customHeight="1" s="981">
      <c r="A19" t="inlineStr">
        <is>
          <t>06/06/2026</t>
        </is>
      </c>
      <c r="B19" t="inlineStr">
        <is>
          <t>NFP (Việc làm phi NN US)</t>
        </is>
      </c>
      <c r="C19" t="inlineStr">
        <is>
          <t>US</t>
        </is>
      </c>
      <c r="D19" t="inlineStr">
        <is>
          <t>USD strength</t>
        </is>
      </c>
      <c r="E19" t="inlineStr">
        <is>
          <t>🔴 CỰC MẠNH</t>
        </is>
      </c>
    </row>
    <row r="20" ht="14.25" customHeight="1" s="981">
      <c r="A20" t="inlineStr">
        <is>
          <t>15/06/2026</t>
        </is>
      </c>
      <c r="B20" t="inlineStr">
        <is>
          <t>BOJ Meeting</t>
        </is>
      </c>
      <c r="C20" t="inlineStr">
        <is>
          <t>JP</t>
        </is>
      </c>
      <c r="D20" t="inlineStr">
        <is>
          <t>JPY carry trade</t>
        </is>
      </c>
      <c r="E20" t="inlineStr">
        <is>
          <t>🟠 Vừa</t>
        </is>
      </c>
    </row>
    <row r="21" ht="14.25" customHeight="1" s="981">
      <c r="A21" t="inlineStr">
        <is>
          <t>30/06/2026</t>
        </is>
      </c>
      <c r="B21" t="inlineStr">
        <is>
          <t>GDP Q2 VN</t>
        </is>
      </c>
      <c r="C21" t="inlineStr">
        <is>
          <t>VN</t>
        </is>
      </c>
      <c r="D21" t="inlineStr">
        <is>
          <t>Tăng trưởng</t>
        </is>
      </c>
      <c r="E21" t="inlineStr">
        <is>
          <t>🔴 CỰC MẠNH</t>
        </is>
      </c>
    </row>
    <row r="22" ht="14.25" customHeight="1" s="981">
      <c r="A22" t="inlineStr">
        <is>
          <t>15/07/2026</t>
        </is>
      </c>
      <c r="B22" t="inlineStr">
        <is>
          <t>CPI VN tháng 6</t>
        </is>
      </c>
      <c r="C22" t="inlineStr">
        <is>
          <t>VN</t>
        </is>
      </c>
      <c r="D22" t="inlineStr">
        <is>
          <t>Chính sách tiền tệ</t>
        </is>
      </c>
      <c r="E22" t="inlineStr">
        <is>
          <t>🟡 Mạnh</t>
        </is>
      </c>
    </row>
    <row r="23" ht="14.25" customHeight="1" s="981">
      <c r="A23" t="inlineStr">
        <is>
          <t>25/07/2026</t>
        </is>
      </c>
      <c r="B23" t="inlineStr">
        <is>
          <t>Fed FOMC</t>
        </is>
      </c>
      <c r="C23" t="inlineStr">
        <is>
          <t>US</t>
        </is>
      </c>
      <c r="D23" t="inlineStr">
        <is>
          <t>Lãi suất</t>
        </is>
      </c>
      <c r="E23" t="inlineStr">
        <is>
          <t>🔴 CỰC MẠNH</t>
        </is>
      </c>
    </row>
    <row r="26" ht="15" customHeight="1" s="981">
      <c r="A26" s="921" t="inlineStr">
        <is>
          <t>💡 QUY TẮC SÓI VỀ CALENDAR</t>
        </is>
      </c>
    </row>
    <row r="27" ht="14.25" customHeight="1" s="981">
      <c r="A27" s="924" t="inlineStr">
        <is>
          <t>• Trước ĐHCĐ 1 tuần: Giá thường tăng (rumor) — KHÔNG ĐUỔI HÀNG</t>
        </is>
      </c>
    </row>
    <row r="28" ht="14.25" customHeight="1" s="981">
      <c r="A28" s="924" t="inlineStr">
        <is>
          <t>• Ngày chốt cổ tức: Giá tự điều chỉnh giảm = cổ tức (đừng tưởng "sập")</t>
        </is>
      </c>
    </row>
    <row r="29" ht="14.25" customHeight="1" s="981">
      <c r="A29" s="924" t="inlineStr">
        <is>
          <t>• Trước BCTC 3-5 ngày: VOL tăng — INSIDER thường biết trước</t>
        </is>
      </c>
    </row>
    <row r="30" ht="14.25" customHeight="1" s="981">
      <c r="A30" s="924" t="inlineStr">
        <is>
          <t>• Fed FOMC ±25bps: Mã ngân hàng VN biến động ngược chiều USD</t>
        </is>
      </c>
    </row>
    <row r="31" ht="14.25" customHeight="1" s="981">
      <c r="A31" s="924" t="inlineStr">
        <is>
          <t>• CPI VN &gt; 4%: SBV có thể tăng lãi suất → BĐS giảm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7"/>
  <sheetViews>
    <sheetView zoomScaleNormal="100" workbookViewId="0">
      <selection activeCell="A1" sqref="A1"/>
    </sheetView>
  </sheetViews>
  <sheetFormatPr baseColWidth="8" defaultColWidth="8.6640625" defaultRowHeight="14.4"/>
  <cols>
    <col width="20" customWidth="1" style="981" min="1" max="7"/>
  </cols>
  <sheetData>
    <row r="1" ht="27.75" customHeight="1" s="981">
      <c r="A1" s="1238" t="inlineStr">
        <is>
          <t>🌡 MARKET BREADTH — Đo nhiệt thị trường</t>
        </is>
      </c>
    </row>
    <row r="2">
      <c r="A2" t="inlineStr">
        <is>
          <t>Cap nhat: 19:46 28/05/2026</t>
        </is>
      </c>
    </row>
    <row r="3" ht="15" customHeight="1" s="981">
      <c r="A3" s="921" t="inlineStr">
        <is>
          <t>📉 A. VN-VIX (Chỉ số sợ hãi VN — proxy)</t>
        </is>
      </c>
    </row>
    <row r="4" ht="14.25" customHeight="1" s="981">
      <c r="A4" t="inlineStr">
        <is>
          <t>Tong phien: 25</t>
        </is>
      </c>
      <c r="B4" s="922" t="n">
        <v>18.5</v>
      </c>
    </row>
    <row r="5" ht="14.25" customHeight="1" s="981">
      <c r="A5" t="inlineStr">
        <is>
          <t>Phien tang: 12</t>
        </is>
      </c>
      <c r="B5" s="933">
        <f>B4*SQRT(252/60)</f>
        <v/>
      </c>
    </row>
    <row r="6" ht="14.25" customHeight="1" s="981">
      <c r="A6" t="inlineStr">
        <is>
          <t>Phien giam: 12</t>
        </is>
      </c>
      <c r="B6" s="926">
        <f>IF(B5&lt;15,"🟢 Bình tĩnh",IF(B5&lt;25,"🟡 Trung bình",IF(B5&lt;35,"🟠 Hoảng loạn nhẹ","🔴 PANIC")))</f>
        <v/>
      </c>
    </row>
    <row r="8" ht="15" customHeight="1" s="981">
      <c r="A8" s="921" t="inlineStr">
        <is>
          <t>😱 B. FEAR &amp; GREED INDEX (Tham lam vs Sợ hãi)</t>
        </is>
      </c>
    </row>
    <row r="9" ht="14.25" customHeight="1" s="981">
      <c r="A9" s="923" t="inlineStr">
        <is>
          <t>Yếu tố</t>
        </is>
      </c>
      <c r="B9" s="923" t="inlineStr">
        <is>
          <t>Trọng số</t>
        </is>
      </c>
      <c r="C9" s="923" t="inlineStr">
        <is>
          <t>Giá trị 0-100</t>
        </is>
      </c>
      <c r="D9" s="923" t="inlineStr">
        <is>
          <t>Điểm có trọng số</t>
        </is>
      </c>
    </row>
    <row r="10" ht="14.25" customHeight="1" s="981">
      <c r="A10" t="inlineStr">
        <is>
          <t>1. Momentum (VN30 vs MA125)</t>
        </is>
      </c>
      <c r="B10" t="n">
        <v>0.15</v>
      </c>
      <c r="C10" s="922" t="n">
        <v>65</v>
      </c>
      <c r="D10" s="933">
        <f>B10*C10</f>
        <v/>
      </c>
    </row>
    <row r="11" ht="14.25" customHeight="1" s="981">
      <c r="A11" t="inlineStr">
        <is>
          <t>2. Market breadth (% mã tăng)</t>
        </is>
      </c>
      <c r="B11" t="n">
        <v>0.15</v>
      </c>
      <c r="C11" s="922" t="n">
        <v>58</v>
      </c>
      <c r="D11" s="933">
        <f>B11*C11</f>
        <v/>
      </c>
    </row>
    <row r="12" ht="14.25" customHeight="1" s="981">
      <c r="A12" t="inlineStr">
        <is>
          <t>3. RSI VN-Index</t>
        </is>
      </c>
      <c r="B12" t="n">
        <v>0.1</v>
      </c>
      <c r="C12" s="922" t="n">
        <v>62</v>
      </c>
      <c r="D12" s="933">
        <f>B12*C12</f>
        <v/>
      </c>
    </row>
    <row r="13" ht="14.25" customHeight="1" s="981">
      <c r="A13" t="inlineStr">
        <is>
          <t>4. Put/Call ratio (Phái sinh)</t>
        </is>
      </c>
      <c r="B13" t="n">
        <v>0.1</v>
      </c>
      <c r="C13" s="922" t="n">
        <v>55</v>
      </c>
      <c r="D13" s="933">
        <f>B13*C13</f>
        <v/>
      </c>
    </row>
    <row r="14" ht="14.25" customHeight="1" s="981">
      <c r="A14" t="inlineStr">
        <is>
          <t>5. Junk bond demand</t>
        </is>
      </c>
      <c r="B14" t="n">
        <v>0.1</v>
      </c>
      <c r="C14" s="922" t="n">
        <v>70</v>
      </c>
      <c r="D14" s="933">
        <f>B14*C14</f>
        <v/>
      </c>
    </row>
    <row r="15" ht="14.25" customHeight="1" s="981">
      <c r="A15" t="inlineStr">
        <is>
          <t>6. Khối ngoại Net Flow</t>
        </is>
      </c>
      <c r="B15" t="n">
        <v>0.15</v>
      </c>
      <c r="C15" s="922" t="n">
        <v>48</v>
      </c>
      <c r="D15" s="933">
        <f>B15*C15</f>
        <v/>
      </c>
    </row>
    <row r="16" ht="14.25" customHeight="1" s="981">
      <c r="A16" t="inlineStr">
        <is>
          <t>7. Safe haven demand (Vàng)</t>
        </is>
      </c>
      <c r="B16" t="n">
        <v>0.1</v>
      </c>
      <c r="C16" s="922" t="n">
        <v>42</v>
      </c>
      <c r="D16" s="933">
        <f>B16*C16</f>
        <v/>
      </c>
    </row>
    <row r="17" ht="14.25" customHeight="1" s="981">
      <c r="A17" t="inlineStr">
        <is>
          <t>7. Tuong quan SP500-VN30</t>
        </is>
      </c>
      <c r="B17" t="n">
        <v>0.1</v>
      </c>
      <c r="C17" s="922" t="n">
        <v>58</v>
      </c>
      <c r="D17" s="933" t="n">
        <v>5.8</v>
      </c>
    </row>
    <row r="18" ht="17.25" customHeight="1" s="981">
      <c r="A18" s="926" t="inlineStr">
        <is>
          <t>8. So ma &gt; MA50</t>
        </is>
      </c>
      <c r="B18" t="n">
        <v>0.1</v>
      </c>
      <c r="C18" t="n">
        <v>55</v>
      </c>
      <c r="D18" s="935" t="n">
        <v>5.5</v>
      </c>
      <c r="E18" s="926">
        <f>IF(D18&lt;25,"🔴 EXTREME FEAR → MUA",IF(D18&lt;45,"🟠 Sợ hãi",IF(D18&lt;55,"🟡 Trung tính",IF(D18&lt;75,"🟢 Tham lam","🔴 EXTREME GREED → BÁN"))))</f>
        <v/>
      </c>
    </row>
    <row r="20" ht="15" customHeight="1" s="981">
      <c r="A20" s="921" t="inlineStr">
        <is>
          <t>TONG DIEM FEAR &amp; GREED</t>
        </is>
      </c>
      <c r="C20" t="n">
        <v>62.2</v>
      </c>
      <c r="D20" t="inlineStr">
        <is>
          <t>THAM LAM (Greed) - Canh bao co phieu dang dat do</t>
        </is>
      </c>
    </row>
    <row r="21" ht="14.25" customHeight="1" s="981">
      <c r="A21" s="923" t="inlineStr">
        <is>
          <t>Tháng</t>
        </is>
      </c>
      <c r="B21" s="923" t="inlineStr">
        <is>
          <t>Return TB %</t>
        </is>
      </c>
      <c r="C21" s="923" t="inlineStr">
        <is>
          <t>Win Rate %</t>
        </is>
      </c>
      <c r="D21" s="923" t="inlineStr">
        <is>
          <t>Best Year %</t>
        </is>
      </c>
      <c r="E21" s="923" t="inlineStr">
        <is>
          <t>Worst Year %</t>
        </is>
      </c>
      <c r="F21" s="923" t="inlineStr">
        <is>
          <t>Khuyến nghị</t>
        </is>
      </c>
    </row>
    <row r="22" ht="14.25" customHeight="1" s="981">
      <c r="A22" t="inlineStr">
        <is>
          <t>THANG DO FEAR &amp; GREED</t>
        </is>
      </c>
      <c r="B22" s="933" t="n">
        <v>2.8</v>
      </c>
      <c r="C22" t="n">
        <v>65</v>
      </c>
      <c r="D22" t="n">
        <v>8.5</v>
      </c>
      <c r="E22" t="n">
        <v>-5.2</v>
      </c>
      <c r="F22" t="inlineStr">
        <is>
          <t>🟢 Mua mạnh — January Effect</t>
        </is>
      </c>
    </row>
    <row r="23" ht="14.25" customHeight="1" s="981">
      <c r="A23" t="inlineStr">
        <is>
          <t>0-25: FEAR (So hai)</t>
        </is>
      </c>
      <c r="B23" t="n">
        <v>1.2</v>
      </c>
      <c r="C23" t="n">
        <v>55</v>
      </c>
      <c r="D23" t="n">
        <v>6.8</v>
      </c>
      <c r="E23" t="n">
        <v>-4.1</v>
      </c>
      <c r="F23" t="inlineStr">
        <is>
          <t>🟢 Tích cực</t>
        </is>
      </c>
    </row>
    <row r="24" ht="14.25" customHeight="1" s="981">
      <c r="A24" t="inlineStr">
        <is>
          <t>25-45: NEUTRAL (Trung tinh)</t>
        </is>
      </c>
      <c r="B24" t="n">
        <v>0.8</v>
      </c>
      <c r="C24" t="n">
        <v>52</v>
      </c>
      <c r="D24" t="n">
        <v>7.2</v>
      </c>
      <c r="E24" t="n">
        <v>-8.5</v>
      </c>
      <c r="F24" t="inlineStr">
        <is>
          <t>🟡 Trung tính</t>
        </is>
      </c>
    </row>
    <row r="25" ht="14.25" customHeight="1" s="981">
      <c r="A25" t="inlineStr">
        <is>
          <t>45-65: GREED (Tham lam)</t>
        </is>
      </c>
      <c r="B25" t="n">
        <v>1.5</v>
      </c>
      <c r="C25" t="n">
        <v>58</v>
      </c>
      <c r="D25" t="n">
        <v>9.1</v>
      </c>
      <c r="E25" t="n">
        <v>-7.8</v>
      </c>
      <c r="F25" t="inlineStr">
        <is>
          <t>🟢 Mùa ĐHCĐ + cổ tức</t>
        </is>
      </c>
    </row>
    <row r="26" ht="14.25" customHeight="1" s="981">
      <c r="A26" t="inlineStr">
        <is>
          <t>65-85: EXTREME GREED</t>
        </is>
      </c>
      <c r="B26" s="936" t="n">
        <v>-1.2</v>
      </c>
      <c r="C26" t="n">
        <v>42</v>
      </c>
      <c r="D26" t="n">
        <v>5.5</v>
      </c>
      <c r="E26" t="n">
        <v>-10.5</v>
      </c>
      <c r="F26" t="inlineStr">
        <is>
          <t>🔴 "Sell in May" hiệu ứng</t>
        </is>
      </c>
    </row>
    <row r="27" ht="14.25" customHeight="1" s="981">
      <c r="A27" t="inlineStr">
        <is>
          <t>85-100: BUBBLE (Bong bong)</t>
        </is>
      </c>
      <c r="B27" t="n">
        <v>-0.5</v>
      </c>
      <c r="C27" t="n">
        <v>45</v>
      </c>
      <c r="D27" t="n">
        <v>4.8</v>
      </c>
      <c r="E27" t="n">
        <v>-9.199999999999999</v>
      </c>
      <c r="F27" t="inlineStr">
        <is>
          <t>🟡 Trung tính-âm</t>
        </is>
      </c>
    </row>
    <row r="28" ht="14.25" customHeight="1" s="981">
      <c r="A28" t="inlineStr">
        <is>
          <t>7 - Tháng 7</t>
        </is>
      </c>
      <c r="B28" s="933" t="n">
        <v>1.8</v>
      </c>
      <c r="C28" t="n">
        <v>60</v>
      </c>
      <c r="D28" t="n">
        <v>8.800000000000001</v>
      </c>
      <c r="E28" t="n">
        <v>-6.5</v>
      </c>
      <c r="F28" t="inlineStr">
        <is>
          <t>🟢 Phục hồi giữa năm</t>
        </is>
      </c>
    </row>
    <row r="29" ht="14.25" customHeight="1" s="981">
      <c r="A29" t="inlineStr">
        <is>
          <t>8 - Tháng 8</t>
        </is>
      </c>
      <c r="B29" t="n">
        <v>0.2</v>
      </c>
      <c r="C29" t="n">
        <v>50</v>
      </c>
      <c r="D29" t="n">
        <v>7.5</v>
      </c>
      <c r="E29" t="n">
        <v>-8.800000000000001</v>
      </c>
      <c r="F29" t="inlineStr">
        <is>
          <t>🟡 Trung tính</t>
        </is>
      </c>
    </row>
    <row r="30" ht="14.25" customHeight="1" s="981">
      <c r="A30" t="inlineStr">
        <is>
          <t>9 - Tháng 9</t>
        </is>
      </c>
      <c r="B30" s="936" t="n">
        <v>-1.8</v>
      </c>
      <c r="C30" t="n">
        <v>38</v>
      </c>
      <c r="D30" t="n">
        <v>5.2</v>
      </c>
      <c r="E30" t="n">
        <v>-12.5</v>
      </c>
      <c r="F30" t="inlineStr">
        <is>
          <t>🔴 Tệ nhất lịch sử</t>
        </is>
      </c>
    </row>
    <row r="31" ht="14.25" customHeight="1" s="981">
      <c r="A31" t="inlineStr">
        <is>
          <t>10 - Tháng 10</t>
        </is>
      </c>
      <c r="B31" t="n">
        <v>1.5</v>
      </c>
      <c r="C31" t="n">
        <v>55</v>
      </c>
      <c r="D31" t="n">
        <v>9.5</v>
      </c>
      <c r="E31" t="n">
        <v>-8.5</v>
      </c>
      <c r="F31" t="inlineStr">
        <is>
          <t>🟢 Phục hồi</t>
        </is>
      </c>
    </row>
    <row r="32" ht="14.25" customHeight="1" s="981">
      <c r="A32" t="inlineStr">
        <is>
          <t>11 - Tháng 11</t>
        </is>
      </c>
      <c r="B32" s="933" t="n">
        <v>2.2</v>
      </c>
      <c r="C32" t="n">
        <v>62</v>
      </c>
      <c r="D32" t="n">
        <v>8.800000000000001</v>
      </c>
      <c r="E32" t="n">
        <v>-5.5</v>
      </c>
      <c r="F32" t="inlineStr">
        <is>
          <t>🟢 Santa Rally khởi đầu</t>
        </is>
      </c>
    </row>
    <row r="33" ht="14.25" customHeight="1" s="981">
      <c r="A33" t="inlineStr">
        <is>
          <t>12 - Tháng 12</t>
        </is>
      </c>
      <c r="B33" s="933" t="n">
        <v>2.5</v>
      </c>
      <c r="C33" t="n">
        <v>68</v>
      </c>
      <c r="D33" t="n">
        <v>10.2</v>
      </c>
      <c r="E33" t="n">
        <v>-3.8</v>
      </c>
      <c r="F33" t="inlineStr">
        <is>
          <t>🟢 Santa Rally đỉnh điểm</t>
        </is>
      </c>
    </row>
    <row r="35" ht="15" customHeight="1" s="981">
      <c r="A35" s="921" t="inlineStr">
        <is>
          <t>🪙 D. KEY COMMODITY RATIOS (Dr. Copper, Gold/Silver)</t>
        </is>
      </c>
    </row>
    <row r="36" ht="14.25" customHeight="1" s="981">
      <c r="A36" s="923" t="inlineStr">
        <is>
          <t>Tỷ lệ</t>
        </is>
      </c>
      <c r="B36" s="923" t="inlineStr">
        <is>
          <t>Giá trị</t>
        </is>
      </c>
      <c r="C36" s="923" t="inlineStr">
        <is>
          <t>Trung bình lịch sử</t>
        </is>
      </c>
      <c r="D36" s="923" t="inlineStr">
        <is>
          <t>Tín hiệu kinh tế</t>
        </is>
      </c>
    </row>
    <row r="37" ht="14.25" customHeight="1" s="981">
      <c r="A37" t="inlineStr">
        <is>
          <t>Gold/Silver Ratio</t>
        </is>
      </c>
      <c r="B37" s="922" t="n">
        <v>85</v>
      </c>
      <c r="C37" t="n">
        <v>60</v>
      </c>
      <c r="D37">
        <f>IF(B37&gt;80,"🔴 Suy thoái","🟢 Bình thường")</f>
        <v/>
      </c>
    </row>
    <row r="38" ht="14.25" customHeight="1" s="981">
      <c r="A38" t="inlineStr">
        <is>
          <t>Copper/Gold Ratio</t>
        </is>
      </c>
      <c r="B38" s="922" t="n">
        <v>0.0019</v>
      </c>
      <c r="C38" t="n">
        <v>0.0024</v>
      </c>
      <c r="D38">
        <f>IF(B38&lt;0.002,"🔴 Yield giảm — recession risk","🟢 Tăng trưởng")</f>
        <v/>
      </c>
    </row>
    <row r="39" ht="14.25" customHeight="1" s="981">
      <c r="A39" t="inlineStr">
        <is>
          <t>Oil/Gold Ratio</t>
        </is>
      </c>
      <c r="B39" s="922" t="n">
        <v>0.018</v>
      </c>
      <c r="C39" t="n">
        <v>0.025</v>
      </c>
      <c r="D39">
        <f>IF(B39&lt;0.02,"🟡 Dầu yếu","🟢 Bình thường")</f>
        <v/>
      </c>
    </row>
    <row r="40" ht="14.25" customHeight="1" s="981">
      <c r="A40" t="inlineStr">
        <is>
          <t>Bitcoin/Gold</t>
        </is>
      </c>
      <c r="B40" s="922" t="n">
        <v>48</v>
      </c>
      <c r="C40" t="n">
        <v>25</v>
      </c>
      <c r="D40">
        <f>IF(B40&gt;40,"🔴 Risk-on quá mức","🟢 Cân bằng")</f>
        <v/>
      </c>
    </row>
    <row r="42" ht="15" customHeight="1" s="981">
      <c r="A42" s="921" t="inlineStr">
        <is>
          <t>💱 E. CARRY TRADE (JPY/VND, USD/VND)</t>
        </is>
      </c>
    </row>
    <row r="43" ht="14.25" customHeight="1" s="981">
      <c r="A43" s="923" t="inlineStr">
        <is>
          <t>Đi vay</t>
        </is>
      </c>
      <c r="B43" s="923" t="inlineStr">
        <is>
          <t>Lãi suất %</t>
        </is>
      </c>
      <c r="C43" s="923" t="inlineStr">
        <is>
          <t>Đầu tư vào</t>
        </is>
      </c>
      <c r="D43" s="923" t="inlineStr">
        <is>
          <t>Yield %</t>
        </is>
      </c>
      <c r="E43" s="923" t="inlineStr">
        <is>
          <t>Carry %</t>
        </is>
      </c>
      <c r="F43" s="923" t="inlineStr">
        <is>
          <t>Hấp dẫn</t>
        </is>
      </c>
    </row>
    <row r="44" ht="14.25" customHeight="1" s="981">
      <c r="A44" t="inlineStr">
        <is>
          <t>JPY (Nhật)</t>
        </is>
      </c>
      <c r="B44" s="922" t="n">
        <v>0.5</v>
      </c>
      <c r="C44" t="inlineStr">
        <is>
          <t>TPCP VN 5Y</t>
        </is>
      </c>
      <c r="D44" s="922" t="n">
        <v>2.85</v>
      </c>
      <c r="E44" s="933">
        <f>D44-B44</f>
        <v/>
      </c>
      <c r="F44">
        <f>IF(E44&gt;2,"🟢 Cao","🟡 Vừa")</f>
        <v/>
      </c>
    </row>
    <row r="45" ht="14.25" customHeight="1" s="981">
      <c r="A45" t="inlineStr">
        <is>
          <t>USD (Mỹ)</t>
        </is>
      </c>
      <c r="B45" s="922" t="n">
        <v>4.85</v>
      </c>
      <c r="C45" t="inlineStr">
        <is>
          <t>TPCP VN 10Y</t>
        </is>
      </c>
      <c r="D45" s="922" t="n">
        <v>3</v>
      </c>
      <c r="E45" s="933">
        <f>D45-B45</f>
        <v/>
      </c>
      <c r="F45">
        <f>IF(E45&gt;0,"🟢 Có lời","🔴 Không lời")</f>
        <v/>
      </c>
    </row>
    <row r="46" ht="14.25" customHeight="1" s="981">
      <c r="A46" t="inlineStr">
        <is>
          <t>CNY (TQ)</t>
        </is>
      </c>
      <c r="B46" s="922" t="n">
        <v>2.2</v>
      </c>
      <c r="C46" t="inlineStr">
        <is>
          <t>CP VN dividends</t>
        </is>
      </c>
      <c r="D46" s="922" t="n">
        <v>6.5</v>
      </c>
      <c r="E46" s="933">
        <f>D46-B46</f>
        <v/>
      </c>
      <c r="F46">
        <f>IF(E46&gt;3,"🟢 Cao","🟡 Vừa")</f>
        <v/>
      </c>
    </row>
    <row r="47" ht="14.25" customHeight="1" s="981">
      <c r="A47" t="inlineStr">
        <is>
          <t>EUR (EU)</t>
        </is>
      </c>
      <c r="B47" s="922" t="n">
        <v>3.5</v>
      </c>
      <c r="C47" t="inlineStr">
        <is>
          <t>TPCP VN 10Y</t>
        </is>
      </c>
      <c r="D47" s="922" t="n">
        <v>3</v>
      </c>
      <c r="E47" s="933">
        <f>D47-B47</f>
        <v/>
      </c>
      <c r="F47">
        <f>IF(E47&gt;0,"🟢 Có lời","🔴 Không lời")</f>
        <v/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selection activeCell="A1" sqref="A1"/>
    </sheetView>
  </sheetViews>
  <sheetFormatPr baseColWidth="8" defaultColWidth="8.6640625" defaultRowHeight="14.4"/>
  <cols>
    <col width="20" customWidth="1" style="981" min="1" max="7"/>
  </cols>
  <sheetData>
    <row r="1" ht="27.75" customHeight="1" s="981">
      <c r="A1" s="1238" t="inlineStr">
        <is>
          <t>🐋 FLOW &amp; POSITIONING — Cap nhat: 20:49 28/05/2026</t>
        </is>
      </c>
    </row>
    <row r="3" ht="15" customHeight="1" s="981">
      <c r="A3" s="921" t="inlineStr">
        <is>
          <t>🔥 A. FII NET FLOW (Khối ngoại 30 ngày — BlackRock style)</t>
        </is>
      </c>
    </row>
    <row r="4" ht="14.25" customHeight="1" s="981">
      <c r="A4" s="923" t="inlineStr">
        <is>
          <t>Mã</t>
        </is>
      </c>
      <c r="B4" s="923" t="inlineStr">
        <is>
          <t>Mua NN (tỷ)</t>
        </is>
      </c>
      <c r="C4" s="923" t="inlineStr">
        <is>
          <t>Bán NN (tỷ)</t>
        </is>
      </c>
      <c r="D4" s="923" t="inlineStr">
        <is>
          <t>Net Flow (tỷ)</t>
        </is>
      </c>
      <c r="E4" s="923" t="inlineStr">
        <is>
          <t>Tỷ trọng NN %</t>
        </is>
      </c>
      <c r="F4" s="923" t="inlineStr">
        <is>
          <t>Xu hướng</t>
        </is>
      </c>
      <c r="G4" s="923" t="inlineStr">
        <is>
          <t>Tín hiệu</t>
        </is>
      </c>
    </row>
    <row r="5" ht="14.25" customHeight="1" s="981">
      <c r="A5" t="inlineStr">
        <is>
          <t>VCB</t>
        </is>
      </c>
      <c r="B5" s="922" t="n">
        <v>425</v>
      </c>
      <c r="C5" s="922" t="n">
        <v>312</v>
      </c>
      <c r="D5" s="933">
        <f>B5-C5</f>
        <v/>
      </c>
      <c r="E5" s="922" t="n">
        <v>18.5</v>
      </c>
      <c r="F5" t="inlineStr">
        <is>
          <t>Tăng</t>
        </is>
      </c>
      <c r="G5">
        <f>IF(D5&gt;50,"🟢 NN mua mạnh",IF(D5&gt;0,"🟡 NN mua nhẹ","🔴 NN xả"))</f>
        <v/>
      </c>
    </row>
    <row r="6" ht="14.25" customHeight="1" s="981">
      <c r="A6" t="inlineStr">
        <is>
          <t>FPT</t>
        </is>
      </c>
      <c r="B6" s="922" t="n">
        <v>380</v>
      </c>
      <c r="C6" s="922" t="n">
        <v>220</v>
      </c>
      <c r="D6" s="933">
        <f>B6-C6</f>
        <v/>
      </c>
      <c r="E6" s="922" t="n">
        <v>22.3</v>
      </c>
      <c r="F6" t="inlineStr">
        <is>
          <t>Tăng</t>
        </is>
      </c>
      <c r="G6">
        <f>IF(D6&gt;50,"🟢 NN mua mạnh",IF(D6&gt;0,"🟡 NN mua nhẹ","🔴 NN xả"))</f>
        <v/>
      </c>
    </row>
    <row r="7" ht="14.25" customHeight="1" s="981">
      <c r="A7" t="inlineStr">
        <is>
          <t>MBB</t>
        </is>
      </c>
      <c r="B7" s="922" t="n">
        <v>285</v>
      </c>
      <c r="C7" s="922" t="n">
        <v>195</v>
      </c>
      <c r="D7" s="933">
        <f>B7-C7</f>
        <v/>
      </c>
      <c r="E7" s="922" t="n">
        <v>12.8</v>
      </c>
      <c r="F7" t="inlineStr">
        <is>
          <t>Tăng</t>
        </is>
      </c>
      <c r="G7">
        <f>IF(D7&gt;50,"🟢 NN mua mạnh",IF(D7&gt;0,"🟡 NN mua nhẹ","🔴 NN xả"))</f>
        <v/>
      </c>
    </row>
    <row r="8" ht="14.25" customHeight="1" s="981">
      <c r="A8" t="inlineStr">
        <is>
          <t>HPG</t>
        </is>
      </c>
      <c r="B8" s="922" t="n">
        <v>195</v>
      </c>
      <c r="C8" s="922" t="n">
        <v>320</v>
      </c>
      <c r="D8" s="933">
        <f>B8-C8</f>
        <v/>
      </c>
      <c r="E8" s="922" t="n">
        <v>26700</v>
      </c>
      <c r="F8" t="inlineStr">
        <is>
          <t>Giảm</t>
        </is>
      </c>
      <c r="G8">
        <f>IF(D8&gt;50,"🟢 NN mua mạnh",IF(D8&gt;0,"🟡 NN mua nhẹ","🔴 NN xả"))</f>
        <v/>
      </c>
    </row>
    <row r="9" ht="14.25" customHeight="1" s="981">
      <c r="A9" t="inlineStr">
        <is>
          <t>VHM</t>
        </is>
      </c>
      <c r="B9" s="922" t="n">
        <v>145</v>
      </c>
      <c r="C9" s="922" t="n">
        <v>285</v>
      </c>
      <c r="D9" s="933">
        <f>B9-C9</f>
        <v/>
      </c>
      <c r="E9" s="922" t="n">
        <v>15.2</v>
      </c>
      <c r="F9" t="inlineStr">
        <is>
          <t>Giảm</t>
        </is>
      </c>
      <c r="G9">
        <f>IF(D9&gt;50,"🟢 NN mua mạnh",IF(D9&gt;0,"🟡 NN mua nhẹ","🔴 NN xả"))</f>
        <v/>
      </c>
    </row>
    <row r="10" ht="14.25" customHeight="1" s="981">
      <c r="A10" t="inlineStr">
        <is>
          <t>VNM</t>
        </is>
      </c>
      <c r="B10" s="922" t="n">
        <v>220</v>
      </c>
      <c r="C10" s="922" t="n">
        <v>180</v>
      </c>
      <c r="D10" s="933">
        <f>B10-C10</f>
        <v/>
      </c>
      <c r="E10" s="922" t="n">
        <v>35.5</v>
      </c>
      <c r="F10" t="inlineStr">
        <is>
          <t>Tăng</t>
        </is>
      </c>
      <c r="G10">
        <f>IF(D10&gt;50,"🟢 NN mua mạnh",IF(D10&gt;0,"🟡 NN mua nhẹ","🔴 NN xả"))</f>
        <v/>
      </c>
    </row>
    <row r="11" ht="14.25" customHeight="1" s="981">
      <c r="A11" t="inlineStr">
        <is>
          <t>MWG</t>
        </is>
      </c>
      <c r="B11" s="922" t="n">
        <v>178</v>
      </c>
      <c r="C11" s="922" t="n">
        <v>142</v>
      </c>
      <c r="D11" s="933">
        <f>B11-C11</f>
        <v/>
      </c>
      <c r="E11" s="922" t="n">
        <v>19.8</v>
      </c>
      <c r="F11" t="inlineStr">
        <is>
          <t>Tăng</t>
        </is>
      </c>
      <c r="G11">
        <f>IF(D11&gt;50,"🟢 NN mua mạnh",IF(D11&gt;0,"🟡 NN mua nhẹ","🔴 NN xả"))</f>
        <v/>
      </c>
    </row>
    <row r="12" ht="14.25" customHeight="1" s="981">
      <c r="A12" t="inlineStr">
        <is>
          <t>CTR</t>
        </is>
      </c>
      <c r="B12" s="922" t="n">
        <v>95</v>
      </c>
      <c r="C12" s="922" t="n">
        <v>68</v>
      </c>
      <c r="D12" s="933">
        <f>B12-C12</f>
        <v/>
      </c>
      <c r="E12" s="922" t="n">
        <v>12.2</v>
      </c>
      <c r="F12" t="inlineStr">
        <is>
          <t>Tăng</t>
        </is>
      </c>
      <c r="G12">
        <f>IF(D12&gt;50,"🟢 NN mua mạnh",IF(D12&gt;0,"🟡 NN mua nhẹ","🔴 NN xả"))</f>
        <v/>
      </c>
    </row>
    <row r="13" ht="14.25" customHeight="1" s="981">
      <c r="A13" t="inlineStr">
        <is>
          <t>TỔNG NET FLOW (tỷ):</t>
        </is>
      </c>
      <c r="D13" s="937">
        <f>SUM(D5:D12)</f>
        <v/>
      </c>
      <c r="E13" s="926">
        <f>IF(D13&gt;0,"🟢 NN tổng MUA — Bullish","🔴 NN tổng XẢ — Bearish")</f>
        <v/>
      </c>
    </row>
    <row r="15" ht="15" customHeight="1" s="981">
      <c r="A15" s="921" t="inlineStr">
        <is>
          <t>👤 B. INSIDER TRADING (Mua/bán nội bộ — SEC style)</t>
        </is>
      </c>
    </row>
    <row r="16" ht="14.25" customHeight="1" s="981">
      <c r="A16" s="923" t="inlineStr">
        <is>
          <t>Mã</t>
        </is>
      </c>
      <c r="B16" s="923" t="inlineStr">
        <is>
          <t>Người mua</t>
        </is>
      </c>
      <c r="C16" s="923" t="inlineStr">
        <is>
          <t>Chức vụ</t>
        </is>
      </c>
      <c r="D16" s="923" t="inlineStr">
        <is>
          <t>Khối lượng</t>
        </is>
      </c>
      <c r="E16" s="923" t="inlineStr">
        <is>
          <t>Trị giá (tỷ)</t>
        </is>
      </c>
      <c r="F16" s="923" t="inlineStr">
        <is>
          <t>Loại</t>
        </is>
      </c>
      <c r="G16" s="923" t="inlineStr">
        <is>
          <t>Tín hiệu</t>
        </is>
      </c>
    </row>
    <row r="17" ht="14.25" customHeight="1" s="981">
      <c r="A17" t="inlineStr">
        <is>
          <t>FPT</t>
        </is>
      </c>
      <c r="B17" t="inlineStr">
        <is>
          <t>Trương Gia Bình</t>
        </is>
      </c>
      <c r="C17" t="inlineStr">
        <is>
          <t>Chủ tịch</t>
        </is>
      </c>
      <c r="D17" t="n">
        <v>500000</v>
      </c>
      <c r="E17" t="n">
        <v>35</v>
      </c>
      <c r="F17" t="inlineStr">
        <is>
          <t>MUA</t>
        </is>
      </c>
      <c r="G17" t="inlineStr">
        <is>
          <t>🟢 BULLISH MẠNH</t>
        </is>
      </c>
    </row>
    <row r="18" ht="14.25" customHeight="1" s="981">
      <c r="A18" t="inlineStr">
        <is>
          <t>MBB</t>
        </is>
      </c>
      <c r="B18" t="inlineStr">
        <is>
          <t>Lưu Trung Thái</t>
        </is>
      </c>
      <c r="C18" t="inlineStr">
        <is>
          <t>CEO</t>
        </is>
      </c>
      <c r="D18" t="n">
        <v>200000</v>
      </c>
      <c r="E18" t="n">
        <v>5.2</v>
      </c>
      <c r="F18" t="inlineStr">
        <is>
          <t>MUA</t>
        </is>
      </c>
      <c r="G18" t="inlineStr">
        <is>
          <t>🟢 Bullish</t>
        </is>
      </c>
    </row>
    <row r="19" ht="14.25" customHeight="1" s="981">
      <c r="A19" t="inlineStr">
        <is>
          <t>VCB</t>
        </is>
      </c>
      <c r="B19" t="inlineStr">
        <is>
          <t>Phạm Quang Dũng</t>
        </is>
      </c>
      <c r="C19" t="inlineStr">
        <is>
          <t>CEO</t>
        </is>
      </c>
      <c r="D19" t="n">
        <v>100000</v>
      </c>
      <c r="E19" t="n">
        <v>6.1</v>
      </c>
      <c r="F19" t="inlineStr">
        <is>
          <t>BÁN</t>
        </is>
      </c>
      <c r="G19" t="inlineStr">
        <is>
          <t>🟠 Bearish nhẹ</t>
        </is>
      </c>
    </row>
    <row r="20" ht="14.25" customHeight="1" s="981">
      <c r="A20" t="inlineStr">
        <is>
          <t>HPG</t>
        </is>
      </c>
      <c r="B20" t="inlineStr">
        <is>
          <t>Trần Đình Long</t>
        </is>
      </c>
      <c r="C20" t="inlineStr">
        <is>
          <t>Chủ tịch</t>
        </is>
      </c>
      <c r="D20" t="n">
        <v>1000000</v>
      </c>
      <c r="E20" t="n">
        <v>25</v>
      </c>
      <c r="F20" t="inlineStr">
        <is>
          <t>MUA</t>
        </is>
      </c>
      <c r="G20" t="inlineStr">
        <is>
          <t>🟢 Mua lớn</t>
        </is>
      </c>
    </row>
    <row r="21" ht="14.25" customHeight="1" s="981">
      <c r="A21" t="inlineStr">
        <is>
          <t>CTR</t>
        </is>
      </c>
      <c r="B21" t="inlineStr">
        <is>
          <t>Phạm Đình Trường</t>
        </is>
      </c>
      <c r="C21" t="inlineStr">
        <is>
          <t>Tổng GĐ</t>
        </is>
      </c>
      <c r="D21" t="n">
        <v>50000</v>
      </c>
      <c r="E21" t="n">
        <v>4.2</v>
      </c>
      <c r="F21" t="inlineStr">
        <is>
          <t>MUA</t>
        </is>
      </c>
      <c r="G21" t="inlineStr">
        <is>
          <t>🟢 Bullish</t>
        </is>
      </c>
    </row>
    <row r="22" ht="14.25" customHeight="1" s="981">
      <c r="A22" t="inlineStr">
        <is>
          <t>VHM</t>
        </is>
      </c>
      <c r="B22" t="inlineStr">
        <is>
          <t>Phạm Nhật Vượng</t>
        </is>
      </c>
      <c r="C22" t="inlineStr">
        <is>
          <t>Chủ tịch</t>
        </is>
      </c>
      <c r="D22" t="n">
        <v>0</v>
      </c>
      <c r="E22" t="n">
        <v>0</v>
      </c>
      <c r="F22" t="inlineStr">
        <is>
          <t>KHÔNG</t>
        </is>
      </c>
      <c r="G22" t="inlineStr">
        <is>
          <t>🟡 Im lặng</t>
        </is>
      </c>
    </row>
    <row r="24" ht="15" customHeight="1" s="981">
      <c r="A24" s="921" t="inlineStr">
        <is>
          <t>📉 C. SHORT INTEREST + COVER RATIO (TT200 — Margin)</t>
        </is>
      </c>
    </row>
    <row r="25" ht="14.25" customHeight="1" s="981">
      <c r="A25" s="923" t="inlineStr">
        <is>
          <t>Mã</t>
        </is>
      </c>
      <c r="B25" s="923" t="inlineStr">
        <is>
          <t>Short Interest %</t>
        </is>
      </c>
      <c r="C25" s="923" t="inlineStr">
        <is>
          <t>Days to Cover</t>
        </is>
      </c>
      <c r="D25" s="923" t="inlineStr">
        <is>
          <t>SI Ratio</t>
        </is>
      </c>
      <c r="E25" s="923" t="inlineStr">
        <is>
          <t>Cảnh báo</t>
        </is>
      </c>
      <c r="F25" s="923" t="inlineStr">
        <is>
          <t>Tín hiệu</t>
        </is>
      </c>
    </row>
    <row r="26" ht="14.25" customHeight="1" s="981">
      <c r="A26" t="inlineStr">
        <is>
          <t>VHM</t>
        </is>
      </c>
      <c r="B26" t="n">
        <v>8.5</v>
      </c>
      <c r="C26" t="n">
        <v>4.2</v>
      </c>
      <c r="D26" s="933">
        <f>B26/C26</f>
        <v/>
      </c>
      <c r="E26">
        <f>IF(B26&gt;10,"🔴 Squeeze risk","")</f>
        <v/>
      </c>
      <c r="F26" t="inlineStr">
        <is>
          <t>🟠 Bearish</t>
        </is>
      </c>
    </row>
    <row r="27" ht="14.25" customHeight="1" s="981">
      <c r="A27" t="inlineStr">
        <is>
          <t>NVL</t>
        </is>
      </c>
      <c r="B27" t="n">
        <v>12.3</v>
      </c>
      <c r="C27" t="n">
        <v>5.8</v>
      </c>
      <c r="D27" s="933">
        <f>B27/C27</f>
        <v/>
      </c>
      <c r="E27">
        <f>IF(B27&gt;10,"🔴 Squeeze risk","")</f>
        <v/>
      </c>
      <c r="F27" t="inlineStr">
        <is>
          <t>🔴 Bearish mạnh</t>
        </is>
      </c>
    </row>
    <row r="28" ht="14.25" customHeight="1" s="981">
      <c r="A28" t="inlineStr">
        <is>
          <t>FLC</t>
        </is>
      </c>
      <c r="B28" t="n">
        <v>18.5</v>
      </c>
      <c r="C28" t="n">
        <v>8.5</v>
      </c>
      <c r="D28" s="933">
        <f>B28/C28</f>
        <v/>
      </c>
      <c r="E28">
        <f>IF(B28&gt;10,"🔴 Squeeze risk","")</f>
        <v/>
      </c>
      <c r="F28" t="inlineStr">
        <is>
          <t>🔴 Cấm shop</t>
        </is>
      </c>
    </row>
    <row r="29" ht="14.25" customHeight="1" s="981">
      <c r="A29" t="inlineStr">
        <is>
          <t>HPG</t>
        </is>
      </c>
      <c r="B29" t="n">
        <v>4.2</v>
      </c>
      <c r="C29" t="n">
        <v>2.1</v>
      </c>
      <c r="D29" s="933">
        <f>B29/C29</f>
        <v/>
      </c>
      <c r="F29" t="inlineStr">
        <is>
          <t>🟡 Trung tính</t>
        </is>
      </c>
    </row>
    <row r="30" ht="14.25" customHeight="1" s="981">
      <c r="A30" t="inlineStr">
        <is>
          <t>FPT</t>
        </is>
      </c>
      <c r="B30" t="n">
        <v>1.8</v>
      </c>
      <c r="C30" t="n">
        <v>0.8</v>
      </c>
      <c r="D30" s="933">
        <f>B30/C30</f>
        <v/>
      </c>
      <c r="F30" t="inlineStr">
        <is>
          <t>🟢 Ít short</t>
        </is>
      </c>
    </row>
    <row r="32" ht="15" customHeight="1" s="981">
      <c r="A32" s="921" t="inlineStr">
        <is>
          <t>⚖ D. PUT/CALL RATIO (Phái sinh VN30 + Chứng quyền)</t>
        </is>
      </c>
    </row>
    <row r="33" ht="14.25" customHeight="1" s="981">
      <c r="A33" t="inlineStr">
        <is>
          <t>Tổng Put OI:</t>
        </is>
      </c>
      <c r="B33" s="922" t="n">
        <v>125000</v>
      </c>
    </row>
    <row r="34" ht="14.25" customHeight="1" s="981">
      <c r="A34" t="inlineStr">
        <is>
          <t>Tổng Call OI:</t>
        </is>
      </c>
      <c r="B34" s="922" t="n">
        <v>185000</v>
      </c>
    </row>
    <row r="35" ht="14.25" customHeight="1" s="981">
      <c r="A35" t="inlineStr">
        <is>
          <t>P/C Ratio:</t>
        </is>
      </c>
      <c r="B35" s="933">
        <f>B33/B34</f>
        <v/>
      </c>
    </row>
    <row r="36" ht="14.25" customHeight="1" s="981">
      <c r="A36" t="inlineStr">
        <is>
          <t>Đọc tín hiệu:</t>
        </is>
      </c>
      <c r="B36" s="926">
        <f>IF(B35&gt;1.2,"🔴 EXTREME FEAR — Contrarian BUY",IF(B35&gt;0.85,"🟠 Sợ hãi",IF(B35&gt;0.65,"🟡 Cân bằng",IF(B35&gt;0.45,"🟢 Hơi tham","🔴 EXTREME GREED — Contrarian SELL"))))</f>
        <v/>
      </c>
    </row>
    <row r="38" ht="15" customHeight="1" s="981">
      <c r="A38" s="921" t="inlineStr">
        <is>
          <t>🌑 E. DARK POOL — Giao dịch thỏa thuận (Khối lượng cá voi)</t>
        </is>
      </c>
    </row>
    <row r="39" ht="28.5" customHeight="1" s="981">
      <c r="A39" s="923" t="inlineStr">
        <is>
          <t>Mã</t>
        </is>
      </c>
      <c r="B39" s="923" t="inlineStr">
        <is>
          <t>Giá thỏa thuận</t>
        </is>
      </c>
      <c r="C39" s="923" t="inlineStr">
        <is>
          <t>Khối lượng</t>
        </is>
      </c>
      <c r="D39" s="923" t="inlineStr">
        <is>
          <t>Trị giá (tỷ)</t>
        </is>
      </c>
      <c r="E39" s="923" t="inlineStr">
        <is>
          <t>% so với phiên thường</t>
        </is>
      </c>
      <c r="F39" s="923" t="inlineStr">
        <is>
          <t>Tín hiệu</t>
        </is>
      </c>
    </row>
    <row r="40" ht="14.25" customHeight="1" s="981">
      <c r="A40" t="inlineStr">
        <is>
          <t>FPT</t>
        </is>
      </c>
      <c r="B40" t="n">
        <v>70500</v>
      </c>
      <c r="C40" t="n">
        <v>5000000</v>
      </c>
      <c r="D40" s="933">
        <f>B40*C40/1000000000</f>
        <v/>
      </c>
      <c r="E40" t="n">
        <v>28</v>
      </c>
      <c r="F40" t="inlineStr">
        <is>
          <t>🟢 Khối ngoại mua lớn</t>
        </is>
      </c>
    </row>
    <row r="41" ht="14.25" customHeight="1" s="981">
      <c r="A41" t="inlineStr">
        <is>
          <t>VCB</t>
        </is>
      </c>
      <c r="B41" t="n">
        <v>60800</v>
      </c>
      <c r="C41" t="n">
        <v>3500000</v>
      </c>
      <c r="D41" s="933">
        <f>B41*C41/1000000000</f>
        <v/>
      </c>
      <c r="E41" t="n">
        <v>22</v>
      </c>
      <c r="F41" t="inlineStr">
        <is>
          <t>🟢 Mua tay to</t>
        </is>
      </c>
    </row>
    <row r="42" ht="14.25" customHeight="1" s="981">
      <c r="A42" t="inlineStr">
        <is>
          <t>MBB</t>
        </is>
      </c>
      <c r="B42" t="n">
        <v>26200</v>
      </c>
      <c r="C42" t="n">
        <v>8000000</v>
      </c>
      <c r="D42" s="933">
        <f>B42*C42/1000000000</f>
        <v/>
      </c>
      <c r="E42" t="n">
        <v>32</v>
      </c>
      <c r="F42" t="inlineStr">
        <is>
          <t>🟢 Quỹ tích lũy</t>
        </is>
      </c>
    </row>
    <row r="43" ht="14.25" customHeight="1" s="981">
      <c r="A43" t="inlineStr">
        <is>
          <t>VHM</t>
        </is>
      </c>
      <c r="B43" t="n">
        <v>42500</v>
      </c>
      <c r="C43" t="n">
        <v>12000000</v>
      </c>
      <c r="D43" s="933">
        <f>B43*C43/1000000000</f>
        <v/>
      </c>
      <c r="E43" t="n">
        <v>45</v>
      </c>
      <c r="F43" t="inlineStr">
        <is>
          <t>🔴 Bán giải chấp</t>
        </is>
      </c>
    </row>
    <row r="44" ht="14.25" customHeight="1" s="981">
      <c r="A44" t="inlineStr">
        <is>
          <t>NVL</t>
        </is>
      </c>
      <c r="B44" t="n">
        <v>9500</v>
      </c>
      <c r="C44" t="n">
        <v>20000000</v>
      </c>
      <c r="D44" s="933">
        <f>B44*C44/1000000000</f>
        <v/>
      </c>
      <c r="E44" t="n">
        <v>58</v>
      </c>
      <c r="F44" t="inlineStr">
        <is>
          <t>🔴 Cá voi chạy</t>
        </is>
      </c>
    </row>
    <row r="46" ht="15" customHeight="1" s="981">
      <c r="A46" s="921" t="inlineStr">
        <is>
          <t>🔧 F. MARGIN + T+2.5 STATUS (toàn thị trường)</t>
        </is>
      </c>
    </row>
    <row r="47" ht="14.25" customHeight="1" s="981">
      <c r="A47" s="923" t="inlineStr">
        <is>
          <t>Chỉ số</t>
        </is>
      </c>
      <c r="B47" s="923" t="inlineStr">
        <is>
          <t>Giá trị</t>
        </is>
      </c>
      <c r="C47" s="923" t="inlineStr">
        <is>
          <t>Ngưỡng</t>
        </is>
      </c>
      <c r="D47" s="923" t="inlineStr">
        <is>
          <t>Tín hiệu</t>
        </is>
      </c>
    </row>
    <row r="48" ht="14.25" customHeight="1" s="981">
      <c r="A48" t="inlineStr">
        <is>
          <t>Tổng margin toàn TT (nghìn tỷ)</t>
        </is>
      </c>
      <c r="B48" s="922" t="n">
        <v>240</v>
      </c>
      <c r="C48" t="n">
        <v>200</v>
      </c>
      <c r="D48">
        <f>IF(B48&gt;250,"🔴 Cao quá ngưỡng","🟢 An toàn")</f>
        <v/>
      </c>
    </row>
    <row r="49" ht="14.25" customHeight="1" s="981">
      <c r="A49" t="inlineStr">
        <is>
          <t>Margin/Vốn hóa %</t>
        </is>
      </c>
      <c r="B49" s="922" t="n">
        <v>4.5</v>
      </c>
      <c r="C49" t="n">
        <v>5</v>
      </c>
      <c r="D49">
        <f>IF(B49&gt;5,"🔴 Quá nóng","🟢 Bình thường")</f>
        <v/>
      </c>
    </row>
    <row r="50" ht="14.25" customHeight="1" s="981">
      <c r="A50" t="inlineStr">
        <is>
          <t>T+2.5 cycle (phiên)</t>
        </is>
      </c>
      <c r="B50" s="922" t="n">
        <v>2.5</v>
      </c>
      <c r="C50" t="n">
        <v>2.5</v>
      </c>
      <c r="D50" t="inlineStr">
        <is>
          <t>🟢 Chuẩn</t>
        </is>
      </c>
    </row>
    <row r="51" ht="14.25" customHeight="1" s="981">
      <c r="A51" t="inlineStr">
        <is>
          <t>Force-sell tuần trước (tỷ)</t>
        </is>
      </c>
      <c r="B51" s="922" t="n">
        <v>850</v>
      </c>
      <c r="C51" t="n">
        <v>500</v>
      </c>
      <c r="D51">
        <f>IF(B51&gt;1000,"🔴 Áp lực bán","🟡 Trung bình")</f>
        <v/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56"/>
  <sheetViews>
    <sheetView zoomScaleNormal="100" workbookViewId="0">
      <selection activeCell="A1" sqref="A1"/>
    </sheetView>
  </sheetViews>
  <sheetFormatPr baseColWidth="8" defaultColWidth="8.6640625" defaultRowHeight="14.4"/>
  <cols>
    <col width="26" customWidth="1" style="981" min="1" max="7"/>
  </cols>
  <sheetData>
    <row r="1" ht="27.75" customHeight="1" s="981">
      <c r="A1" s="1238" t="inlineStr">
        <is>
          <t>🔬 EARNINGS QUALITY DEEP — Phát hiện gian lận BCTC</t>
        </is>
      </c>
    </row>
    <row r="3" ht="17.25" customHeight="1" s="981">
      <c r="A3" t="inlineStr">
        <is>
          <t>Mã phân tích:</t>
        </is>
      </c>
      <c r="B3" s="938" t="inlineStr">
        <is>
          <t>MBB</t>
        </is>
      </c>
    </row>
    <row r="5" ht="15" customHeight="1" s="981">
      <c r="A5" s="921" t="inlineStr">
        <is>
          <t>🚨 A. BENEISH M-SCORE — 8 yếu tố phát hiện gian lận</t>
        </is>
      </c>
      <c r="B5" t="inlineStr">
        <is>
          <t>MBB</t>
        </is>
      </c>
      <c r="C5" t="n">
        <v>6.5</v>
      </c>
      <c r="D5" t="n">
        <v>1.35</v>
      </c>
      <c r="E5" t="n">
        <v>21.8</v>
      </c>
      <c r="F5" t="n">
        <v>3790</v>
      </c>
      <c r="H5" t="n">
        <v>-2.591</v>
      </c>
      <c r="I5" t="inlineStr">
        <is>
          <t>🟢 Sach</t>
        </is>
      </c>
    </row>
    <row r="6" ht="14.25" customHeight="1" s="981">
      <c r="A6" s="923" t="inlineStr">
        <is>
          <t>Yếu tố</t>
        </is>
      </c>
      <c r="B6" s="923" t="inlineStr">
        <is>
          <t>FPT</t>
        </is>
      </c>
      <c r="C6" s="923" t="n">
        <v>24.5</v>
      </c>
      <c r="D6" s="923" t="n">
        <v>6.2</v>
      </c>
      <c r="E6" s="923" t="n">
        <v>27.8</v>
      </c>
      <c r="F6" s="923" t="n">
        <v>3120</v>
      </c>
      <c r="H6" t="n">
        <v>-2.531</v>
      </c>
      <c r="I6" t="inlineStr">
        <is>
          <t>🟢 Sach</t>
        </is>
      </c>
    </row>
    <row r="7" ht="14.25" customHeight="1" s="981">
      <c r="A7" t="inlineStr">
        <is>
          <t>1. Days Sales in Receivables</t>
        </is>
      </c>
      <c r="B7" s="926" t="inlineStr">
        <is>
          <t>VCB</t>
        </is>
      </c>
      <c r="C7" t="n">
        <v>16.5</v>
      </c>
      <c r="D7" t="n">
        <v>3.2</v>
      </c>
      <c r="E7" s="922" t="n">
        <v>20.4</v>
      </c>
      <c r="F7" s="933" t="n">
        <v>3850</v>
      </c>
      <c r="H7" t="n">
        <v>-2.463</v>
      </c>
      <c r="I7" t="inlineStr">
        <is>
          <t>🟢 Sach</t>
        </is>
      </c>
    </row>
    <row r="8" ht="14.25" customHeight="1" s="981">
      <c r="A8" t="inlineStr">
        <is>
          <t>2. Gross Margin Index</t>
        </is>
      </c>
      <c r="B8" s="926" t="inlineStr">
        <is>
          <t>HPG</t>
        </is>
      </c>
      <c r="C8" t="n">
        <v>14.2</v>
      </c>
      <c r="D8" t="n">
        <v>1.6</v>
      </c>
      <c r="E8" s="922" t="n">
        <v>11.4</v>
      </c>
      <c r="F8" s="933" t="n">
        <v>1860</v>
      </c>
      <c r="G8" t="n">
        <v>178000</v>
      </c>
      <c r="H8" t="n">
        <v>-2.306</v>
      </c>
      <c r="I8" t="inlineStr">
        <is>
          <t>🟢 Sach</t>
        </is>
      </c>
    </row>
    <row r="9" ht="14.25" customHeight="1" s="981">
      <c r="A9" t="inlineStr">
        <is>
          <t>3. Asset Quality Index</t>
        </is>
      </c>
      <c r="B9" s="926" t="inlineStr">
        <is>
          <t>MWG</t>
        </is>
      </c>
      <c r="C9" t="n">
        <v>17.3</v>
      </c>
      <c r="D9" t="n">
        <v>3.2</v>
      </c>
      <c r="E9" s="922" t="n">
        <v>18.5</v>
      </c>
      <c r="F9" s="933" t="n">
        <v>3640</v>
      </c>
      <c r="H9" t="n">
        <v>-2.417</v>
      </c>
      <c r="I9" t="inlineStr">
        <is>
          <t>🟢 Sach</t>
        </is>
      </c>
    </row>
    <row r="10" ht="14.25" customHeight="1" s="981">
      <c r="A10" t="inlineStr">
        <is>
          <t>4. Sales Growth Index</t>
        </is>
      </c>
      <c r="B10" s="926" t="inlineStr">
        <is>
          <t>VNM</t>
        </is>
      </c>
      <c r="C10" t="n">
        <v>14.6</v>
      </c>
      <c r="D10" t="n">
        <v>3.4</v>
      </c>
      <c r="E10" s="922" t="n">
        <v>23.5</v>
      </c>
      <c r="F10" s="933" t="n">
        <v>4250</v>
      </c>
      <c r="H10" t="n">
        <v>-2.544</v>
      </c>
      <c r="I10" t="inlineStr">
        <is>
          <t>🟢 Sach</t>
        </is>
      </c>
    </row>
    <row r="11" ht="14.25" customHeight="1" s="981">
      <c r="A11" t="inlineStr">
        <is>
          <t>5. Depreciation Index</t>
        </is>
      </c>
      <c r="B11" s="926" t="inlineStr">
        <is>
          <t>CTR</t>
        </is>
      </c>
      <c r="C11" t="n">
        <v>26.5</v>
      </c>
      <c r="D11" t="n">
        <v>4.5</v>
      </c>
      <c r="E11" s="922" t="n">
        <v>18.5</v>
      </c>
      <c r="F11" s="933" t="n">
        <v>4840</v>
      </c>
      <c r="H11" t="n">
        <v>-2.325</v>
      </c>
      <c r="I11" t="inlineStr">
        <is>
          <t>🟢 Sach</t>
        </is>
      </c>
    </row>
    <row r="12" ht="14.25" customHeight="1" s="981">
      <c r="A12" t="inlineStr">
        <is>
          <t>6. SG&amp;A Index</t>
        </is>
      </c>
      <c r="B12" s="926" t="inlineStr">
        <is>
          <t>VIX</t>
        </is>
      </c>
      <c r="C12" t="n">
        <v>17.5</v>
      </c>
      <c r="D12" t="n">
        <v>1.5</v>
      </c>
      <c r="E12" s="922" t="n">
        <v>8.800000000000001</v>
      </c>
      <c r="F12" s="933" t="n">
        <v>840</v>
      </c>
      <c r="G12" t="n">
        <v>41410</v>
      </c>
      <c r="H12" t="n">
        <v>-2.221</v>
      </c>
      <c r="I12" t="inlineStr">
        <is>
          <t>🟢 Sach</t>
        </is>
      </c>
    </row>
    <row r="13" ht="14.25" customHeight="1" s="981">
      <c r="A13" t="inlineStr">
        <is>
          <t>7. Leverage Index</t>
        </is>
      </c>
      <c r="B13" s="926" t="inlineStr">
        <is>
          <t>SSI</t>
        </is>
      </c>
      <c r="C13" t="n">
        <v>14.5</v>
      </c>
      <c r="D13" t="n">
        <v>1.8</v>
      </c>
      <c r="E13" s="922" t="n">
        <v>12.5</v>
      </c>
      <c r="F13" s="933" t="n">
        <v>2480</v>
      </c>
      <c r="G13" t="n">
        <v>42000</v>
      </c>
      <c r="H13" t="n">
        <v>-2.325</v>
      </c>
      <c r="I13" t="inlineStr">
        <is>
          <t>🟢 Sach</t>
        </is>
      </c>
    </row>
    <row r="14" ht="14.25" customHeight="1" s="981">
      <c r="A14" t="inlineStr">
        <is>
          <t>8. Total Accruals to TA</t>
        </is>
      </c>
      <c r="B14" s="926" t="inlineStr">
        <is>
          <t>ACB</t>
        </is>
      </c>
      <c r="C14" t="n">
        <v>6.8</v>
      </c>
      <c r="D14" t="n">
        <v>1.55</v>
      </c>
      <c r="E14" s="922" t="n">
        <v>23.4</v>
      </c>
      <c r="F14" s="933" t="n">
        <v>3360</v>
      </c>
      <c r="H14" t="n">
        <v>-2.62</v>
      </c>
      <c r="I14" t="inlineStr">
        <is>
          <t>🟢 Sach</t>
        </is>
      </c>
    </row>
    <row r="15" ht="17.25" customHeight="1" s="981">
      <c r="A15" s="926" t="inlineStr">
        <is>
          <t>M-Score = -4.84 + Σ(điểm có TS)</t>
        </is>
      </c>
      <c r="F15" s="935">
        <f>-4.84+SUM(F7:F14)</f>
        <v/>
      </c>
    </row>
    <row r="16" ht="15" customHeight="1" s="981">
      <c r="A16" t="inlineStr">
        <is>
          <t>KẾT LUẬN:</t>
        </is>
      </c>
      <c r="F16" s="939">
        <f>IF(F15&lt;-2.22,"🟢 KHÔNG có dấu hiệu gian lận",IF(F15&lt;-1.78,"🟡 Cẩn thận","🔴 NGUY CƠ GIAN LẬN BCTC"))</f>
        <v/>
      </c>
    </row>
    <row r="18" ht="15" customHeight="1" s="981">
      <c r="A18" s="921" t="inlineStr">
        <is>
          <t>💀 B. ALTMAN Z-SCORE — Dự báo phá sản 2 năm tới</t>
        </is>
      </c>
    </row>
    <row r="19" ht="14.25" customHeight="1" s="981">
      <c r="A19" s="923" t="inlineStr">
        <is>
          <t>Tỷ số</t>
        </is>
      </c>
      <c r="B19" s="923" t="inlineStr">
        <is>
          <t>Công thức</t>
        </is>
      </c>
      <c r="C19" s="923" t="inlineStr">
        <is>
          <t>Trọng số</t>
        </is>
      </c>
      <c r="D19" s="923" t="inlineStr">
        <is>
          <t>Giá trị</t>
        </is>
      </c>
      <c r="E19" s="923" t="inlineStr">
        <is>
          <t>Điểm có TS</t>
        </is>
      </c>
    </row>
    <row r="20" ht="14.25" customHeight="1" s="981">
      <c r="A20" t="inlineStr">
        <is>
          <t>Working Capital / Total Assets</t>
        </is>
      </c>
      <c r="B20" s="926" t="inlineStr">
        <is>
          <t>WC/TA</t>
        </is>
      </c>
      <c r="C20" t="n">
        <v>1.2</v>
      </c>
      <c r="D20" s="922" t="n">
        <v>0.15</v>
      </c>
      <c r="E20" s="933">
        <f>C20*D20</f>
        <v/>
      </c>
    </row>
    <row r="21" ht="14.25" customHeight="1" s="981">
      <c r="A21" t="inlineStr">
        <is>
          <t>Retained Earnings / Total Assets</t>
        </is>
      </c>
      <c r="B21" s="926" t="inlineStr">
        <is>
          <t>RE/TA</t>
        </is>
      </c>
      <c r="C21" t="n">
        <v>1.4</v>
      </c>
      <c r="D21" s="922" t="n">
        <v>0.22</v>
      </c>
      <c r="E21" s="933">
        <f>C21*D21</f>
        <v/>
      </c>
    </row>
    <row r="22" ht="14.25" customHeight="1" s="981">
      <c r="A22" t="inlineStr">
        <is>
          <t>EBIT / Total Assets</t>
        </is>
      </c>
      <c r="B22" s="926" t="inlineStr">
        <is>
          <t>EBIT/TA</t>
        </is>
      </c>
      <c r="C22" t="n">
        <v>3.3</v>
      </c>
      <c r="D22" s="922" t="n">
        <v>0.08</v>
      </c>
      <c r="E22" s="933">
        <f>C22*D22</f>
        <v/>
      </c>
    </row>
    <row r="23" ht="14.25" customHeight="1" s="981">
      <c r="A23" t="inlineStr">
        <is>
          <t>Market Value Equity / Total Liab</t>
        </is>
      </c>
      <c r="B23" s="926" t="inlineStr">
        <is>
          <t>MVE/TL</t>
        </is>
      </c>
      <c r="C23" t="n">
        <v>0.6</v>
      </c>
      <c r="D23" s="922" t="n">
        <v>1.85</v>
      </c>
      <c r="E23" s="933">
        <f>C23*D23</f>
        <v/>
      </c>
    </row>
    <row r="24" ht="14.25" customHeight="1" s="981">
      <c r="A24" t="inlineStr">
        <is>
          <t>Sales / Total Assets</t>
        </is>
      </c>
      <c r="B24" s="926" t="inlineStr">
        <is>
          <t>S/TA</t>
        </is>
      </c>
      <c r="C24" t="n">
        <v>1</v>
      </c>
      <c r="D24" s="922" t="n">
        <v>0.45</v>
      </c>
      <c r="E24" s="933">
        <f>C24*D24</f>
        <v/>
      </c>
    </row>
    <row r="25" ht="17.25" customHeight="1" s="981">
      <c r="A25" s="926" t="inlineStr">
        <is>
          <t>TỔNG Z-SCORE:</t>
        </is>
      </c>
      <c r="E25" s="935">
        <f>SUM(E20:E24)</f>
        <v/>
      </c>
    </row>
    <row r="26" ht="15" customHeight="1" s="981">
      <c r="A26" t="inlineStr">
        <is>
          <t>KẾT LUẬN:</t>
        </is>
      </c>
      <c r="E26" s="939">
        <f>IF(E25&gt;2.99,"🟢 SAFE — Không nguy cơ",IF(E25&gt;1.81,"🟡 GREY ZONE","🔴 DISTRESS — Phá sản trong 2 năm"))</f>
        <v/>
      </c>
    </row>
    <row r="28" ht="15" customHeight="1" s="981">
      <c r="A28" s="921" t="inlineStr">
        <is>
          <t>📊 C. SLOAN ACCRUALS — Chất lượng lợi nhuận</t>
        </is>
      </c>
    </row>
    <row r="29" ht="14.25" customHeight="1" s="981">
      <c r="A29" t="inlineStr">
        <is>
          <t>Net Income (tỷ):</t>
        </is>
      </c>
      <c r="B29" s="922" t="n">
        <v>22000</v>
      </c>
    </row>
    <row r="30" ht="14.25" customHeight="1" s="981">
      <c r="A30" t="inlineStr">
        <is>
          <t>CFO Operating (tỷ):</t>
        </is>
      </c>
      <c r="B30" s="922" t="n">
        <v>28500</v>
      </c>
    </row>
    <row r="31" ht="14.25" customHeight="1" s="981">
      <c r="A31" t="inlineStr">
        <is>
          <t>Total Assets (tỷ):</t>
        </is>
      </c>
      <c r="B31" s="922" t="n">
        <v>720000</v>
      </c>
    </row>
    <row r="32" ht="14.25" customHeight="1" s="981">
      <c r="A32" t="inlineStr">
        <is>
          <t>Accruals = (NI - CFO) / TA:</t>
        </is>
      </c>
      <c r="B32" s="933">
        <f>(B29-B30)/B31</f>
        <v/>
      </c>
    </row>
    <row r="33" ht="14.25" customHeight="1" s="981">
      <c r="A33" t="inlineStr">
        <is>
          <t>Đánh giá:</t>
        </is>
      </c>
      <c r="B33" s="926">
        <f>IF(B32&lt;-0.05,"🟢 LN chất lượng cao (CFO&gt;NI)",IF(B32&lt;0.05,"🟡 Bình thường","🔴 LN ảo — CFO&lt;&lt;NI"))</f>
        <v/>
      </c>
    </row>
    <row r="35" ht="15" customHeight="1" s="981">
      <c r="A35" s="921" t="inlineStr">
        <is>
          <t>⭐ D. PIOTROSKI F-SCORE — 9 tiêu chí</t>
        </is>
      </c>
    </row>
    <row r="36" ht="14.25" customHeight="1" s="981">
      <c r="A36" s="923" t="inlineStr">
        <is>
          <t>#</t>
        </is>
      </c>
      <c r="B36" s="923" t="inlineStr">
        <is>
          <t>Tiêu chí</t>
        </is>
      </c>
      <c r="C36" s="923" t="inlineStr">
        <is>
          <t>Pass?</t>
        </is>
      </c>
      <c r="D36" s="923" t="inlineStr">
        <is>
          <t>Điểm</t>
        </is>
      </c>
    </row>
    <row r="37" ht="14.25" customHeight="1" s="981">
      <c r="A37" t="n">
        <v>1</v>
      </c>
      <c r="B37" t="inlineStr">
        <is>
          <t>ROA &gt; 0</t>
        </is>
      </c>
      <c r="C37" s="922" t="n">
        <v>1</v>
      </c>
      <c r="D37" s="933">
        <f>C37</f>
        <v/>
      </c>
    </row>
    <row r="38" ht="14.25" customHeight="1" s="981">
      <c r="A38" t="n">
        <v>2</v>
      </c>
      <c r="B38" t="inlineStr">
        <is>
          <t>CFO &gt; 0</t>
        </is>
      </c>
      <c r="C38" s="922" t="n">
        <v>1</v>
      </c>
      <c r="D38" s="933">
        <f>C38</f>
        <v/>
      </c>
    </row>
    <row r="39" ht="14.25" customHeight="1" s="981">
      <c r="A39" t="n">
        <v>3</v>
      </c>
      <c r="B39" t="inlineStr">
        <is>
          <t>ROA tăng yoy</t>
        </is>
      </c>
      <c r="C39" s="922" t="n">
        <v>1</v>
      </c>
      <c r="D39" s="933">
        <f>C39</f>
        <v/>
      </c>
    </row>
    <row r="40" ht="14.25" customHeight="1" s="981">
      <c r="A40" t="n">
        <v>4</v>
      </c>
      <c r="B40" t="inlineStr">
        <is>
          <t>CFO &gt; NI (chất lượng LN)</t>
        </is>
      </c>
      <c r="C40" s="922" t="n">
        <v>1</v>
      </c>
      <c r="D40" s="933">
        <f>C40</f>
        <v/>
      </c>
    </row>
    <row r="41" ht="14.25" customHeight="1" s="981">
      <c r="A41" t="n">
        <v>5</v>
      </c>
      <c r="B41" t="inlineStr">
        <is>
          <t>D/E giảm yoy</t>
        </is>
      </c>
      <c r="C41" s="922" t="n">
        <v>1</v>
      </c>
      <c r="D41" s="933">
        <f>C41</f>
        <v/>
      </c>
    </row>
    <row r="42" ht="14.25" customHeight="1" s="981">
      <c r="A42" t="n">
        <v>6</v>
      </c>
      <c r="B42" t="inlineStr">
        <is>
          <t>Current Ratio tăng yoy</t>
        </is>
      </c>
      <c r="C42" s="922" t="n">
        <v>0</v>
      </c>
      <c r="D42" s="933">
        <f>C42</f>
        <v/>
      </c>
    </row>
    <row r="43" ht="14.25" customHeight="1" s="981">
      <c r="A43" t="n">
        <v>7</v>
      </c>
      <c r="B43" t="inlineStr">
        <is>
          <t>Không phát hành CP mới</t>
        </is>
      </c>
      <c r="C43" s="922" t="n">
        <v>1</v>
      </c>
      <c r="D43" s="933">
        <f>C43</f>
        <v/>
      </c>
    </row>
    <row r="44" ht="14.25" customHeight="1" s="981">
      <c r="A44" t="n">
        <v>8</v>
      </c>
      <c r="B44" t="inlineStr">
        <is>
          <t>Gross Margin tăng yoy</t>
        </is>
      </c>
      <c r="C44" s="922" t="n">
        <v>1</v>
      </c>
      <c r="D44" s="933">
        <f>C44</f>
        <v/>
      </c>
    </row>
    <row r="45" ht="14.25" customHeight="1" s="981">
      <c r="A45" t="n">
        <v>9</v>
      </c>
      <c r="B45" t="inlineStr">
        <is>
          <t>Asset Turnover tăng yoy</t>
        </is>
      </c>
      <c r="C45" s="922" t="n">
        <v>0</v>
      </c>
      <c r="D45" s="933">
        <f>C45</f>
        <v/>
      </c>
    </row>
    <row r="46" ht="17.25" customHeight="1" s="981">
      <c r="A46" s="926" t="inlineStr">
        <is>
          <t>TỔNG F-SCORE:</t>
        </is>
      </c>
      <c r="D46" s="935">
        <f>SUM(D37:D45)</f>
        <v/>
      </c>
    </row>
    <row r="47" ht="14.25" customHeight="1" s="981">
      <c r="A47" t="inlineStr">
        <is>
          <t>KẾT LUẬN:</t>
        </is>
      </c>
      <c r="D47" s="926">
        <f>IF(D46&gt;=8,"🟢 XUẤT SẮC (8-9)",IF(D46&gt;=5,"🟡 Khá (5-7)","🔴 YẾU (&lt;5)"))</f>
        <v/>
      </c>
    </row>
    <row r="49" ht="15" customHeight="1" s="981">
      <c r="A49" s="921" t="inlineStr">
        <is>
          <t>🐺 TỔNG KẾT EARNINGS QUALITY</t>
        </is>
      </c>
    </row>
    <row r="50" ht="14.25" customHeight="1" s="981">
      <c r="A50" s="923" t="inlineStr">
        <is>
          <t>Chỉ số</t>
        </is>
      </c>
      <c r="B50" s="923" t="inlineStr">
        <is>
          <t>Giá trị</t>
        </is>
      </c>
      <c r="C50" s="923" t="inlineStr">
        <is>
          <t>Đánh giá</t>
        </is>
      </c>
    </row>
    <row r="51" ht="14.25" customHeight="1" s="981">
      <c r="A51" t="inlineStr">
        <is>
          <t>M-Score</t>
        </is>
      </c>
      <c r="B51">
        <f>F15</f>
        <v/>
      </c>
      <c r="C51">
        <f>F16</f>
        <v/>
      </c>
    </row>
    <row r="52" ht="14.25" customHeight="1" s="981">
      <c r="A52" t="inlineStr">
        <is>
          <t>Z-Score</t>
        </is>
      </c>
      <c r="B52">
        <f>E25</f>
        <v/>
      </c>
      <c r="C52">
        <f>E26</f>
        <v/>
      </c>
    </row>
    <row r="53" ht="14.25" customHeight="1" s="981">
      <c r="A53" t="inlineStr">
        <is>
          <t>Accruals</t>
        </is>
      </c>
      <c r="B53">
        <f>B32</f>
        <v/>
      </c>
      <c r="C53">
        <f>B33</f>
        <v/>
      </c>
    </row>
    <row r="54" ht="14.25" customHeight="1" s="981">
      <c r="A54" t="inlineStr">
        <is>
          <t>F-Score</t>
        </is>
      </c>
      <c r="B54">
        <f>D46</f>
        <v/>
      </c>
      <c r="C54">
        <f>D47</f>
        <v/>
      </c>
    </row>
    <row r="56" ht="15" customHeight="1" s="981">
      <c r="A56" s="939" t="inlineStr">
        <is>
          <t>🎯 EARNINGS QUALITY OVERALL:</t>
        </is>
      </c>
      <c r="C56" s="940">
        <f>IF(AND(F15&lt;-2.22,E25&gt;2.99,D46&gt;=7),"🟢 CHẤT LƯỢNG CAO — Tin được",IF(OR(F15&gt;-1.78,E25&lt;1.81,D46&lt;5),"🔴 RỦI RO CAO","🟡 Trung bình"))</f>
        <v/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68"/>
  <sheetViews>
    <sheetView zoomScaleNormal="100" workbookViewId="0">
      <selection activeCell="A1" sqref="A1"/>
    </sheetView>
  </sheetViews>
  <sheetFormatPr baseColWidth="8" defaultColWidth="8.6640625" defaultRowHeight="14.4"/>
  <cols>
    <col width="10" customWidth="1" style="981" min="1" max="1"/>
    <col width="22" customWidth="1" style="981" min="2" max="2"/>
    <col width="14" customWidth="1" style="981" min="3" max="3"/>
    <col width="30" customWidth="1" style="981" min="4" max="4"/>
    <col width="14" customWidth="1" style="981" min="5" max="5"/>
    <col width="12" customWidth="1" style="981" min="6" max="6"/>
    <col width="30" customWidth="1" style="981" min="7" max="7"/>
    <col width="12" customWidth="1" style="981" min="8" max="9"/>
    <col width="14" customWidth="1" style="981" min="10" max="12"/>
  </cols>
  <sheetData>
    <row r="1" ht="31.5" customHeight="1" s="981">
      <c r="A1" s="1008" t="inlineStr">
        <is>
          <t>🧠 ML/AI DEEP LEARNING — RENAISSANCE-STYLE QUANTITATIVE TRADING</t>
        </is>
      </c>
    </row>
    <row r="2" ht="21.75" customHeight="1" s="981">
      <c r="A2" s="1240" t="inlineStr">
        <is>
          <t>✅ ML AI CAP NHAT: 21:11 28/05/2026 | 33 stocks | RF + Ridge + GB Ensemble</t>
        </is>
      </c>
    </row>
    <row r="3" ht="15" customHeight="1" s="981">
      <c r="A3" s="1230" t="inlineStr">
        <is>
          <t>💎 Renaissance Tech (Jim Simons) đã dùng ML 30 năm — Sharpe 7+. File này áp dụng 4 mô hình ML/AI cho VN30 + smart ensemble.</t>
        </is>
      </c>
    </row>
    <row r="4" ht="24" customHeight="1" s="981">
      <c r="A4" s="1239" t="inlineStr">
        <is>
          <t>📊 PHẦN A: ENSEMBLE PREDICTIONS — 4 MÔ HÌNH AI DỰ BÁO 5 NGÀY</t>
        </is>
      </c>
    </row>
    <row r="5" ht="30" customHeight="1" s="981">
      <c r="A5" s="911" t="inlineStr">
        <is>
          <t>VCB</t>
        </is>
      </c>
      <c r="B5" s="911" t="n">
        <v>62800</v>
      </c>
      <c r="C5" s="911" t="inlineStr">
        <is>
          <t>+1.87%</t>
        </is>
      </c>
      <c r="D5" s="911" t="inlineStr">
        <is>
          <t>+1.05%</t>
        </is>
      </c>
      <c r="E5" s="911" t="inlineStr">
        <is>
          <t>+2.42%</t>
        </is>
      </c>
      <c r="F5" s="911" t="inlineStr">
        <is>
          <t>+1.78%</t>
        </is>
      </c>
      <c r="G5" s="911" t="inlineStr">
        <is>
          <t>+1.78%</t>
        </is>
      </c>
      <c r="H5" s="911" t="inlineStr">
        <is>
          <t>🟢 MUA</t>
        </is>
      </c>
      <c r="I5" s="911" t="inlineStr">
        <is>
          <t>30%</t>
        </is>
      </c>
      <c r="J5" s="911" t="inlineStr">
        <is>
          <t>Vote (4/4)</t>
        </is>
      </c>
      <c r="K5" s="911" t="inlineStr">
        <is>
          <t>Tín hiệu AI</t>
        </is>
      </c>
      <c r="L5" s="911" t="inlineStr">
        <is>
          <t>Position size %</t>
        </is>
      </c>
    </row>
    <row r="6" ht="27.75" customHeight="1" s="981">
      <c r="A6" s="982" t="inlineStr">
        <is>
          <t>BID</t>
        </is>
      </c>
      <c r="B6" s="912" t="n">
        <v>43000</v>
      </c>
      <c r="C6" s="912" t="inlineStr">
        <is>
          <t>-0.96%</t>
        </is>
      </c>
      <c r="D6" s="912" t="inlineStr">
        <is>
          <t>-1.43%</t>
        </is>
      </c>
      <c r="E6" s="912" t="inlineStr">
        <is>
          <t>-0.35%</t>
        </is>
      </c>
      <c r="F6" s="912" t="inlineStr">
        <is>
          <t>-0.91%</t>
        </is>
      </c>
      <c r="G6" s="912" t="inlineStr">
        <is>
          <t>-0.91%</t>
        </is>
      </c>
      <c r="H6" s="913" t="inlineStr">
        <is>
          <t>🟡 TRUNG TINH</t>
        </is>
      </c>
      <c r="I6" s="941" t="inlineStr">
        <is>
          <t>87%</t>
        </is>
      </c>
      <c r="J6" s="912" t="inlineStr">
        <is>
          <t>4/4 MUA</t>
        </is>
      </c>
      <c r="K6" s="1233" t="inlineStr">
        <is>
          <t>🟢 STRONG BUY</t>
        </is>
      </c>
      <c r="L6" s="912" t="inlineStr">
        <is>
          <t>8-10%</t>
        </is>
      </c>
    </row>
    <row r="7" ht="27.75" customHeight="1" s="981">
      <c r="A7" s="982" t="inlineStr">
        <is>
          <t>CTG</t>
        </is>
      </c>
      <c r="B7" s="912" t="n">
        <v>34800</v>
      </c>
      <c r="C7" s="912" t="inlineStr">
        <is>
          <t>+1.83%</t>
        </is>
      </c>
      <c r="D7" s="912" t="inlineStr">
        <is>
          <t>+0.43%</t>
        </is>
      </c>
      <c r="E7" s="912" t="inlineStr">
        <is>
          <t>-1.12%</t>
        </is>
      </c>
      <c r="F7" s="912" t="inlineStr">
        <is>
          <t>+0.38%</t>
        </is>
      </c>
      <c r="G7" s="912" t="inlineStr">
        <is>
          <t>+0.38%</t>
        </is>
      </c>
      <c r="H7" s="913" t="inlineStr">
        <is>
          <t>🟡 TRUNG TINH</t>
        </is>
      </c>
      <c r="I7" s="941" t="inlineStr">
        <is>
          <t>41%</t>
        </is>
      </c>
      <c r="J7" s="912" t="inlineStr">
        <is>
          <t>4/4 MUA</t>
        </is>
      </c>
      <c r="K7" s="1233" t="inlineStr">
        <is>
          <t>🟢 STRONG BUY</t>
        </is>
      </c>
      <c r="L7" s="912" t="inlineStr">
        <is>
          <t>7-9%</t>
        </is>
      </c>
    </row>
    <row r="8" ht="15" customHeight="1" s="981">
      <c r="A8" s="982" t="inlineStr">
        <is>
          <t>MBB</t>
        </is>
      </c>
      <c r="B8" s="912" t="n">
        <v>25000</v>
      </c>
      <c r="C8" s="912" t="inlineStr">
        <is>
          <t>-1.57%</t>
        </is>
      </c>
      <c r="D8" s="912" t="inlineStr">
        <is>
          <t>-0.16%</t>
        </is>
      </c>
      <c r="E8" s="912" t="inlineStr">
        <is>
          <t>-2.08%</t>
        </is>
      </c>
      <c r="F8" s="912" t="inlineStr">
        <is>
          <t>-1.27%</t>
        </is>
      </c>
      <c r="G8" s="912" t="inlineStr">
        <is>
          <t>-1.27%</t>
        </is>
      </c>
      <c r="H8" s="912" t="inlineStr">
        <is>
          <t>🟠 CANH GIAC</t>
        </is>
      </c>
      <c r="I8" s="915" t="inlineStr">
        <is>
          <t>95%</t>
        </is>
      </c>
      <c r="J8" s="912" t="inlineStr">
        <is>
          <t>4/4 MUA</t>
        </is>
      </c>
      <c r="K8" s="942" t="inlineStr">
        <is>
          <t>🟢 BUY</t>
        </is>
      </c>
      <c r="L8" s="912" t="inlineStr">
        <is>
          <t>6-8%</t>
        </is>
      </c>
    </row>
    <row r="9" ht="27.75" customHeight="1" s="981">
      <c r="A9" s="982" t="inlineStr">
        <is>
          <t>TCB</t>
        </is>
      </c>
      <c r="B9" s="912" t="n">
        <v>32200</v>
      </c>
      <c r="C9" s="912" t="inlineStr">
        <is>
          <t>+2.55%</t>
        </is>
      </c>
      <c r="D9" s="912" t="inlineStr">
        <is>
          <t>+0.52%</t>
        </is>
      </c>
      <c r="E9" s="912" t="inlineStr">
        <is>
          <t>+3.64%</t>
        </is>
      </c>
      <c r="F9" s="912" t="inlineStr">
        <is>
          <t>+2.24%</t>
        </is>
      </c>
      <c r="G9" s="912" t="inlineStr">
        <is>
          <t>+2.24%</t>
        </is>
      </c>
      <c r="H9" s="913" t="inlineStr">
        <is>
          <t>🟢 MUA</t>
        </is>
      </c>
      <c r="I9" s="941" t="inlineStr">
        <is>
          <t>95%</t>
        </is>
      </c>
      <c r="J9" s="912" t="inlineStr">
        <is>
          <t>4/4 MUA</t>
        </is>
      </c>
      <c r="K9" s="1233" t="inlineStr">
        <is>
          <t>🟢 STRONG BUY</t>
        </is>
      </c>
      <c r="L9" s="912" t="inlineStr">
        <is>
          <t>7-9%</t>
        </is>
      </c>
    </row>
    <row r="10" ht="27.75" customHeight="1" s="981">
      <c r="A10" s="982" t="inlineStr">
        <is>
          <t>ACB</t>
        </is>
      </c>
      <c r="B10" s="912" t="n">
        <v>22850</v>
      </c>
      <c r="C10" s="912" t="inlineStr">
        <is>
          <t>+0.69%</t>
        </is>
      </c>
      <c r="D10" s="912" t="inlineStr">
        <is>
          <t>-0.08%</t>
        </is>
      </c>
      <c r="E10" s="912" t="inlineStr">
        <is>
          <t>+2.49%</t>
        </is>
      </c>
      <c r="F10" s="912" t="inlineStr">
        <is>
          <t>+1.03%</t>
        </is>
      </c>
      <c r="G10" s="912" t="inlineStr">
        <is>
          <t>+1.03%</t>
        </is>
      </c>
      <c r="H10" s="913" t="inlineStr">
        <is>
          <t>🟢 MUA</t>
        </is>
      </c>
      <c r="I10" s="941" t="inlineStr">
        <is>
          <t>30%</t>
        </is>
      </c>
      <c r="J10" s="912" t="inlineStr">
        <is>
          <t>4/4 MUA</t>
        </is>
      </c>
      <c r="K10" s="1233" t="inlineStr">
        <is>
          <t>🟢 STRONG BUY</t>
        </is>
      </c>
      <c r="L10" s="912" t="inlineStr">
        <is>
          <t>8-10%</t>
        </is>
      </c>
    </row>
    <row r="11" ht="27.75" customHeight="1" s="981">
      <c r="A11" s="982" t="inlineStr">
        <is>
          <t>VPB</t>
        </is>
      </c>
      <c r="B11" s="912" t="n">
        <v>26800</v>
      </c>
      <c r="C11" s="912" t="inlineStr">
        <is>
          <t>+0.07%</t>
        </is>
      </c>
      <c r="D11" s="912" t="inlineStr">
        <is>
          <t>+0.23%</t>
        </is>
      </c>
      <c r="E11" s="912" t="inlineStr">
        <is>
          <t>+0.20%</t>
        </is>
      </c>
      <c r="F11" s="912" t="inlineStr">
        <is>
          <t>+0.17%</t>
        </is>
      </c>
      <c r="G11" s="912" t="inlineStr">
        <is>
          <t>+0.17%</t>
        </is>
      </c>
      <c r="H11" s="913" t="inlineStr">
        <is>
          <t>🟡 TRUNG TINH</t>
        </is>
      </c>
      <c r="I11" s="941" t="inlineStr">
        <is>
          <t>95%</t>
        </is>
      </c>
      <c r="J11" s="912" t="inlineStr">
        <is>
          <t>4/4 MUA</t>
        </is>
      </c>
      <c r="K11" s="1233" t="inlineStr">
        <is>
          <t>🟢 STRONG BUY</t>
        </is>
      </c>
      <c r="L11" s="912" t="inlineStr">
        <is>
          <t>8-10%</t>
        </is>
      </c>
    </row>
    <row r="12" ht="15" customHeight="1" s="981">
      <c r="A12" s="982" t="inlineStr">
        <is>
          <t>HDB</t>
        </is>
      </c>
      <c r="B12" s="912" t="n">
        <v>25850</v>
      </c>
      <c r="C12" s="912" t="inlineStr">
        <is>
          <t>-2.01%</t>
        </is>
      </c>
      <c r="D12" s="912" t="inlineStr">
        <is>
          <t>-0.52%</t>
        </is>
      </c>
      <c r="E12" s="912" t="inlineStr">
        <is>
          <t>-0.14%</t>
        </is>
      </c>
      <c r="F12" s="912" t="inlineStr">
        <is>
          <t>-0.89%</t>
        </is>
      </c>
      <c r="G12" s="912" t="inlineStr">
        <is>
          <t>-0.89%</t>
        </is>
      </c>
      <c r="H12" s="912" t="inlineStr">
        <is>
          <t>🟡 TRUNG TINH</t>
        </is>
      </c>
      <c r="I12" s="915" t="inlineStr">
        <is>
          <t>76%</t>
        </is>
      </c>
      <c r="J12" s="912" t="inlineStr">
        <is>
          <t>3/4 MUA</t>
        </is>
      </c>
      <c r="K12" s="915" t="inlineStr">
        <is>
          <t>🟡 HOLD</t>
        </is>
      </c>
      <c r="L12" s="912" t="inlineStr">
        <is>
          <t>5-7%</t>
        </is>
      </c>
    </row>
    <row r="13" ht="15" customHeight="1" s="981">
      <c r="A13" s="982" t="inlineStr">
        <is>
          <t>STB</t>
        </is>
      </c>
      <c r="B13" s="912" t="n">
        <v>71200</v>
      </c>
      <c r="C13" s="912" t="inlineStr">
        <is>
          <t>-4.56%</t>
        </is>
      </c>
      <c r="D13" s="912" t="inlineStr">
        <is>
          <t>-0.79%</t>
        </is>
      </c>
      <c r="E13" s="912" t="inlineStr">
        <is>
          <t>-3.69%</t>
        </is>
      </c>
      <c r="F13" s="912" t="inlineStr">
        <is>
          <t>-3.02%</t>
        </is>
      </c>
      <c r="G13" s="912" t="inlineStr">
        <is>
          <t>-3.02%</t>
        </is>
      </c>
      <c r="H13" s="913" t="inlineStr">
        <is>
          <t>🔴 TRANH</t>
        </is>
      </c>
      <c r="I13" s="941" t="inlineStr">
        <is>
          <t>30%</t>
        </is>
      </c>
      <c r="J13" s="912" t="inlineStr">
        <is>
          <t>4/4 MUA</t>
        </is>
      </c>
      <c r="K13" s="942" t="inlineStr">
        <is>
          <t>🟢 BUY</t>
        </is>
      </c>
      <c r="L13" s="912" t="inlineStr">
        <is>
          <t>6-8%</t>
        </is>
      </c>
    </row>
    <row r="14" ht="15" customHeight="1" s="981">
      <c r="A14" s="982" t="inlineStr">
        <is>
          <t>VIB</t>
        </is>
      </c>
      <c r="B14" s="912" t="n">
        <v>15700</v>
      </c>
      <c r="C14" s="912" t="inlineStr">
        <is>
          <t>-0.26%</t>
        </is>
      </c>
      <c r="D14" s="912" t="inlineStr">
        <is>
          <t>-0.81%</t>
        </is>
      </c>
      <c r="E14" s="912" t="inlineStr">
        <is>
          <t>-3.69%</t>
        </is>
      </c>
      <c r="F14" s="912" t="inlineStr">
        <is>
          <t>-1.59%</t>
        </is>
      </c>
      <c r="G14" s="912" t="inlineStr">
        <is>
          <t>-1.59%</t>
        </is>
      </c>
      <c r="H14" s="913" t="inlineStr">
        <is>
          <t>🟠 CANH GIAC</t>
        </is>
      </c>
      <c r="I14" s="915" t="inlineStr">
        <is>
          <t>41%</t>
        </is>
      </c>
      <c r="J14" s="912" t="inlineStr">
        <is>
          <t>4/4 MUA</t>
        </is>
      </c>
      <c r="K14" s="942" t="inlineStr">
        <is>
          <t>🟢 BUY</t>
        </is>
      </c>
      <c r="L14" s="912" t="inlineStr">
        <is>
          <t>5-7%</t>
        </is>
      </c>
    </row>
    <row r="15" ht="27.75" customHeight="1" s="981">
      <c r="A15" s="982" t="inlineStr">
        <is>
          <t>FPT</t>
        </is>
      </c>
      <c r="B15" s="912" t="n">
        <v>71200</v>
      </c>
      <c r="C15" s="912" t="inlineStr">
        <is>
          <t>+7.37%</t>
        </is>
      </c>
      <c r="D15" s="912" t="inlineStr">
        <is>
          <t>+2.83%</t>
        </is>
      </c>
      <c r="E15" s="912" t="inlineStr">
        <is>
          <t>+5.68%</t>
        </is>
      </c>
      <c r="F15" s="912" t="inlineStr">
        <is>
          <t>+5.29%</t>
        </is>
      </c>
      <c r="G15" s="912" t="inlineStr">
        <is>
          <t>+5.29%</t>
        </is>
      </c>
      <c r="H15" s="913" t="inlineStr">
        <is>
          <t>🟢 MUA MANH</t>
        </is>
      </c>
      <c r="I15" s="941" t="inlineStr">
        <is>
          <t>30%</t>
        </is>
      </c>
      <c r="J15" s="912" t="inlineStr">
        <is>
          <t>4/4 MUA</t>
        </is>
      </c>
      <c r="K15" s="1233" t="inlineStr">
        <is>
          <t>🟢 STRONG BUY</t>
        </is>
      </c>
      <c r="L15" s="912" t="inlineStr">
        <is>
          <t>7-9%</t>
        </is>
      </c>
    </row>
    <row r="16" ht="15" customHeight="1" s="981">
      <c r="A16" s="982" t="inlineStr">
        <is>
          <t>MWG</t>
        </is>
      </c>
      <c r="B16" s="912" t="n">
        <v>77700</v>
      </c>
      <c r="C16" s="912" t="inlineStr">
        <is>
          <t>+4.44%</t>
        </is>
      </c>
      <c r="D16" s="912" t="inlineStr">
        <is>
          <t>+3.16%</t>
        </is>
      </c>
      <c r="E16" s="912" t="inlineStr">
        <is>
          <t>+6.42%</t>
        </is>
      </c>
      <c r="F16" s="912" t="inlineStr">
        <is>
          <t>+4.67%</t>
        </is>
      </c>
      <c r="G16" s="912" t="inlineStr">
        <is>
          <t>+4.67%</t>
        </is>
      </c>
      <c r="H16" s="917" t="inlineStr">
        <is>
          <t>🟢 MUA MANH</t>
        </is>
      </c>
      <c r="I16" s="943" t="inlineStr">
        <is>
          <t>50%</t>
        </is>
      </c>
      <c r="J16" s="912" t="inlineStr">
        <is>
          <t>4/4 BÁN</t>
        </is>
      </c>
      <c r="K16" s="916" t="inlineStr">
        <is>
          <t>🔴 SELL</t>
        </is>
      </c>
      <c r="L16" s="912" t="inlineStr">
        <is>
          <t>0% (tránh)</t>
        </is>
      </c>
    </row>
    <row r="17" ht="15" customHeight="1" s="981">
      <c r="A17" s="982" t="inlineStr">
        <is>
          <t>HPG</t>
        </is>
      </c>
      <c r="B17" s="912" t="n">
        <v>24000</v>
      </c>
      <c r="C17" s="912" t="inlineStr">
        <is>
          <t>+0.35%</t>
        </is>
      </c>
      <c r="D17" s="912" t="inlineStr">
        <is>
          <t>-0.34%</t>
        </is>
      </c>
      <c r="E17" s="912" t="inlineStr">
        <is>
          <t>+0.50%</t>
        </is>
      </c>
      <c r="F17" s="912" t="inlineStr">
        <is>
          <t>+0.17%</t>
        </is>
      </c>
      <c r="G17" s="912" t="inlineStr">
        <is>
          <t>+0.17%</t>
        </is>
      </c>
      <c r="H17" s="913" t="inlineStr">
        <is>
          <t>🟡 TRUNG TINH</t>
        </is>
      </c>
      <c r="I17" s="941" t="inlineStr">
        <is>
          <t>90%</t>
        </is>
      </c>
      <c r="J17" s="912" t="inlineStr">
        <is>
          <t>4/4 MUA</t>
        </is>
      </c>
      <c r="K17" s="942" t="inlineStr">
        <is>
          <t>🟢 BUY</t>
        </is>
      </c>
      <c r="L17" s="912" t="inlineStr">
        <is>
          <t>6-8%</t>
        </is>
      </c>
    </row>
    <row r="18" ht="27.75" customHeight="1" s="981">
      <c r="A18" s="982" t="inlineStr">
        <is>
          <t>VNM</t>
        </is>
      </c>
      <c r="B18" s="912" t="n">
        <v>59000</v>
      </c>
      <c r="C18" s="912" t="inlineStr">
        <is>
          <t>-1.22%</t>
        </is>
      </c>
      <c r="D18" s="912" t="inlineStr">
        <is>
          <t>+0.40%</t>
        </is>
      </c>
      <c r="E18" s="912" t="inlineStr">
        <is>
          <t>-0.15%</t>
        </is>
      </c>
      <c r="F18" s="912" t="inlineStr">
        <is>
          <t>-0.32%</t>
        </is>
      </c>
      <c r="G18" s="912" t="inlineStr">
        <is>
          <t>-0.32%</t>
        </is>
      </c>
      <c r="H18" s="913" t="inlineStr">
        <is>
          <t>🟡 TRUNG TINH</t>
        </is>
      </c>
      <c r="I18" s="941" t="inlineStr">
        <is>
          <t>30%</t>
        </is>
      </c>
      <c r="J18" s="912" t="inlineStr">
        <is>
          <t>4/4 MUA</t>
        </is>
      </c>
      <c r="K18" s="1233" t="inlineStr">
        <is>
          <t>🟢 STRONG BUY</t>
        </is>
      </c>
      <c r="L18" s="912" t="inlineStr">
        <is>
          <t>8-10%</t>
        </is>
      </c>
    </row>
    <row r="19" ht="27.75" customHeight="1" s="981">
      <c r="A19" s="982" t="inlineStr">
        <is>
          <t>MSN</t>
        </is>
      </c>
      <c r="B19" s="912" t="n">
        <v>76000</v>
      </c>
      <c r="C19" s="912" t="inlineStr">
        <is>
          <t>+0.89%</t>
        </is>
      </c>
      <c r="D19" s="912" t="inlineStr">
        <is>
          <t>+1.01%</t>
        </is>
      </c>
      <c r="E19" s="912" t="inlineStr">
        <is>
          <t>+1.50%</t>
        </is>
      </c>
      <c r="F19" s="912" t="inlineStr">
        <is>
          <t>+1.13%</t>
        </is>
      </c>
      <c r="G19" s="912" t="inlineStr">
        <is>
          <t>+1.13%</t>
        </is>
      </c>
      <c r="H19" s="913" t="inlineStr">
        <is>
          <t>🟢 MUA</t>
        </is>
      </c>
      <c r="I19" s="941" t="inlineStr">
        <is>
          <t>95%</t>
        </is>
      </c>
      <c r="J19" s="912" t="inlineStr">
        <is>
          <t>4/4 MUA</t>
        </is>
      </c>
      <c r="K19" s="1233" t="inlineStr">
        <is>
          <t>🟢 STRONG BUY</t>
        </is>
      </c>
      <c r="L19" s="912" t="inlineStr">
        <is>
          <t>8-10%</t>
        </is>
      </c>
    </row>
    <row r="20" ht="27.75" customHeight="1" s="981">
      <c r="A20" s="982" t="inlineStr">
        <is>
          <t>VIC</t>
        </is>
      </c>
      <c r="B20" s="912" t="n">
        <v>216500</v>
      </c>
      <c r="C20" s="912" t="inlineStr">
        <is>
          <t>-4.76%</t>
        </is>
      </c>
      <c r="D20" s="912" t="inlineStr">
        <is>
          <t>-0.20%</t>
        </is>
      </c>
      <c r="E20" s="912" t="inlineStr">
        <is>
          <t>+0.07%</t>
        </is>
      </c>
      <c r="F20" s="912" t="inlineStr">
        <is>
          <t>-1.63%</t>
        </is>
      </c>
      <c r="G20" s="912" t="inlineStr">
        <is>
          <t>-1.63%</t>
        </is>
      </c>
      <c r="H20" s="913" t="inlineStr">
        <is>
          <t>🟠 CANH GIAC</t>
        </is>
      </c>
      <c r="I20" s="941" t="inlineStr">
        <is>
          <t>90%</t>
        </is>
      </c>
      <c r="J20" s="912" t="inlineStr">
        <is>
          <t>4/4 MUA</t>
        </is>
      </c>
      <c r="K20" s="1233" t="inlineStr">
        <is>
          <t>🟢 STRONG BUY</t>
        </is>
      </c>
      <c r="L20" s="912" t="inlineStr">
        <is>
          <t>7-9%</t>
        </is>
      </c>
    </row>
    <row r="21" ht="15" customHeight="1" s="981">
      <c r="A21" s="982" t="inlineStr">
        <is>
          <t>VHM</t>
        </is>
      </c>
      <c r="B21" s="912" t="n">
        <v>153800</v>
      </c>
      <c r="C21" s="912" t="inlineStr">
        <is>
          <t>-10.95%</t>
        </is>
      </c>
      <c r="D21" s="912" t="inlineStr">
        <is>
          <t>-5.63%</t>
        </is>
      </c>
      <c r="E21" s="912" t="inlineStr">
        <is>
          <t>-9.40%</t>
        </is>
      </c>
      <c r="F21" s="912" t="inlineStr">
        <is>
          <t>-8.66%</t>
        </is>
      </c>
      <c r="G21" s="912" t="inlineStr">
        <is>
          <t>-8.66%</t>
        </is>
      </c>
      <c r="H21" s="912" t="inlineStr">
        <is>
          <t>🔴 TRANH</t>
        </is>
      </c>
      <c r="I21" s="915" t="inlineStr">
        <is>
          <t>30%</t>
        </is>
      </c>
      <c r="J21" s="912" t="inlineStr">
        <is>
          <t>2/4 BÁN</t>
        </is>
      </c>
      <c r="K21" s="915" t="inlineStr">
        <is>
          <t>🟡 HOLD</t>
        </is>
      </c>
      <c r="L21" s="912" t="inlineStr">
        <is>
          <t>3-5%</t>
        </is>
      </c>
    </row>
    <row r="22" ht="15" customHeight="1" s="981">
      <c r="A22" s="982" t="inlineStr">
        <is>
          <t>VRE</t>
        </is>
      </c>
      <c r="B22" s="912" t="n">
        <v>31700</v>
      </c>
      <c r="C22" s="912" t="inlineStr">
        <is>
          <t>-6.06%</t>
        </is>
      </c>
      <c r="D22" s="912" t="inlineStr">
        <is>
          <t>-2.96%</t>
        </is>
      </c>
      <c r="E22" s="912" t="inlineStr">
        <is>
          <t>-6.51%</t>
        </is>
      </c>
      <c r="F22" s="912" t="inlineStr">
        <is>
          <t>-5.17%</t>
        </is>
      </c>
      <c r="G22" s="912" t="inlineStr">
        <is>
          <t>-5.17%</t>
        </is>
      </c>
      <c r="H22" s="913" t="inlineStr">
        <is>
          <t>🔴 TRANH</t>
        </is>
      </c>
      <c r="I22" s="915" t="inlineStr">
        <is>
          <t>91%</t>
        </is>
      </c>
      <c r="J22" s="912" t="inlineStr">
        <is>
          <t>4/4 MUA</t>
        </is>
      </c>
      <c r="K22" s="942" t="inlineStr">
        <is>
          <t>🟢 BUY</t>
        </is>
      </c>
      <c r="L22" s="912" t="inlineStr">
        <is>
          <t>5-7%</t>
        </is>
      </c>
    </row>
    <row r="23" ht="15" customHeight="1" s="981">
      <c r="A23" s="982" t="inlineStr">
        <is>
          <t>SSI</t>
        </is>
      </c>
      <c r="B23" s="912" t="n">
        <v>27550</v>
      </c>
      <c r="C23" s="912" t="inlineStr">
        <is>
          <t>+0.66%</t>
        </is>
      </c>
      <c r="D23" s="912" t="inlineStr">
        <is>
          <t>-0.92%</t>
        </is>
      </c>
      <c r="E23" s="912" t="inlineStr">
        <is>
          <t>+1.34%</t>
        </is>
      </c>
      <c r="F23" s="912" t="inlineStr">
        <is>
          <t>+0.36%</t>
        </is>
      </c>
      <c r="G23" s="912" t="inlineStr">
        <is>
          <t>+0.36%</t>
        </is>
      </c>
      <c r="H23" s="913" t="inlineStr">
        <is>
          <t>🟡 TRUNG TINH</t>
        </is>
      </c>
      <c r="I23" s="915" t="inlineStr">
        <is>
          <t>56%</t>
        </is>
      </c>
      <c r="J23" s="912" t="inlineStr">
        <is>
          <t>4/4 MUA</t>
        </is>
      </c>
      <c r="K23" s="942" t="inlineStr">
        <is>
          <t>🟢 BUY</t>
        </is>
      </c>
      <c r="L23" s="912" t="inlineStr">
        <is>
          <t>5-7%</t>
        </is>
      </c>
    </row>
    <row r="24" ht="15" customHeight="1" s="981">
      <c r="A24" s="982" t="inlineStr">
        <is>
          <t>VND</t>
        </is>
      </c>
      <c r="B24" s="912" t="n">
        <v>17450</v>
      </c>
      <c r="C24" s="912" t="inlineStr">
        <is>
          <t>+2.33%</t>
        </is>
      </c>
      <c r="D24" s="912" t="inlineStr">
        <is>
          <t>+1.28%</t>
        </is>
      </c>
      <c r="E24" s="912" t="inlineStr">
        <is>
          <t>+1.63%</t>
        </is>
      </c>
      <c r="F24" s="912" t="inlineStr">
        <is>
          <t>+1.75%</t>
        </is>
      </c>
      <c r="G24" s="912" t="inlineStr">
        <is>
          <t>+1.75%</t>
        </is>
      </c>
      <c r="H24" s="913" t="inlineStr">
        <is>
          <t>🟢 MUA</t>
        </is>
      </c>
      <c r="I24" s="915" t="inlineStr">
        <is>
          <t>32%</t>
        </is>
      </c>
      <c r="J24" s="912" t="inlineStr">
        <is>
          <t>4/4 MUA</t>
        </is>
      </c>
      <c r="K24" s="942" t="inlineStr">
        <is>
          <t>🟢 BUY</t>
        </is>
      </c>
      <c r="L24" s="912" t="inlineStr">
        <is>
          <t>5-7%</t>
        </is>
      </c>
    </row>
    <row r="25" ht="27.75" customHeight="1" s="981">
      <c r="A25" s="982" t="inlineStr">
        <is>
          <t>HCM</t>
        </is>
      </c>
      <c r="B25" s="912" t="n">
        <v>28500</v>
      </c>
      <c r="C25" s="912" t="inlineStr">
        <is>
          <t>-2.32%</t>
        </is>
      </c>
      <c r="D25" s="912" t="inlineStr">
        <is>
          <t>-2.44%</t>
        </is>
      </c>
      <c r="E25" s="912" t="inlineStr">
        <is>
          <t>-1.88%</t>
        </is>
      </c>
      <c r="F25" s="912" t="inlineStr">
        <is>
          <t>-2.21%</t>
        </is>
      </c>
      <c r="G25" s="912" t="inlineStr">
        <is>
          <t>-2.21%</t>
        </is>
      </c>
      <c r="H25" s="913" t="inlineStr">
        <is>
          <t>🟠 CANH GIAC</t>
        </is>
      </c>
      <c r="I25" s="941" t="inlineStr">
        <is>
          <t>92%</t>
        </is>
      </c>
      <c r="J25" s="912" t="inlineStr">
        <is>
          <t>4/4 MUA</t>
        </is>
      </c>
      <c r="K25" s="1233" t="inlineStr">
        <is>
          <t>🟢 STRONG BUY</t>
        </is>
      </c>
      <c r="L25" s="912" t="inlineStr">
        <is>
          <t>7-9%</t>
        </is>
      </c>
    </row>
    <row r="26" ht="15" customHeight="1" s="981">
      <c r="A26" s="982" t="inlineStr">
        <is>
          <t>VCI</t>
        </is>
      </c>
      <c r="B26" s="912" t="n">
        <v>25000</v>
      </c>
      <c r="C26" s="912" t="inlineStr">
        <is>
          <t>+1.04%</t>
        </is>
      </c>
      <c r="D26" s="912" t="inlineStr">
        <is>
          <t>+1.02%</t>
        </is>
      </c>
      <c r="E26" s="912" t="inlineStr">
        <is>
          <t>+2.45%</t>
        </is>
      </c>
      <c r="F26" s="912" t="inlineStr">
        <is>
          <t>+1.50%</t>
        </is>
      </c>
      <c r="G26" s="912" t="inlineStr">
        <is>
          <t>+1.50%</t>
        </is>
      </c>
      <c r="H26" s="913" t="inlineStr">
        <is>
          <t>🟢 MUA</t>
        </is>
      </c>
      <c r="I26" s="941" t="inlineStr">
        <is>
          <t>95%</t>
        </is>
      </c>
      <c r="J26" s="912" t="inlineStr">
        <is>
          <t>4/4 MUA</t>
        </is>
      </c>
      <c r="K26" s="942" t="inlineStr">
        <is>
          <t>🟢 BUY</t>
        </is>
      </c>
      <c r="L26" s="912" t="inlineStr">
        <is>
          <t>6-8%</t>
        </is>
      </c>
    </row>
    <row r="27" ht="27.75" customHeight="1" s="981">
      <c r="A27" s="982" t="inlineStr">
        <is>
          <t>SAB</t>
        </is>
      </c>
      <c r="B27" s="912" t="n">
        <v>48100</v>
      </c>
      <c r="C27" s="912" t="inlineStr">
        <is>
          <t>-0.84%</t>
        </is>
      </c>
      <c r="D27" s="912" t="inlineStr">
        <is>
          <t>-2.16%</t>
        </is>
      </c>
      <c r="E27" s="912" t="inlineStr">
        <is>
          <t>-0.89%</t>
        </is>
      </c>
      <c r="F27" s="912" t="inlineStr">
        <is>
          <t>-1.30%</t>
        </is>
      </c>
      <c r="G27" s="912" t="inlineStr">
        <is>
          <t>-1.30%</t>
        </is>
      </c>
      <c r="H27" s="913" t="inlineStr">
        <is>
          <t>🟠 CANH GIAC</t>
        </is>
      </c>
      <c r="I27" s="941" t="inlineStr">
        <is>
          <t>92%</t>
        </is>
      </c>
      <c r="J27" s="912" t="inlineStr">
        <is>
          <t>4/4 MUA</t>
        </is>
      </c>
      <c r="K27" s="1233" t="inlineStr">
        <is>
          <t>🟢 STRONG BUY</t>
        </is>
      </c>
      <c r="L27" s="912" t="inlineStr">
        <is>
          <t>7-9%</t>
        </is>
      </c>
    </row>
    <row r="28" ht="15" customHeight="1" s="981">
      <c r="A28" s="982" t="inlineStr">
        <is>
          <t>PNJ</t>
        </is>
      </c>
      <c r="B28" s="912" t="n">
        <v>65500</v>
      </c>
      <c r="C28" s="912" t="inlineStr">
        <is>
          <t>+3.86%</t>
        </is>
      </c>
      <c r="D28" s="912" t="inlineStr">
        <is>
          <t>-0.13%</t>
        </is>
      </c>
      <c r="E28" s="912" t="inlineStr">
        <is>
          <t>+5.14%</t>
        </is>
      </c>
      <c r="F28" s="912" t="inlineStr">
        <is>
          <t>+2.96%</t>
        </is>
      </c>
      <c r="G28" s="912" t="inlineStr">
        <is>
          <t>+2.96%</t>
        </is>
      </c>
      <c r="H28" s="917" t="inlineStr">
        <is>
          <t>🟢 MUA</t>
        </is>
      </c>
      <c r="I28" s="943" t="inlineStr">
        <is>
          <t>69%</t>
        </is>
      </c>
      <c r="J28" s="912" t="inlineStr">
        <is>
          <t>4/4 BÁN</t>
        </is>
      </c>
      <c r="K28" s="916" t="inlineStr">
        <is>
          <t>🔴 SELL</t>
        </is>
      </c>
      <c r="L28" s="912" t="inlineStr">
        <is>
          <t>0% (tránh)</t>
        </is>
      </c>
    </row>
    <row r="29" ht="15" customHeight="1" s="981">
      <c r="A29" s="982" t="inlineStr">
        <is>
          <t>GAS</t>
        </is>
      </c>
      <c r="B29" s="912" t="n">
        <v>84900</v>
      </c>
      <c r="C29" s="912" t="inlineStr">
        <is>
          <t>+2.57%</t>
        </is>
      </c>
      <c r="D29" s="912" t="inlineStr">
        <is>
          <t>-1.32%</t>
        </is>
      </c>
      <c r="E29" s="912" t="inlineStr">
        <is>
          <t>+1.18%</t>
        </is>
      </c>
      <c r="F29" s="912" t="inlineStr">
        <is>
          <t>+0.81%</t>
        </is>
      </c>
      <c r="G29" s="912" t="inlineStr">
        <is>
          <t>+0.81%</t>
        </is>
      </c>
      <c r="H29" s="917" t="inlineStr">
        <is>
          <t>🟡 TRUNG TINH</t>
        </is>
      </c>
      <c r="I29" s="943" t="inlineStr">
        <is>
          <t>78%</t>
        </is>
      </c>
      <c r="J29" s="912" t="inlineStr">
        <is>
          <t>4/4 BÁN</t>
        </is>
      </c>
      <c r="K29" s="916" t="inlineStr">
        <is>
          <t>🔴 SELL</t>
        </is>
      </c>
      <c r="L29" s="912" t="inlineStr">
        <is>
          <t>0% (tránh)</t>
        </is>
      </c>
    </row>
    <row r="30" ht="15" customHeight="1" s="981">
      <c r="A30" s="982" t="inlineStr">
        <is>
          <t>PLX</t>
        </is>
      </c>
      <c r="B30" s="912" t="n">
        <v>41950</v>
      </c>
      <c r="C30" s="912" t="inlineStr">
        <is>
          <t>+1.91%</t>
        </is>
      </c>
      <c r="D30" s="912" t="inlineStr">
        <is>
          <t>+1.36%</t>
        </is>
      </c>
      <c r="E30" s="912" t="inlineStr">
        <is>
          <t>+7.41%</t>
        </is>
      </c>
      <c r="F30" s="912" t="inlineStr">
        <is>
          <t>+3.56%</t>
        </is>
      </c>
      <c r="G30" s="912" t="inlineStr">
        <is>
          <t>+3.56%</t>
        </is>
      </c>
      <c r="H30" s="913" t="inlineStr">
        <is>
          <t>🟢 MUA MANH</t>
        </is>
      </c>
      <c r="I30" s="941" t="inlineStr">
        <is>
          <t>62%</t>
        </is>
      </c>
      <c r="J30" s="912" t="inlineStr">
        <is>
          <t>4/4 MUA</t>
        </is>
      </c>
      <c r="K30" s="942" t="inlineStr">
        <is>
          <t>🟢 BUY</t>
        </is>
      </c>
      <c r="L30" s="912" t="inlineStr">
        <is>
          <t>5-7%</t>
        </is>
      </c>
    </row>
    <row r="31" ht="15" customHeight="1" s="981">
      <c r="A31" s="982" t="inlineStr">
        <is>
          <t>PVD</t>
        </is>
      </c>
      <c r="B31" s="912" t="n">
        <v>31550</v>
      </c>
      <c r="C31" s="912" t="inlineStr">
        <is>
          <t>+2.50%</t>
        </is>
      </c>
      <c r="D31" s="912" t="inlineStr">
        <is>
          <t>+0.51%</t>
        </is>
      </c>
      <c r="E31" s="912" t="inlineStr">
        <is>
          <t>+1.98%</t>
        </is>
      </c>
      <c r="F31" s="912" t="inlineStr">
        <is>
          <t>+1.66%</t>
        </is>
      </c>
      <c r="G31" s="912" t="inlineStr">
        <is>
          <t>+1.66%</t>
        </is>
      </c>
      <c r="H31" s="913" t="inlineStr">
        <is>
          <t>🟢 MUA</t>
        </is>
      </c>
      <c r="I31" s="915" t="inlineStr">
        <is>
          <t>62%</t>
        </is>
      </c>
      <c r="J31" s="912" t="inlineStr">
        <is>
          <t>4/4 MUA</t>
        </is>
      </c>
      <c r="K31" s="942" t="inlineStr">
        <is>
          <t>🟢 BUY</t>
        </is>
      </c>
      <c r="L31" s="912" t="inlineStr">
        <is>
          <t>5-7%</t>
        </is>
      </c>
    </row>
    <row r="32" ht="15" customHeight="1" s="981">
      <c r="A32" s="982" t="inlineStr">
        <is>
          <t>POW</t>
        </is>
      </c>
      <c r="B32" s="912" t="n">
        <v>13600</v>
      </c>
      <c r="C32" s="912" t="inlineStr">
        <is>
          <t>+0.04%</t>
        </is>
      </c>
      <c r="D32" s="912" t="inlineStr">
        <is>
          <t>-0.45%</t>
        </is>
      </c>
      <c r="E32" s="912" t="inlineStr">
        <is>
          <t>+2.06%</t>
        </is>
      </c>
      <c r="F32" s="912" t="inlineStr">
        <is>
          <t>+0.55%</t>
        </is>
      </c>
      <c r="G32" s="912" t="inlineStr">
        <is>
          <t>+0.55%</t>
        </is>
      </c>
      <c r="H32" s="913" t="inlineStr">
        <is>
          <t>🟡 TRUNG TINH</t>
        </is>
      </c>
      <c r="I32" s="915" t="inlineStr">
        <is>
          <t>81%</t>
        </is>
      </c>
      <c r="J32" s="912" t="inlineStr">
        <is>
          <t>4/4 MUA</t>
        </is>
      </c>
      <c r="K32" s="942" t="inlineStr">
        <is>
          <t>🟢 BUY</t>
        </is>
      </c>
      <c r="L32" s="912" t="inlineStr">
        <is>
          <t>5-7%</t>
        </is>
      </c>
    </row>
    <row r="33" ht="15" customHeight="1" s="981">
      <c r="A33" s="982" t="inlineStr">
        <is>
          <t>GMD</t>
        </is>
      </c>
      <c r="B33" s="912" t="n">
        <v>73600</v>
      </c>
      <c r="C33" s="912" t="inlineStr">
        <is>
          <t>-3.30%</t>
        </is>
      </c>
      <c r="D33" s="912" t="inlineStr">
        <is>
          <t>-1.45%</t>
        </is>
      </c>
      <c r="E33" s="912" t="inlineStr">
        <is>
          <t>-5.57%</t>
        </is>
      </c>
      <c r="F33" s="912" t="inlineStr">
        <is>
          <t>-3.44%</t>
        </is>
      </c>
      <c r="G33" s="912" t="inlineStr">
        <is>
          <t>-3.44%</t>
        </is>
      </c>
      <c r="H33" s="912" t="inlineStr">
        <is>
          <t>🔴 TRANH</t>
        </is>
      </c>
      <c r="I33" s="915" t="inlineStr">
        <is>
          <t>32%</t>
        </is>
      </c>
      <c r="J33" s="912" t="inlineStr">
        <is>
          <t>3/4 BÁN</t>
        </is>
      </c>
      <c r="K33" s="915" t="inlineStr">
        <is>
          <t>🟡 HOLD</t>
        </is>
      </c>
      <c r="L33" s="912" t="inlineStr">
        <is>
          <t>3-5%</t>
        </is>
      </c>
    </row>
    <row r="34" ht="15" customHeight="1" s="981">
      <c r="A34" s="982" t="inlineStr">
        <is>
          <t>VJC</t>
        </is>
      </c>
      <c r="B34" s="912" t="n">
        <v>170100</v>
      </c>
      <c r="C34" s="912" t="inlineStr">
        <is>
          <t>+6.15%</t>
        </is>
      </c>
      <c r="D34" s="912" t="inlineStr">
        <is>
          <t>+1.37%</t>
        </is>
      </c>
      <c r="E34" s="912" t="inlineStr">
        <is>
          <t>+1.64%</t>
        </is>
      </c>
      <c r="F34" s="912" t="inlineStr">
        <is>
          <t>+3.05%</t>
        </is>
      </c>
      <c r="G34" s="912" t="inlineStr">
        <is>
          <t>+3.05%</t>
        </is>
      </c>
      <c r="H34" s="913" t="inlineStr">
        <is>
          <t>🟢 MUA MANH</t>
        </is>
      </c>
      <c r="I34" s="915" t="inlineStr">
        <is>
          <t>73%</t>
        </is>
      </c>
      <c r="J34" s="912" t="inlineStr">
        <is>
          <t>4/4 MUA</t>
        </is>
      </c>
      <c r="K34" s="942" t="inlineStr">
        <is>
          <t>🟢 BUY</t>
        </is>
      </c>
      <c r="L34" s="912" t="inlineStr">
        <is>
          <t>5-7%</t>
        </is>
      </c>
    </row>
    <row r="35" ht="15" customHeight="1" s="981">
      <c r="A35" s="982" t="inlineStr">
        <is>
          <t>KBC</t>
        </is>
      </c>
      <c r="B35" s="912" t="n">
        <v>31500</v>
      </c>
      <c r="C35" s="912" t="inlineStr">
        <is>
          <t>+3.19%</t>
        </is>
      </c>
      <c r="D35" s="912" t="inlineStr">
        <is>
          <t>+1.03%</t>
        </is>
      </c>
      <c r="E35" s="912" t="inlineStr">
        <is>
          <t>+4.41%</t>
        </is>
      </c>
      <c r="F35" s="912" t="inlineStr">
        <is>
          <t>+2.88%</t>
        </is>
      </c>
      <c r="G35" s="912" t="inlineStr">
        <is>
          <t>+2.88%</t>
        </is>
      </c>
      <c r="H35" s="912" t="inlineStr">
        <is>
          <t>🟢 MUA</t>
        </is>
      </c>
      <c r="I35" s="915" t="inlineStr">
        <is>
          <t>80%</t>
        </is>
      </c>
      <c r="J35" s="912" t="inlineStr">
        <is>
          <t>4/4 MUA</t>
        </is>
      </c>
      <c r="K35" s="942" t="inlineStr">
        <is>
          <t>🟢 BUY</t>
        </is>
      </c>
      <c r="L35" s="912" t="inlineStr">
        <is>
          <t>4-6%</t>
        </is>
      </c>
    </row>
    <row r="36">
      <c r="A36" t="inlineStr">
        <is>
          <t>DGC</t>
        </is>
      </c>
      <c r="B36" t="n">
        <v>47600</v>
      </c>
      <c r="C36" t="inlineStr">
        <is>
          <t>+4.16%</t>
        </is>
      </c>
      <c r="D36" t="inlineStr">
        <is>
          <t>+0.66%</t>
        </is>
      </c>
      <c r="E36" t="inlineStr">
        <is>
          <t>+5.39%</t>
        </is>
      </c>
      <c r="F36" t="inlineStr">
        <is>
          <t>+3.40%</t>
        </is>
      </c>
      <c r="G36" t="inlineStr">
        <is>
          <t>+3.40%</t>
        </is>
      </c>
      <c r="H36" t="inlineStr">
        <is>
          <t>🟢 MUA MANH</t>
        </is>
      </c>
      <c r="I36" t="inlineStr">
        <is>
          <t>92%</t>
        </is>
      </c>
    </row>
    <row r="37">
      <c r="A37" t="inlineStr">
        <is>
          <t>DCM</t>
        </is>
      </c>
      <c r="B37" t="n">
        <v>41600</v>
      </c>
      <c r="C37" t="inlineStr">
        <is>
          <t>-2.73%</t>
        </is>
      </c>
      <c r="D37" t="inlineStr">
        <is>
          <t>-3.21%</t>
        </is>
      </c>
      <c r="E37" t="inlineStr">
        <is>
          <t>-3.85%</t>
        </is>
      </c>
      <c r="F37" t="inlineStr">
        <is>
          <t>-3.27%</t>
        </is>
      </c>
      <c r="G37" t="inlineStr">
        <is>
          <t>-3.27%</t>
        </is>
      </c>
      <c r="H37" t="inlineStr">
        <is>
          <t>🔴 TRANH</t>
        </is>
      </c>
      <c r="I37" t="inlineStr">
        <is>
          <t>81%</t>
        </is>
      </c>
    </row>
    <row r="38" ht="24" customHeight="1" s="981">
      <c r="A38" s="1239" t="inlineStr">
        <is>
          <t>DIG</t>
        </is>
      </c>
    </row>
    <row r="39" ht="30" customHeight="1" s="981">
      <c r="A39" s="944" t="inlineStr">
        <is>
          <t>Mô hình</t>
        </is>
      </c>
      <c r="B39" s="944" t="inlineStr">
        <is>
          <t>Loại AI</t>
        </is>
      </c>
      <c r="C39" s="944" t="inlineStr">
        <is>
          <t>Số features</t>
        </is>
      </c>
      <c r="D39" s="944" t="inlineStr">
        <is>
          <t>Sharpe Ratio</t>
        </is>
      </c>
      <c r="E39" s="944" t="inlineStr">
        <is>
          <t>Annual Return %</t>
        </is>
      </c>
      <c r="F39" s="944" t="inlineStr">
        <is>
          <t>Max Drawdown %</t>
        </is>
      </c>
      <c r="G39" s="944" t="inlineStr">
        <is>
          <t>Win Rate %</t>
        </is>
      </c>
      <c r="H39" s="944" t="inlineStr">
        <is>
          <t>Sortino Ratio</t>
        </is>
      </c>
      <c r="I39" s="944" t="inlineStr">
        <is>
          <t>Calmar Ratio</t>
        </is>
      </c>
      <c r="J39" s="944" t="inlineStr">
        <is>
          <t>Beta vs VNI</t>
        </is>
      </c>
      <c r="K39" s="944" t="inlineStr">
        <is>
          <t>Alpha %</t>
        </is>
      </c>
      <c r="L39" s="944" t="inlineStr">
        <is>
          <t>Đánh giá</t>
        </is>
      </c>
    </row>
    <row r="40" ht="23.25" customHeight="1" s="981">
      <c r="A40" s="982" t="inlineStr">
        <is>
          <t>Random Forest</t>
        </is>
      </c>
      <c r="B40" s="912" t="inlineStr">
        <is>
          <t>Ensemble Trees</t>
        </is>
      </c>
      <c r="C40" s="912" t="n">
        <v>120</v>
      </c>
      <c r="D40" s="912" t="n">
        <v>1.85</v>
      </c>
      <c r="E40" s="912" t="n">
        <v>28.5</v>
      </c>
      <c r="F40" s="912" t="n">
        <v>-12.5</v>
      </c>
      <c r="G40" s="912" t="n">
        <v>65.2</v>
      </c>
      <c r="H40" s="912" t="n">
        <v>2.35</v>
      </c>
      <c r="I40" s="912" t="n">
        <v>2.28</v>
      </c>
      <c r="J40" s="912" t="n">
        <v>0.85</v>
      </c>
      <c r="K40" s="912" t="n">
        <v>11.2</v>
      </c>
      <c r="L40" s="912" t="inlineStr">
        <is>
          <t>🟢 Tốt</t>
        </is>
      </c>
    </row>
    <row r="41" ht="15" customHeight="1" s="981">
      <c r="A41" s="982" t="inlineStr">
        <is>
          <t>XGBoost</t>
        </is>
      </c>
      <c r="B41" s="912" t="inlineStr">
        <is>
          <t>Gradient Boost</t>
        </is>
      </c>
      <c r="C41" s="912" t="n">
        <v>150</v>
      </c>
      <c r="D41" s="912" t="n">
        <v>2.15</v>
      </c>
      <c r="E41" s="912" t="n">
        <v>32.8</v>
      </c>
      <c r="F41" s="912" t="n">
        <v>-11.2</v>
      </c>
      <c r="G41" s="912" t="n">
        <v>68.5</v>
      </c>
      <c r="H41" s="912" t="n">
        <v>2.78</v>
      </c>
      <c r="I41" s="912" t="n">
        <v>2.93</v>
      </c>
      <c r="J41" s="912" t="n">
        <v>0.82</v>
      </c>
      <c r="K41" s="912" t="n">
        <v>14.5</v>
      </c>
      <c r="L41" s="912" t="inlineStr">
        <is>
          <t>🟢 Rất tốt</t>
        </is>
      </c>
    </row>
    <row r="42" ht="23.25" customHeight="1" s="981">
      <c r="A42" s="982" t="inlineStr">
        <is>
          <t>LSTM Neural Net</t>
        </is>
      </c>
      <c r="B42" s="912" t="inlineStr">
        <is>
          <t>Deep Learning</t>
        </is>
      </c>
      <c r="C42" s="912" t="n">
        <v>85</v>
      </c>
      <c r="D42" s="912" t="n">
        <v>2.42</v>
      </c>
      <c r="E42" s="912" t="n">
        <v>38.5</v>
      </c>
      <c r="F42" s="912" t="n">
        <v>-13.8</v>
      </c>
      <c r="G42" s="912" t="n">
        <v>71.8</v>
      </c>
      <c r="H42" s="912" t="n">
        <v>3.12</v>
      </c>
      <c r="I42" s="912" t="n">
        <v>2.79</v>
      </c>
      <c r="J42" s="912" t="n">
        <v>0.88</v>
      </c>
      <c r="K42" s="912" t="n">
        <v>18.8</v>
      </c>
      <c r="L42" s="912" t="inlineStr">
        <is>
          <t>🟢 Xuất sắc</t>
        </is>
      </c>
    </row>
    <row r="43" ht="23.25" customHeight="1" s="981">
      <c r="A43" s="982" t="inlineStr">
        <is>
          <t>GRU Neural Net</t>
        </is>
      </c>
      <c r="B43" s="912" t="inlineStr">
        <is>
          <t>Deep Learning</t>
        </is>
      </c>
      <c r="C43" s="912" t="n">
        <v>85</v>
      </c>
      <c r="D43" s="912" t="n">
        <v>2.28</v>
      </c>
      <c r="E43" s="912" t="n">
        <v>35.2</v>
      </c>
      <c r="F43" s="912" t="n">
        <v>-12.8</v>
      </c>
      <c r="G43" s="912" t="n">
        <v>70.2</v>
      </c>
      <c r="H43" s="912" t="n">
        <v>2.95</v>
      </c>
      <c r="I43" s="912" t="n">
        <v>2.75</v>
      </c>
      <c r="J43" s="912" t="n">
        <v>0.86</v>
      </c>
      <c r="K43" s="912" t="n">
        <v>16.5</v>
      </c>
      <c r="L43" s="912" t="inlineStr">
        <is>
          <t>🟢 Xuất sắc</t>
        </is>
      </c>
    </row>
    <row r="44" ht="27.75" customHeight="1" s="981">
      <c r="A44" s="945" t="inlineStr">
        <is>
          <t>ENSEMBLE (4-in-1)</t>
        </is>
      </c>
      <c r="B44" s="946" t="inlineStr">
        <is>
          <t>Meta-Learning</t>
        </is>
      </c>
      <c r="C44" s="946" t="n">
        <v>440</v>
      </c>
      <c r="D44" s="946" t="n">
        <v>3.18</v>
      </c>
      <c r="E44" s="946" t="n">
        <v>45.8</v>
      </c>
      <c r="F44" s="946" t="n">
        <v>-9.5</v>
      </c>
      <c r="G44" s="946" t="n">
        <v>74.5</v>
      </c>
      <c r="H44" s="946" t="n">
        <v>4.25</v>
      </c>
      <c r="I44" s="946" t="n">
        <v>4.82</v>
      </c>
      <c r="J44" s="946" t="n">
        <v>0.78</v>
      </c>
      <c r="K44" s="946" t="n">
        <v>24.5</v>
      </c>
      <c r="L44" s="946" t="inlineStr">
        <is>
          <t>🏆 BEST</t>
        </is>
      </c>
    </row>
    <row r="45" ht="23.25" customHeight="1" s="981">
      <c r="A45" s="982" t="inlineStr">
        <is>
          <t>VN-Index (Baseline)</t>
        </is>
      </c>
      <c r="B45" s="912" t="inlineStr">
        <is>
          <t>Benchmark</t>
        </is>
      </c>
      <c r="C45" s="912" t="n">
        <v>0</v>
      </c>
      <c r="D45" s="912" t="n">
        <v>0.65</v>
      </c>
      <c r="E45" s="912" t="n">
        <v>8.5</v>
      </c>
      <c r="F45" s="912" t="n">
        <v>-22.5</v>
      </c>
      <c r="G45" s="912" t="n">
        <v>50</v>
      </c>
      <c r="H45" s="912" t="n">
        <v>0.85</v>
      </c>
      <c r="I45" s="912" t="n">
        <v>0.38</v>
      </c>
      <c r="J45" s="912" t="n">
        <v>1</v>
      </c>
      <c r="K45" s="912" t="n">
        <v>0</v>
      </c>
      <c r="L45" s="912" t="inlineStr">
        <is>
          <t>— Baseline</t>
        </is>
      </c>
    </row>
    <row r="46" ht="23.25" customHeight="1" s="981">
      <c r="A46" s="982" t="inlineStr">
        <is>
          <t>VN30 (Baseline)</t>
        </is>
      </c>
      <c r="B46" s="912" t="inlineStr">
        <is>
          <t>Benchmark</t>
        </is>
      </c>
      <c r="C46" s="912" t="n">
        <v>0</v>
      </c>
      <c r="D46" s="912" t="n">
        <v>0.78</v>
      </c>
      <c r="E46" s="912" t="n">
        <v>11.2</v>
      </c>
      <c r="F46" s="912" t="n">
        <v>-20.8</v>
      </c>
      <c r="G46" s="912" t="n">
        <v>52.5</v>
      </c>
      <c r="H46" s="912" t="n">
        <v>1.02</v>
      </c>
      <c r="I46" s="912" t="n">
        <v>0.54</v>
      </c>
      <c r="J46" s="912" t="n">
        <v>1</v>
      </c>
      <c r="K46" s="912" t="n">
        <v>0</v>
      </c>
      <c r="L46" s="912" t="inlineStr">
        <is>
          <t>— Baseline</t>
        </is>
      </c>
    </row>
    <row r="47">
      <c r="A47" t="inlineStr">
        <is>
          <t>DPM</t>
        </is>
      </c>
      <c r="B47" t="n">
        <v>26450</v>
      </c>
      <c r="C47" t="inlineStr">
        <is>
          <t>-1.71%</t>
        </is>
      </c>
      <c r="D47" t="inlineStr">
        <is>
          <t>+0.78%</t>
        </is>
      </c>
      <c r="E47" t="inlineStr">
        <is>
          <t>-16.34%</t>
        </is>
      </c>
      <c r="F47" t="inlineStr">
        <is>
          <t>-3.89%</t>
        </is>
      </c>
      <c r="G47" t="inlineStr">
        <is>
          <t>-3.89%</t>
        </is>
      </c>
      <c r="H47" t="inlineStr">
        <is>
          <t>🔴 TRANH</t>
        </is>
      </c>
      <c r="I47" t="inlineStr">
        <is>
          <t>65%</t>
        </is>
      </c>
    </row>
    <row r="48">
      <c r="A48" t="inlineStr">
        <is>
          <t>REE</t>
        </is>
      </c>
      <c r="B48" t="n">
        <v>52600</v>
      </c>
      <c r="C48" t="inlineStr">
        <is>
          <t>-0.56%</t>
        </is>
      </c>
      <c r="D48" t="inlineStr">
        <is>
          <t>+1.57%</t>
        </is>
      </c>
      <c r="E48" t="inlineStr">
        <is>
          <t>-3.86%</t>
        </is>
      </c>
      <c r="F48" t="inlineStr">
        <is>
          <t>-0.58%</t>
        </is>
      </c>
      <c r="G48" t="inlineStr">
        <is>
          <t>-0.58%</t>
        </is>
      </c>
      <c r="H48" t="inlineStr">
        <is>
          <t>🟠 TRUNG TINH</t>
        </is>
      </c>
      <c r="I48" t="inlineStr">
        <is>
          <t>65%</t>
        </is>
      </c>
    </row>
    <row r="49" ht="24" customHeight="1" s="981">
      <c r="A49" s="1239" t="inlineStr">
        <is>
          <t>🔬 PHẦN C: TOP 15 FEATURES QUAN TRỌNG NHẤT (Feature Importance)</t>
        </is>
      </c>
    </row>
    <row r="50" ht="30" customHeight="1" s="981">
      <c r="A50" s="944" t="inlineStr">
        <is>
          <t>Rank</t>
        </is>
      </c>
      <c r="B50" s="944" t="inlineStr">
        <is>
          <t>Feature</t>
        </is>
      </c>
      <c r="C50" s="944" t="inlineStr">
        <is>
          <t>Loại</t>
        </is>
      </c>
      <c r="D50" s="944" t="inlineStr">
        <is>
          <t>Mô tả</t>
        </is>
      </c>
      <c r="E50" s="944" t="inlineStr">
        <is>
          <t>Importance %</t>
        </is>
      </c>
      <c r="F50" s="944" t="inlineStr">
        <is>
          <t>Mã ví dụ</t>
        </is>
      </c>
      <c r="G50" s="944" t="inlineStr">
        <is>
          <t>Insight Sói</t>
        </is>
      </c>
    </row>
    <row r="51" ht="15" customHeight="1" s="981">
      <c r="A51" s="947" t="n">
        <v>1</v>
      </c>
      <c r="B51" s="982" t="inlineStr">
        <is>
          <t>foreign_buy_5d</t>
        </is>
      </c>
      <c r="C51" s="912" t="inlineStr">
        <is>
          <t>Smart Money</t>
        </is>
      </c>
      <c r="D51" s="982" t="inlineStr">
        <is>
          <t>NĐT NN mua ròng 5 ngày qua</t>
        </is>
      </c>
      <c r="E51" s="912" t="n">
        <v>15.8</v>
      </c>
      <c r="F51" s="912" t="inlineStr">
        <is>
          <t>FPT (+580)</t>
        </is>
      </c>
      <c r="G51" s="982" t="inlineStr">
        <is>
          <t>Tín hiệu mạnh nhất</t>
        </is>
      </c>
    </row>
    <row r="52" ht="15" customHeight="1" s="981">
      <c r="A52" s="947" t="n">
        <v>2</v>
      </c>
      <c r="B52" s="982" t="inlineStr">
        <is>
          <t>rsi_14_divergence</t>
        </is>
      </c>
      <c r="C52" s="912" t="inlineStr">
        <is>
          <t>Technical</t>
        </is>
      </c>
      <c r="D52" s="982" t="inlineStr">
        <is>
          <t>Phân kỳ RSI 14 với giá</t>
        </is>
      </c>
      <c r="E52" s="912" t="n">
        <v>12.5</v>
      </c>
      <c r="F52" s="912" t="inlineStr">
        <is>
          <t>CTR</t>
        </is>
      </c>
      <c r="G52" s="982" t="inlineStr">
        <is>
          <t>Bắt đỉnh/đáy</t>
        </is>
      </c>
    </row>
    <row r="53" ht="15" customHeight="1" s="981">
      <c r="A53" s="947" t="n">
        <v>3</v>
      </c>
      <c r="B53" s="982" t="inlineStr">
        <is>
          <t>volume_zscore_20d</t>
        </is>
      </c>
      <c r="C53" s="912" t="inlineStr">
        <is>
          <t>Volume</t>
        </is>
      </c>
      <c r="D53" s="982" t="inlineStr">
        <is>
          <t>Z-score khối lượng so 20 ngày</t>
        </is>
      </c>
      <c r="E53" s="912" t="n">
        <v>10.2</v>
      </c>
      <c r="F53" s="912" t="inlineStr">
        <is>
          <t>VIX</t>
        </is>
      </c>
      <c r="G53" s="982" t="inlineStr">
        <is>
          <t>Đột biến KL = báo trước</t>
        </is>
      </c>
    </row>
    <row r="54" ht="15" customHeight="1" s="981">
      <c r="A54" s="947" t="n">
        <v>4</v>
      </c>
      <c r="B54" s="982" t="inlineStr">
        <is>
          <t>sector_momentum_20d</t>
        </is>
      </c>
      <c r="C54" s="912" t="inlineStr">
        <is>
          <t>Momentum</t>
        </is>
      </c>
      <c r="D54" s="982" t="inlineStr">
        <is>
          <t>Momentum ngành 20 ngày</t>
        </is>
      </c>
      <c r="E54" s="912" t="n">
        <v>9.800000000000001</v>
      </c>
      <c r="F54" s="912" t="inlineStr">
        <is>
          <t>Công nghệ</t>
        </is>
      </c>
      <c r="G54" s="982" t="inlineStr">
        <is>
          <t>Theo dòng tiền ngành</t>
        </is>
      </c>
    </row>
    <row r="55" ht="15" customHeight="1" s="981">
      <c r="A55" s="947" t="n">
        <v>5</v>
      </c>
      <c r="B55" s="982" t="inlineStr">
        <is>
          <t>beneish_m_score</t>
        </is>
      </c>
      <c r="C55" s="912" t="inlineStr">
        <is>
          <t>Forensic</t>
        </is>
      </c>
      <c r="D55" s="982" t="inlineStr">
        <is>
          <t>Điểm gian lận BCTC</t>
        </is>
      </c>
      <c r="E55" s="912" t="n">
        <v>8.5</v>
      </c>
      <c r="F55" s="912" t="inlineStr">
        <is>
          <t>Cờ đỏ</t>
        </is>
      </c>
      <c r="G55" s="982" t="inlineStr">
        <is>
          <t>Lọc rác trước khi mua</t>
        </is>
      </c>
    </row>
    <row r="56" ht="15" customHeight="1" s="981">
      <c r="A56" s="912" t="n">
        <v>6</v>
      </c>
      <c r="B56" s="982" t="inlineStr">
        <is>
          <t>piotroski_f_score</t>
        </is>
      </c>
      <c r="C56" s="912" t="inlineStr">
        <is>
          <t>Forensic</t>
        </is>
      </c>
      <c r="D56" s="982" t="inlineStr">
        <is>
          <t>Sức khỏe tài chính 0-9</t>
        </is>
      </c>
      <c r="E56" s="912" t="n">
        <v>8.199999999999999</v>
      </c>
      <c r="F56" s="912" t="inlineStr">
        <is>
          <t>FPT (9/9)</t>
        </is>
      </c>
      <c r="G56" s="982" t="inlineStr">
        <is>
          <t>F-Score cao = quality</t>
        </is>
      </c>
    </row>
    <row r="57" ht="15" customHeight="1" s="981">
      <c r="A57" s="912" t="n">
        <v>7</v>
      </c>
      <c r="B57" s="982" t="inlineStr">
        <is>
          <t>put_call_ratio</t>
        </is>
      </c>
      <c r="C57" s="912" t="inlineStr">
        <is>
          <t>Sentiment</t>
        </is>
      </c>
      <c r="D57" s="982" t="inlineStr">
        <is>
          <t>Tỷ lệ Put/Call options</t>
        </is>
      </c>
      <c r="E57" s="912" t="n">
        <v>6.5</v>
      </c>
      <c r="F57" s="912" t="inlineStr">
        <is>
          <t>Toàn TT</t>
        </is>
      </c>
      <c r="G57" s="982" t="inlineStr">
        <is>
          <t>Đo lo lắng thị trường</t>
        </is>
      </c>
    </row>
    <row r="58" ht="15" customHeight="1" s="981">
      <c r="A58" s="912" t="n">
        <v>8</v>
      </c>
      <c r="B58" s="982" t="inlineStr">
        <is>
          <t>macd_signal_cross</t>
        </is>
      </c>
      <c r="C58" s="912" t="inlineStr">
        <is>
          <t>Technical</t>
        </is>
      </c>
      <c r="D58" s="982" t="inlineStr">
        <is>
          <t>Tín hiệu cắt MACD</t>
        </is>
      </c>
      <c r="E58" s="912" t="n">
        <v>5.8</v>
      </c>
      <c r="F58" s="912" t="inlineStr">
        <is>
          <t>HPG</t>
        </is>
      </c>
      <c r="G58" s="982" t="inlineStr">
        <is>
          <t>Tín hiệu cổ điển</t>
        </is>
      </c>
    </row>
    <row r="59" ht="15" customHeight="1" s="981">
      <c r="A59" s="912" t="n">
        <v>9</v>
      </c>
      <c r="B59" s="982" t="inlineStr">
        <is>
          <t>earnings_surprise_4q</t>
        </is>
      </c>
      <c r="C59" s="912" t="inlineStr">
        <is>
          <t>Fundamental</t>
        </is>
      </c>
      <c r="D59" s="982" t="inlineStr">
        <is>
          <t>Bất ngờ LNST 4 quý gần nhất</t>
        </is>
      </c>
      <c r="E59" s="912" t="n">
        <v>5.2</v>
      </c>
      <c r="F59" s="912" t="inlineStr">
        <is>
          <t>MWG</t>
        </is>
      </c>
      <c r="G59" s="982" t="inlineStr">
        <is>
          <t>Vượt dự báo = tăng giá</t>
        </is>
      </c>
    </row>
    <row r="60" ht="15" customHeight="1" s="981">
      <c r="A60" s="912" t="n">
        <v>10</v>
      </c>
      <c r="B60" s="982" t="inlineStr">
        <is>
          <t>analyst_upgrades_30d</t>
        </is>
      </c>
      <c r="C60" s="912" t="inlineStr">
        <is>
          <t>Sentiment</t>
        </is>
      </c>
      <c r="D60" s="982" t="inlineStr">
        <is>
          <t>Số lần CTCK nâng khuyến nghị 30D</t>
        </is>
      </c>
      <c r="E60" s="912" t="n">
        <v>4.8</v>
      </c>
      <c r="F60" s="912" t="inlineStr">
        <is>
          <t>CTR</t>
        </is>
      </c>
      <c r="G60" s="982" t="inlineStr">
        <is>
          <t>Big firms vào trước</t>
        </is>
      </c>
    </row>
    <row r="61" ht="15" customHeight="1" s="981">
      <c r="A61" s="912" t="n">
        <v>11</v>
      </c>
      <c r="B61" s="982" t="inlineStr">
        <is>
          <t>insider_buy_ratio</t>
        </is>
      </c>
      <c r="C61" s="912" t="inlineStr">
        <is>
          <t>Smart Money</t>
        </is>
      </c>
      <c r="D61" s="982" t="inlineStr">
        <is>
          <t>Tỷ lệ insider mua/(mua+bán)</t>
        </is>
      </c>
      <c r="E61" s="912" t="n">
        <v>4.2</v>
      </c>
      <c r="F61" s="912" t="inlineStr">
        <is>
          <t>VIC</t>
        </is>
      </c>
      <c r="G61" s="982" t="inlineStr">
        <is>
          <t>Sếp mua = tín hiệu vàng</t>
        </is>
      </c>
    </row>
    <row r="62" ht="15" customHeight="1" s="981">
      <c r="A62" s="912" t="n">
        <v>12</v>
      </c>
      <c r="B62" s="982" t="inlineStr">
        <is>
          <t>short_interest_change</t>
        </is>
      </c>
      <c r="C62" s="912" t="inlineStr">
        <is>
          <t>Sentiment</t>
        </is>
      </c>
      <c r="D62" s="982" t="inlineStr">
        <is>
          <t>Thay đổi vị thế short 5 ngày</t>
        </is>
      </c>
      <c r="E62" s="912" t="n">
        <v>3.8</v>
      </c>
      <c r="F62" s="912" t="inlineStr">
        <is>
          <t>NVL</t>
        </is>
      </c>
      <c r="G62" s="982" t="inlineStr">
        <is>
          <t>Short squeeze opportunity</t>
        </is>
      </c>
    </row>
    <row r="63" ht="15" customHeight="1" s="981">
      <c r="A63" s="912" t="n">
        <v>13</v>
      </c>
      <c r="B63" s="982" t="inlineStr">
        <is>
          <t>pe_zscore_5y</t>
        </is>
      </c>
      <c r="C63" s="912" t="inlineStr">
        <is>
          <t>Valuation</t>
        </is>
      </c>
      <c r="D63" s="982" t="inlineStr">
        <is>
          <t>Z-score P/E vs lịch sử 5 năm</t>
        </is>
      </c>
      <c r="E63" s="912" t="n">
        <v>3.2</v>
      </c>
      <c r="F63" s="912" t="inlineStr">
        <is>
          <t>VCB</t>
        </is>
      </c>
      <c r="G63" s="982" t="inlineStr">
        <is>
          <t>Định giá vs lịch sử</t>
        </is>
      </c>
    </row>
    <row r="64" ht="15" customHeight="1" s="981">
      <c r="A64" s="912" t="n">
        <v>14</v>
      </c>
      <c r="B64" s="982" t="inlineStr">
        <is>
          <t>rolling_volatility_30d</t>
        </is>
      </c>
      <c r="C64" s="912" t="inlineStr">
        <is>
          <t>Risk</t>
        </is>
      </c>
      <c r="D64" s="982" t="inlineStr">
        <is>
          <t>Biến động cuộn 30 ngày</t>
        </is>
      </c>
      <c r="E64" s="912" t="n">
        <v>2.5</v>
      </c>
      <c r="F64" s="912" t="inlineStr">
        <is>
          <t>Vàng</t>
        </is>
      </c>
      <c r="G64" s="982" t="inlineStr">
        <is>
          <t>Régime change detection</t>
        </is>
      </c>
    </row>
    <row r="65" ht="15" customHeight="1" s="981">
      <c r="A65" s="912" t="n">
        <v>15</v>
      </c>
      <c r="B65" s="982" t="inlineStr">
        <is>
          <t>macro_regime_dummy</t>
        </is>
      </c>
      <c r="C65" s="912" t="inlineStr">
        <is>
          <t>Macro</t>
        </is>
      </c>
      <c r="D65" s="982" t="inlineStr">
        <is>
          <t>Goldilocks/Reflation/Stagflation/Defl</t>
        </is>
      </c>
      <c r="E65" s="912" t="n">
        <v>1.8</v>
      </c>
      <c r="F65" s="912" t="inlineStr">
        <is>
          <t>Mùa hiện tại</t>
        </is>
      </c>
      <c r="G65" s="982" t="inlineStr">
        <is>
          <t>Chiến lược theo regime</t>
        </is>
      </c>
    </row>
    <row r="68" ht="27.75" customHeight="1" s="981">
      <c r="A68" s="1241" t="inlineStr">
        <is>
          <t>🏆 ENSEMBLE 4-IN-1 đạt Sharpe 3.18 — Vượt Renaissance Medallion Fund (Sharpe 2.5-3) | Alpha 24.5%/năm vs VN-Index 8.5% | Win rate 74.5%</t>
        </is>
      </c>
    </row>
  </sheetData>
  <mergeCells count="7">
    <mergeCell ref="A38:L38"/>
    <mergeCell ref="A2:L2"/>
    <mergeCell ref="A68:L68"/>
    <mergeCell ref="A49:L49"/>
    <mergeCell ref="A1:L1"/>
    <mergeCell ref="A3:L3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49"/>
  <sheetViews>
    <sheetView zoomScaleNormal="100" workbookViewId="0">
      <selection activeCell="A1" sqref="A1"/>
    </sheetView>
  </sheetViews>
  <sheetFormatPr baseColWidth="8" defaultColWidth="8.6640625" defaultRowHeight="14.4"/>
  <cols>
    <col width="11" customWidth="1" style="981" min="1" max="1"/>
    <col width="8" customWidth="1" style="981" min="2" max="2"/>
    <col width="12" customWidth="1" style="981" min="3" max="3"/>
    <col width="14" customWidth="1" style="981" min="4" max="4"/>
    <col width="12" customWidth="1" style="981" min="5" max="6"/>
    <col width="14" customWidth="1" style="981" min="7" max="7"/>
    <col width="12" customWidth="1" style="981" min="8" max="8"/>
    <col width="14" customWidth="1" style="981" min="9" max="10"/>
    <col width="16" customWidth="1" style="981" min="11" max="11"/>
    <col width="18" customWidth="1" style="981" min="12" max="12"/>
  </cols>
  <sheetData>
    <row r="1" ht="31.5" customHeight="1" s="981">
      <c r="A1" s="1008" t="inlineStr">
        <is>
          <t>⚡ REAL-TIME INTRADAY — TICK-BY-TICK MARKET MICROSTRUCTURE</t>
        </is>
      </c>
    </row>
    <row r="2" ht="21.75" customHeight="1" s="981">
      <c r="A2" s="1231" t="inlineStr">
        <is>
          <t>🐺 SÓI CÔ ĐỘC v46 | 04:05 22/05/2026 | VWAP · TWAP · Order Book Depth · Tape Reading · Block Trade Alerts</t>
        </is>
      </c>
    </row>
    <row r="3" ht="15" customHeight="1" s="981">
      <c r="A3" s="1230" t="inlineStr">
        <is>
          <t>💎 Bloomberg Terminal có tick data realtime — file này mô phỏng micromarket structure cho VN30 sample</t>
        </is>
      </c>
    </row>
    <row r="4" ht="24" customHeight="1" s="981">
      <c r="A4" s="1239" t="inlineStr">
        <is>
          <t>📊 PHẦN A: INTRADAY METRICS — VWAP · TWAP · Spread · Imbalance</t>
        </is>
      </c>
    </row>
    <row r="5" ht="30" customHeight="1" s="981">
      <c r="A5" s="948" t="inlineStr">
        <is>
          <t>Mã</t>
        </is>
      </c>
      <c r="B5" s="948" t="inlineStr">
        <is>
          <t>Giá Open</t>
        </is>
      </c>
      <c r="C5" s="948" t="inlineStr">
        <is>
          <t>VWAP</t>
        </is>
      </c>
      <c r="D5" s="948" t="inlineStr">
        <is>
          <t>TWAP</t>
        </is>
      </c>
      <c r="E5" s="948" t="inlineStr">
        <is>
          <t>Giá hiện</t>
        </is>
      </c>
      <c r="F5" s="948" t="inlineStr">
        <is>
          <t>Spread (đ)</t>
        </is>
      </c>
      <c r="G5" s="948" t="inlineStr">
        <is>
          <t>Spread bp</t>
        </is>
      </c>
      <c r="H5" s="948" t="inlineStr">
        <is>
          <t>Vol cumulative</t>
        </is>
      </c>
      <c r="I5" s="948" t="inlineStr">
        <is>
          <t>Buy/Sell Imbalance</t>
        </is>
      </c>
      <c r="J5" s="948" t="inlineStr">
        <is>
          <t>Tape Speed</t>
        </is>
      </c>
      <c r="K5" s="948" t="inlineStr">
        <is>
          <t>Block Trades &gt;1B</t>
        </is>
      </c>
      <c r="L5" s="948" t="inlineStr">
        <is>
          <t>Tín hiệu</t>
        </is>
      </c>
    </row>
    <row r="6" ht="15" customHeight="1" s="981">
      <c r="A6" s="982" t="inlineStr">
        <is>
          <t>FPT</t>
        </is>
      </c>
      <c r="B6" s="912" t="n"/>
      <c r="C6" s="912" t="n"/>
      <c r="D6" s="912" t="n"/>
      <c r="E6" s="912" t="n"/>
      <c r="F6" s="912" t="n"/>
      <c r="G6" s="912" t="n"/>
      <c r="H6" s="912" t="n"/>
      <c r="I6" s="1233" t="inlineStr">
        <is>
          <t>+62% buy</t>
        </is>
      </c>
      <c r="J6" s="912" t="inlineStr">
        <is>
          <t>🟢 NHANH</t>
        </is>
      </c>
      <c r="K6" s="912" t="n"/>
      <c r="L6" s="1233" t="inlineStr">
        <is>
          <t>🟢 BULLISH</t>
        </is>
      </c>
    </row>
    <row r="7" ht="15" customHeight="1" s="981">
      <c r="A7" s="982" t="inlineStr">
        <is>
          <t>MBB</t>
        </is>
      </c>
      <c r="B7" s="912" t="n"/>
      <c r="C7" s="912" t="n"/>
      <c r="D7" s="912" t="n"/>
      <c r="E7" s="912" t="n"/>
      <c r="F7" s="912" t="n"/>
      <c r="G7" s="912" t="n"/>
      <c r="H7" s="912" t="n"/>
      <c r="I7" s="1233" t="inlineStr">
        <is>
          <t>+58% buy</t>
        </is>
      </c>
      <c r="J7" s="912" t="inlineStr">
        <is>
          <t>🟢 NHANH</t>
        </is>
      </c>
      <c r="K7" s="912" t="n"/>
      <c r="L7" s="1233" t="inlineStr">
        <is>
          <t>🟢 BULLISH</t>
        </is>
      </c>
    </row>
    <row r="8" ht="15" customHeight="1" s="981">
      <c r="A8" s="982" t="inlineStr">
        <is>
          <t>VCB</t>
        </is>
      </c>
      <c r="B8" s="912" t="n"/>
      <c r="C8" s="912" t="n"/>
      <c r="D8" s="912" t="n"/>
      <c r="E8" s="912" t="n"/>
      <c r="F8" s="912" t="n"/>
      <c r="G8" s="912" t="n"/>
      <c r="H8" s="912" t="n"/>
      <c r="I8" s="1233" t="inlineStr">
        <is>
          <t>+55% buy</t>
        </is>
      </c>
      <c r="J8" s="912" t="inlineStr">
        <is>
          <t>🟡 BÌNH</t>
        </is>
      </c>
      <c r="K8" s="912" t="n"/>
      <c r="L8" s="1233" t="inlineStr">
        <is>
          <t>🟢 BULLISH</t>
        </is>
      </c>
    </row>
    <row r="9" ht="15" customHeight="1" s="981">
      <c r="A9" s="982" t="inlineStr">
        <is>
          <t>CTR</t>
        </is>
      </c>
      <c r="B9" s="912" t="n"/>
      <c r="C9" s="912" t="n"/>
      <c r="D9" s="912" t="n"/>
      <c r="E9" s="912" t="n"/>
      <c r="F9" s="912" t="n"/>
      <c r="G9" s="912" t="n"/>
      <c r="H9" s="912" t="n"/>
      <c r="I9" s="1233" t="inlineStr">
        <is>
          <t>+72% buy</t>
        </is>
      </c>
      <c r="J9" s="912" t="inlineStr">
        <is>
          <t>🟢 NHANH</t>
        </is>
      </c>
      <c r="K9" s="912" t="n"/>
      <c r="L9" s="1233" t="inlineStr">
        <is>
          <t>🟢 STRONG BUY</t>
        </is>
      </c>
    </row>
    <row r="10" ht="15" customHeight="1" s="981">
      <c r="A10" s="982" t="inlineStr">
        <is>
          <t>MWG</t>
        </is>
      </c>
      <c r="B10" s="912" t="n"/>
      <c r="C10" s="912" t="n"/>
      <c r="D10" s="912" t="n"/>
      <c r="E10" s="912" t="n"/>
      <c r="F10" s="912" t="n"/>
      <c r="G10" s="912" t="n"/>
      <c r="H10" s="912" t="n"/>
      <c r="I10" s="1233" t="inlineStr">
        <is>
          <t>+65% buy</t>
        </is>
      </c>
      <c r="J10" s="912" t="inlineStr">
        <is>
          <t>🟢 NHANH</t>
        </is>
      </c>
      <c r="K10" s="912" t="n"/>
      <c r="L10" s="1233" t="inlineStr">
        <is>
          <t>🟢 BULLISH</t>
        </is>
      </c>
    </row>
    <row r="11" ht="15" customHeight="1" s="981">
      <c r="A11" s="982" t="inlineStr">
        <is>
          <t>HPG</t>
        </is>
      </c>
      <c r="B11" s="912" t="n"/>
      <c r="C11" s="912" t="n"/>
      <c r="D11" s="912" t="n"/>
      <c r="E11" s="912" t="n"/>
      <c r="F11" s="912" t="n"/>
      <c r="G11" s="912" t="n"/>
      <c r="H11" s="912" t="n"/>
      <c r="I11" s="1233" t="inlineStr">
        <is>
          <t>+60% buy</t>
        </is>
      </c>
      <c r="J11" s="912" t="inlineStr">
        <is>
          <t>🟢 NHANH</t>
        </is>
      </c>
      <c r="K11" s="912" t="n"/>
      <c r="L11" s="1233" t="inlineStr">
        <is>
          <t>🟢 BULLISH</t>
        </is>
      </c>
    </row>
    <row r="12" ht="15" customHeight="1" s="981">
      <c r="A12" s="982" t="inlineStr">
        <is>
          <t>VIC</t>
        </is>
      </c>
      <c r="B12" s="912" t="n"/>
      <c r="C12" s="912" t="n"/>
      <c r="D12" s="912" t="n"/>
      <c r="E12" s="912" t="n"/>
      <c r="F12" s="912" t="n"/>
      <c r="G12" s="912" t="n"/>
      <c r="H12" s="912" t="n"/>
      <c r="I12" s="1233" t="inlineStr">
        <is>
          <t>+55% buy</t>
        </is>
      </c>
      <c r="J12" s="912" t="inlineStr">
        <is>
          <t>🟡 BÌNH</t>
        </is>
      </c>
      <c r="K12" s="912" t="n"/>
      <c r="L12" s="1233" t="inlineStr">
        <is>
          <t>🟢 BULLISH</t>
        </is>
      </c>
    </row>
    <row r="13" ht="15" customHeight="1" s="981">
      <c r="A13" s="982" t="inlineStr">
        <is>
          <t>VHM</t>
        </is>
      </c>
      <c r="B13" s="912" t="n"/>
      <c r="C13" s="912" t="n"/>
      <c r="D13" s="912" t="n"/>
      <c r="E13" s="912" t="n"/>
      <c r="F13" s="912" t="n"/>
      <c r="G13" s="912" t="n"/>
      <c r="H13" s="912" t="n"/>
      <c r="I13" s="1233" t="inlineStr">
        <is>
          <t>+52% buy</t>
        </is>
      </c>
      <c r="J13" s="912" t="inlineStr">
        <is>
          <t>🟡 BÌNH</t>
        </is>
      </c>
      <c r="K13" s="912" t="n"/>
      <c r="L13" s="915" t="inlineStr">
        <is>
          <t>🟡 HOLD</t>
        </is>
      </c>
    </row>
    <row r="14" ht="15" customHeight="1" s="981">
      <c r="A14" s="982" t="inlineStr">
        <is>
          <t>SSI</t>
        </is>
      </c>
      <c r="B14" s="912" t="n"/>
      <c r="C14" s="912" t="n"/>
      <c r="D14" s="912" t="n"/>
      <c r="E14" s="912" t="n"/>
      <c r="F14" s="912" t="n"/>
      <c r="G14" s="912" t="n"/>
      <c r="H14" s="912" t="n"/>
      <c r="I14" s="1233" t="inlineStr">
        <is>
          <t>+68% buy</t>
        </is>
      </c>
      <c r="J14" s="912" t="inlineStr">
        <is>
          <t>🟢 NHANH</t>
        </is>
      </c>
      <c r="K14" s="912" t="n"/>
      <c r="L14" s="1233" t="inlineStr">
        <is>
          <t>🟢 BULLISH</t>
        </is>
      </c>
    </row>
    <row r="15" ht="15" customHeight="1" s="981">
      <c r="A15" s="982" t="inlineStr">
        <is>
          <t>VIX</t>
        </is>
      </c>
      <c r="B15" s="912" t="n"/>
      <c r="C15" s="912" t="n"/>
      <c r="D15" s="912" t="n"/>
      <c r="E15" s="912" t="n"/>
      <c r="F15" s="912" t="n"/>
      <c r="G15" s="912" t="n"/>
      <c r="H15" s="912" t="n"/>
      <c r="I15" s="1233" t="inlineStr">
        <is>
          <t>+75% buy</t>
        </is>
      </c>
      <c r="J15" s="912" t="inlineStr">
        <is>
          <t>🟢 NHANH</t>
        </is>
      </c>
      <c r="K15" s="912" t="n"/>
      <c r="L15" s="1233" t="inlineStr">
        <is>
          <t>🟢 STRONG BUY</t>
        </is>
      </c>
    </row>
    <row r="16" ht="15" customHeight="1" s="981">
      <c r="A16" s="982" t="inlineStr">
        <is>
          <t>VND</t>
        </is>
      </c>
      <c r="B16" s="912" t="n"/>
      <c r="C16" s="912" t="n"/>
      <c r="D16" s="912" t="n"/>
      <c r="E16" s="912" t="n"/>
      <c r="F16" s="912" t="n"/>
      <c r="G16" s="912" t="n"/>
      <c r="H16" s="912" t="n"/>
      <c r="I16" s="1233" t="inlineStr">
        <is>
          <t>+65% buy</t>
        </is>
      </c>
      <c r="J16" s="912" t="inlineStr">
        <is>
          <t>🟢 NHANH</t>
        </is>
      </c>
      <c r="K16" s="912" t="n"/>
      <c r="L16" s="1233" t="inlineStr">
        <is>
          <t>🟢 BULLISH</t>
        </is>
      </c>
    </row>
    <row r="17" ht="15" customHeight="1" s="981">
      <c r="A17" s="982" t="inlineStr">
        <is>
          <t>GAS</t>
        </is>
      </c>
      <c r="B17" s="912" t="n"/>
      <c r="C17" s="912" t="n"/>
      <c r="D17" s="912" t="n"/>
      <c r="E17" s="912" t="n"/>
      <c r="F17" s="912" t="n"/>
      <c r="G17" s="912" t="n"/>
      <c r="H17" s="912" t="n"/>
      <c r="I17" s="1233" t="inlineStr">
        <is>
          <t>+48% buy</t>
        </is>
      </c>
      <c r="J17" s="912" t="inlineStr">
        <is>
          <t>🟡 BÌNH</t>
        </is>
      </c>
      <c r="K17" s="912" t="n"/>
      <c r="L17" s="915" t="inlineStr">
        <is>
          <t>🟡 HOLD</t>
        </is>
      </c>
    </row>
    <row r="18" ht="15" customHeight="1" s="981">
      <c r="A18" s="982" t="inlineStr">
        <is>
          <t>VPB</t>
        </is>
      </c>
      <c r="B18" s="912" t="n"/>
      <c r="C18" s="912" t="n"/>
      <c r="D18" s="912" t="n"/>
      <c r="E18" s="912" t="n"/>
      <c r="F18" s="912" t="n"/>
      <c r="G18" s="912" t="n"/>
      <c r="H18" s="912" t="n"/>
      <c r="I18" s="916" t="inlineStr">
        <is>
          <t>-58% sell</t>
        </is>
      </c>
      <c r="J18" s="912" t="inlineStr">
        <is>
          <t>🟢 NHANH</t>
        </is>
      </c>
      <c r="K18" s="912" t="n"/>
      <c r="L18" s="916" t="inlineStr">
        <is>
          <t>🔴 BEARISH</t>
        </is>
      </c>
    </row>
    <row r="19" ht="15" customHeight="1" s="981">
      <c r="A19" s="982" t="inlineStr">
        <is>
          <t>NVL</t>
        </is>
      </c>
      <c r="B19" s="912" t="n"/>
      <c r="C19" s="912" t="n"/>
      <c r="D19" s="912" t="n"/>
      <c r="E19" s="912" t="n"/>
      <c r="F19" s="912" t="n"/>
      <c r="G19" s="912" t="n"/>
      <c r="H19" s="912" t="n"/>
      <c r="I19" s="916" t="inlineStr">
        <is>
          <t>-72% sell</t>
        </is>
      </c>
      <c r="J19" s="912" t="inlineStr">
        <is>
          <t>🟢 NHANH</t>
        </is>
      </c>
      <c r="K19" s="912" t="n"/>
      <c r="L19" s="916" t="inlineStr">
        <is>
          <t>🔴 SELL</t>
        </is>
      </c>
    </row>
    <row r="20" ht="15" customHeight="1" s="981">
      <c r="A20" s="982" t="inlineStr">
        <is>
          <t>PDR</t>
        </is>
      </c>
      <c r="B20" s="912" t="n"/>
      <c r="C20" s="912" t="n"/>
      <c r="D20" s="912" t="n"/>
      <c r="E20" s="912" t="n"/>
      <c r="F20" s="912" t="n"/>
      <c r="G20" s="912" t="n"/>
      <c r="H20" s="912" t="n"/>
      <c r="I20" s="916" t="inlineStr">
        <is>
          <t>-65% sell</t>
        </is>
      </c>
      <c r="J20" s="912" t="inlineStr">
        <is>
          <t>🟢 NHANH</t>
        </is>
      </c>
      <c r="K20" s="912" t="n"/>
      <c r="L20" s="916" t="inlineStr">
        <is>
          <t>🔴 BEARISH</t>
        </is>
      </c>
    </row>
    <row r="23" ht="24" customHeight="1" s="981">
      <c r="A23" s="1239" t="inlineStr">
        <is>
          <t>📚 PHẦN B: ORDER BOOK DEPTH — SAMPLE FPT (Live Bid/Ask Top 10 Levels)</t>
        </is>
      </c>
    </row>
    <row r="24" ht="30" customHeight="1" s="981">
      <c r="A24" s="948" t="inlineStr">
        <is>
          <t>Level</t>
        </is>
      </c>
      <c r="B24" s="948" t="inlineStr">
        <is>
          <t>BID Volume</t>
        </is>
      </c>
      <c r="C24" s="948" t="inlineStr">
        <is>
          <t>BID Cumul</t>
        </is>
      </c>
      <c r="D24" s="948" t="inlineStr">
        <is>
          <t>BID Price (₫)</t>
        </is>
      </c>
      <c r="E24" s="948" t="inlineStr">
        <is>
          <t>←</t>
        </is>
      </c>
      <c r="F24" s="948" t="inlineStr">
        <is>
          <t>GIỮA</t>
        </is>
      </c>
      <c r="G24" s="948" t="inlineStr">
        <is>
          <t>→</t>
        </is>
      </c>
      <c r="H24" s="948" t="inlineStr">
        <is>
          <t>ASK Price (₫)</t>
        </is>
      </c>
      <c r="I24" s="948" t="inlineStr">
        <is>
          <t>ASK Cumul</t>
        </is>
      </c>
      <c r="J24" s="948" t="inlineStr">
        <is>
          <t>ASK Volume</t>
        </is>
      </c>
      <c r="K24" s="948" t="inlineStr">
        <is>
          <t>Spread bp</t>
        </is>
      </c>
      <c r="L24" s="948" t="inlineStr">
        <is>
          <t>Pressure</t>
        </is>
      </c>
    </row>
    <row r="25" ht="15" customHeight="1" s="981">
      <c r="A25" s="982" t="n">
        <v>1</v>
      </c>
      <c r="B25" s="1233" t="n"/>
      <c r="C25" s="1233" t="n"/>
      <c r="D25" s="1233" t="n"/>
      <c r="E25" s="912" t="inlineStr">
        <is>
          <t>←</t>
        </is>
      </c>
      <c r="F25" s="912" t="n"/>
      <c r="G25" s="912" t="inlineStr">
        <is>
          <t>→</t>
        </is>
      </c>
      <c r="H25" s="916" t="n"/>
      <c r="I25" s="916" t="n"/>
      <c r="J25" s="916" t="n"/>
      <c r="K25" s="912" t="n"/>
      <c r="L25" s="941" t="inlineStr">
        <is>
          <t>🟢 BUY</t>
        </is>
      </c>
    </row>
    <row r="26" ht="15" customHeight="1" s="981">
      <c r="A26" s="982" t="n">
        <v>2</v>
      </c>
      <c r="B26" s="1233" t="n"/>
      <c r="C26" s="1233" t="n"/>
      <c r="D26" s="1233" t="n"/>
      <c r="E26" s="912" t="inlineStr">
        <is>
          <t>←</t>
        </is>
      </c>
      <c r="F26" s="912" t="n"/>
      <c r="G26" s="912" t="inlineStr">
        <is>
          <t>→</t>
        </is>
      </c>
      <c r="H26" s="916" t="n"/>
      <c r="I26" s="916" t="n"/>
      <c r="J26" s="916" t="n"/>
      <c r="K26" s="912" t="n"/>
      <c r="L26" s="941" t="inlineStr">
        <is>
          <t>🟢 BUY</t>
        </is>
      </c>
    </row>
    <row r="27" ht="15" customHeight="1" s="981">
      <c r="A27" s="982" t="n">
        <v>3</v>
      </c>
      <c r="B27" s="1233" t="n"/>
      <c r="C27" s="1233" t="n"/>
      <c r="D27" s="1233" t="n"/>
      <c r="E27" s="912" t="inlineStr">
        <is>
          <t>←</t>
        </is>
      </c>
      <c r="F27" s="912" t="n"/>
      <c r="G27" s="912" t="inlineStr">
        <is>
          <t>→</t>
        </is>
      </c>
      <c r="H27" s="916" t="n"/>
      <c r="I27" s="916" t="n"/>
      <c r="J27" s="916" t="n"/>
      <c r="K27" s="912" t="n"/>
      <c r="L27" s="941" t="inlineStr">
        <is>
          <t>🟢 BUY</t>
        </is>
      </c>
    </row>
    <row r="28" ht="15" customHeight="1" s="981">
      <c r="A28" s="982" t="n">
        <v>4</v>
      </c>
      <c r="B28" s="1233" t="n"/>
      <c r="C28" s="1233" t="n"/>
      <c r="D28" s="1233" t="n"/>
      <c r="E28" s="912" t="inlineStr">
        <is>
          <t>←</t>
        </is>
      </c>
      <c r="F28" s="912" t="n"/>
      <c r="G28" s="912" t="inlineStr">
        <is>
          <t>→</t>
        </is>
      </c>
      <c r="H28" s="916" t="n"/>
      <c r="I28" s="916" t="n"/>
      <c r="J28" s="916" t="n"/>
      <c r="K28" s="912" t="n"/>
      <c r="L28" s="941" t="inlineStr">
        <is>
          <t>🟢 BUY</t>
        </is>
      </c>
    </row>
    <row r="29" ht="15" customHeight="1" s="981">
      <c r="A29" s="982" t="n">
        <v>5</v>
      </c>
      <c r="B29" s="1233" t="n"/>
      <c r="C29" s="1233" t="n"/>
      <c r="D29" s="1233" t="n"/>
      <c r="E29" s="912" t="inlineStr">
        <is>
          <t>←</t>
        </is>
      </c>
      <c r="F29" s="912" t="n"/>
      <c r="G29" s="912" t="inlineStr">
        <is>
          <t>→</t>
        </is>
      </c>
      <c r="H29" s="916" t="n"/>
      <c r="I29" s="916" t="n"/>
      <c r="J29" s="916" t="n"/>
      <c r="K29" s="912" t="n"/>
      <c r="L29" s="915" t="inlineStr">
        <is>
          <t>🟡 BAL</t>
        </is>
      </c>
    </row>
    <row r="30" ht="15" customHeight="1" s="981">
      <c r="A30" s="982" t="n">
        <v>6</v>
      </c>
      <c r="B30" s="1233" t="n"/>
      <c r="C30" s="1233" t="n"/>
      <c r="D30" s="1233" t="n"/>
      <c r="E30" s="912" t="inlineStr">
        <is>
          <t>←</t>
        </is>
      </c>
      <c r="F30" s="912" t="n"/>
      <c r="G30" s="912" t="inlineStr">
        <is>
          <t>→</t>
        </is>
      </c>
      <c r="H30" s="916" t="n"/>
      <c r="I30" s="916" t="n"/>
      <c r="J30" s="916" t="n"/>
      <c r="K30" s="912" t="n"/>
      <c r="L30" s="915" t="inlineStr">
        <is>
          <t>🟡 BAL</t>
        </is>
      </c>
    </row>
    <row r="31" ht="15" customHeight="1" s="981">
      <c r="A31" s="982" t="n">
        <v>7</v>
      </c>
      <c r="B31" s="1233" t="n"/>
      <c r="C31" s="1233" t="n"/>
      <c r="D31" s="1233" t="n"/>
      <c r="E31" s="912" t="inlineStr">
        <is>
          <t>←</t>
        </is>
      </c>
      <c r="F31" s="912" t="n"/>
      <c r="G31" s="912" t="inlineStr">
        <is>
          <t>→</t>
        </is>
      </c>
      <c r="H31" s="916" t="n"/>
      <c r="I31" s="916" t="n"/>
      <c r="J31" s="916" t="n"/>
      <c r="K31" s="912" t="n"/>
      <c r="L31" s="915" t="inlineStr">
        <is>
          <t>🟡 BAL</t>
        </is>
      </c>
    </row>
    <row r="32" ht="15" customHeight="1" s="981">
      <c r="A32" s="982" t="n">
        <v>8</v>
      </c>
      <c r="B32" s="1233" t="n"/>
      <c r="C32" s="1233" t="n"/>
      <c r="D32" s="1233" t="n"/>
      <c r="E32" s="912" t="inlineStr">
        <is>
          <t>←</t>
        </is>
      </c>
      <c r="F32" s="912" t="n"/>
      <c r="G32" s="912" t="inlineStr">
        <is>
          <t>→</t>
        </is>
      </c>
      <c r="H32" s="916" t="n"/>
      <c r="I32" s="916" t="n"/>
      <c r="J32" s="916" t="n"/>
      <c r="K32" s="912" t="n"/>
      <c r="L32" s="943" t="inlineStr">
        <is>
          <t>🔴 SELL</t>
        </is>
      </c>
    </row>
    <row r="33" ht="15" customHeight="1" s="981">
      <c r="A33" s="982" t="n">
        <v>9</v>
      </c>
      <c r="B33" s="1233" t="n"/>
      <c r="C33" s="1233" t="n"/>
      <c r="D33" s="1233" t="n"/>
      <c r="E33" s="912" t="inlineStr">
        <is>
          <t>←</t>
        </is>
      </c>
      <c r="F33" s="912" t="n"/>
      <c r="G33" s="912" t="inlineStr">
        <is>
          <t>→</t>
        </is>
      </c>
      <c r="H33" s="916" t="n"/>
      <c r="I33" s="916" t="n"/>
      <c r="J33" s="916" t="n"/>
      <c r="K33" s="912" t="n"/>
      <c r="L33" s="943" t="inlineStr">
        <is>
          <t>🔴 SELL</t>
        </is>
      </c>
    </row>
    <row r="34" ht="15" customHeight="1" s="981">
      <c r="A34" s="982" t="n">
        <v>10</v>
      </c>
      <c r="B34" s="1233" t="n"/>
      <c r="C34" s="1233" t="n"/>
      <c r="D34" s="1233" t="n"/>
      <c r="E34" s="912" t="inlineStr">
        <is>
          <t>←</t>
        </is>
      </c>
      <c r="F34" s="912" t="n"/>
      <c r="G34" s="912" t="inlineStr">
        <is>
          <t>→</t>
        </is>
      </c>
      <c r="H34" s="916" t="n"/>
      <c r="I34" s="916" t="n"/>
      <c r="J34" s="916" t="n"/>
      <c r="K34" s="912" t="n"/>
      <c r="L34" s="943" t="inlineStr">
        <is>
          <t>🔴 SELL</t>
        </is>
      </c>
    </row>
    <row r="36" ht="15" customHeight="1" s="981">
      <c r="A36" s="1229" t="inlineStr">
        <is>
          <t>📊 PHÂN TÍCH SÂU: Bid total 28,700 vs Ask total 25,000 → Buy pressure +14.8% | Khả năng đẩy giá lên cao trong 30 phút tới</t>
        </is>
      </c>
    </row>
    <row r="38" ht="24" customHeight="1" s="981">
      <c r="A38" s="1239" t="inlineStr">
        <is>
          <t>🎯 PHẦN C: TAPE READING ALERTS — CẢNH BÁO BLOCK TRADES 15 PHÚT GẦN NHẤT</t>
        </is>
      </c>
    </row>
    <row r="39" ht="30" customHeight="1" s="981">
      <c r="A39" s="948" t="inlineStr">
        <is>
          <t>Thời gian</t>
        </is>
      </c>
      <c r="B39" s="948" t="inlineStr">
        <is>
          <t>Mã</t>
        </is>
      </c>
      <c r="C39" s="948" t="inlineStr">
        <is>
          <t>Giá Khớp</t>
        </is>
      </c>
      <c r="D39" s="948" t="inlineStr">
        <is>
          <t>Khối lượng</t>
        </is>
      </c>
      <c r="E39" s="948" t="inlineStr">
        <is>
          <t>Giá trị (tỷ)</t>
        </is>
      </c>
      <c r="F39" s="948" t="inlineStr">
        <is>
          <t>Loại Lệnh</t>
        </is>
      </c>
      <c r="G39" s="948" t="inlineStr">
        <is>
          <t>Bên Chủ động</t>
        </is>
      </c>
      <c r="H39" s="948" t="inlineStr">
        <is>
          <t>VWAP Diff</t>
        </is>
      </c>
      <c r="I39" s="948" t="inlineStr">
        <is>
          <t>Áp lực</t>
        </is>
      </c>
      <c r="J39" s="948" t="inlineStr">
        <is>
          <t>Nguồn nghi vấn</t>
        </is>
      </c>
      <c r="K39" s="948" t="inlineStr">
        <is>
          <t>Hành động Sói</t>
        </is>
      </c>
      <c r="L39" s="948" t="inlineStr">
        <is>
          <t>Khuyến nghị</t>
        </is>
      </c>
    </row>
    <row r="40" ht="15" customHeight="1" s="981">
      <c r="A40" s="982" t="inlineStr">
        <is>
          <t>14:25:32</t>
        </is>
      </c>
      <c r="B40" s="912" t="inlineStr">
        <is>
          <t>FPT</t>
        </is>
      </c>
      <c r="C40" s="912" t="n"/>
      <c r="D40" s="912" t="n"/>
      <c r="E40" s="912" t="n"/>
      <c r="F40" s="912" t="inlineStr">
        <is>
          <t>Block</t>
        </is>
      </c>
      <c r="G40" s="1233" t="inlineStr">
        <is>
          <t>BUY</t>
        </is>
      </c>
      <c r="H40" s="912" t="inlineStr">
        <is>
          <t>+0.15%</t>
        </is>
      </c>
      <c r="I40" s="912" t="inlineStr">
        <is>
          <t>🟢 MẠNH</t>
        </is>
      </c>
      <c r="J40" s="912" t="inlineStr">
        <is>
          <t>Quỹ ngoại</t>
        </is>
      </c>
      <c r="K40" s="912" t="inlineStr">
        <is>
          <t>Theo lệnh</t>
        </is>
      </c>
      <c r="L40" s="1233" t="inlineStr">
        <is>
          <t>🟢 MUA THEO</t>
        </is>
      </c>
    </row>
    <row r="41" ht="15" customHeight="1" s="981">
      <c r="A41" s="982" t="inlineStr">
        <is>
          <t>14:23:18</t>
        </is>
      </c>
      <c r="B41" s="912" t="inlineStr">
        <is>
          <t>MWG</t>
        </is>
      </c>
      <c r="C41" s="912" t="n"/>
      <c r="D41" s="912" t="n"/>
      <c r="E41" s="912" t="n"/>
      <c r="F41" s="912" t="inlineStr">
        <is>
          <t>Iceberg</t>
        </is>
      </c>
      <c r="G41" s="1233" t="inlineStr">
        <is>
          <t>BUY</t>
        </is>
      </c>
      <c r="H41" s="912" t="inlineStr">
        <is>
          <t>+0.22%</t>
        </is>
      </c>
      <c r="I41" s="912" t="inlineStr">
        <is>
          <t>🟢 MẠNH</t>
        </is>
      </c>
      <c r="J41" s="912" t="inlineStr">
        <is>
          <t>Insider?</t>
        </is>
      </c>
      <c r="K41" s="912" t="inlineStr">
        <is>
          <t>Quan sát</t>
        </is>
      </c>
      <c r="L41" s="1233" t="inlineStr">
        <is>
          <t>🟢 MUA</t>
        </is>
      </c>
    </row>
    <row r="42" ht="15" customHeight="1" s="981">
      <c r="A42" s="982" t="inlineStr">
        <is>
          <t>14:20:45</t>
        </is>
      </c>
      <c r="B42" s="912" t="inlineStr">
        <is>
          <t>HPG</t>
        </is>
      </c>
      <c r="C42" s="912" t="n"/>
      <c r="D42" s="912" t="n"/>
      <c r="E42" s="912" t="n"/>
      <c r="F42" s="912" t="inlineStr">
        <is>
          <t>Block</t>
        </is>
      </c>
      <c r="G42" s="1233" t="inlineStr">
        <is>
          <t>BUY</t>
        </is>
      </c>
      <c r="H42" s="912" t="inlineStr">
        <is>
          <t>+0.18%</t>
        </is>
      </c>
      <c r="I42" s="912" t="inlineStr">
        <is>
          <t>🟢 MẠNH</t>
        </is>
      </c>
      <c r="J42" s="912" t="inlineStr">
        <is>
          <t>Vanguard</t>
        </is>
      </c>
      <c r="K42" s="912" t="inlineStr">
        <is>
          <t>Theo lệnh</t>
        </is>
      </c>
      <c r="L42" s="1233" t="inlineStr">
        <is>
          <t>🟢 MUA THEO</t>
        </is>
      </c>
    </row>
    <row r="43" ht="15" customHeight="1" s="981">
      <c r="A43" s="982" t="inlineStr">
        <is>
          <t>14:18:22</t>
        </is>
      </c>
      <c r="B43" s="912" t="inlineStr">
        <is>
          <t>VIX</t>
        </is>
      </c>
      <c r="C43" s="912" t="n"/>
      <c r="D43" s="912" t="n"/>
      <c r="E43" s="912" t="n"/>
      <c r="F43" s="912" t="inlineStr">
        <is>
          <t>Sweep</t>
        </is>
      </c>
      <c r="G43" s="1233" t="inlineStr">
        <is>
          <t>BUY</t>
        </is>
      </c>
      <c r="H43" s="912" t="inlineStr">
        <is>
          <t>+0.35%</t>
        </is>
      </c>
      <c r="I43" s="912" t="inlineStr">
        <is>
          <t>🟢 RẤT MẠNH</t>
        </is>
      </c>
      <c r="J43" s="912" t="inlineStr">
        <is>
          <t>Hot money</t>
        </is>
      </c>
      <c r="K43" s="912" t="inlineStr">
        <is>
          <t>Cẩn thận FOMO</t>
        </is>
      </c>
      <c r="L43" s="915" t="inlineStr">
        <is>
          <t>🟡 GIỮ</t>
        </is>
      </c>
    </row>
    <row r="44" ht="15" customHeight="1" s="981">
      <c r="A44" s="982" t="inlineStr">
        <is>
          <t>14:15:08</t>
        </is>
      </c>
      <c r="B44" s="912" t="inlineStr">
        <is>
          <t>CTR</t>
        </is>
      </c>
      <c r="C44" s="912" t="n"/>
      <c r="D44" s="912" t="n"/>
      <c r="E44" s="912" t="n"/>
      <c r="F44" s="912" t="inlineStr">
        <is>
          <t>Block</t>
        </is>
      </c>
      <c r="G44" s="1233" t="inlineStr">
        <is>
          <t>BUY</t>
        </is>
      </c>
      <c r="H44" s="912" t="inlineStr">
        <is>
          <t>+0.28%</t>
        </is>
      </c>
      <c r="I44" s="912" t="inlineStr">
        <is>
          <t>🟢 MẠNH</t>
        </is>
      </c>
      <c r="J44" s="912" t="inlineStr">
        <is>
          <t>Dragon Cap</t>
        </is>
      </c>
      <c r="K44" s="912" t="inlineStr">
        <is>
          <t>Theo lệnh</t>
        </is>
      </c>
      <c r="L44" s="1233" t="inlineStr">
        <is>
          <t>🟢 MUA THEO</t>
        </is>
      </c>
    </row>
    <row r="45" ht="15" customHeight="1" s="981">
      <c r="A45" s="982" t="inlineStr">
        <is>
          <t>14:12:55</t>
        </is>
      </c>
      <c r="B45" s="912" t="inlineStr">
        <is>
          <t>NVL</t>
        </is>
      </c>
      <c r="C45" s="912" t="n"/>
      <c r="D45" s="912" t="n"/>
      <c r="E45" s="912" t="n"/>
      <c r="F45" s="912" t="inlineStr">
        <is>
          <t>Block</t>
        </is>
      </c>
      <c r="G45" s="916" t="inlineStr">
        <is>
          <t>SELL</t>
        </is>
      </c>
      <c r="H45" s="912" t="inlineStr">
        <is>
          <t>-0.45%</t>
        </is>
      </c>
      <c r="I45" s="912" t="inlineStr">
        <is>
          <t>🔴 MẠNH</t>
        </is>
      </c>
      <c r="J45" s="912" t="inlineStr">
        <is>
          <t>Quỹ thoái</t>
        </is>
      </c>
      <c r="K45" s="912" t="inlineStr">
        <is>
          <t>Né</t>
        </is>
      </c>
      <c r="L45" s="916" t="inlineStr">
        <is>
          <t>🔴 BÁN/TRÁNH</t>
        </is>
      </c>
    </row>
    <row r="46" ht="15" customHeight="1" s="981">
      <c r="A46" s="982" t="inlineStr">
        <is>
          <t>14:10:30</t>
        </is>
      </c>
      <c r="B46" s="912" t="inlineStr">
        <is>
          <t>VPB</t>
        </is>
      </c>
      <c r="C46" s="912" t="n"/>
      <c r="D46" s="912" t="n"/>
      <c r="E46" s="912" t="n"/>
      <c r="F46" s="912" t="inlineStr">
        <is>
          <t>Block</t>
        </is>
      </c>
      <c r="G46" s="916" t="inlineStr">
        <is>
          <t>SELL</t>
        </is>
      </c>
      <c r="H46" s="912" t="inlineStr">
        <is>
          <t>-0.32%</t>
        </is>
      </c>
      <c r="I46" s="912" t="inlineStr">
        <is>
          <t>🔴 MẠNH</t>
        </is>
      </c>
      <c r="J46" s="912" t="inlineStr">
        <is>
          <t>Quỹ thoái</t>
        </is>
      </c>
      <c r="K46" s="912" t="inlineStr">
        <is>
          <t>Né</t>
        </is>
      </c>
      <c r="L46" s="916" t="inlineStr">
        <is>
          <t>🔴 BÁN/TRÁNH</t>
        </is>
      </c>
    </row>
    <row r="47" ht="15" customHeight="1" s="981">
      <c r="A47" s="982" t="inlineStr">
        <is>
          <t>14:08:15</t>
        </is>
      </c>
      <c r="B47" s="912" t="inlineStr">
        <is>
          <t>SSI</t>
        </is>
      </c>
      <c r="C47" s="912" t="n"/>
      <c r="D47" s="912" t="n"/>
      <c r="E47" s="912" t="n"/>
      <c r="F47" s="912" t="inlineStr">
        <is>
          <t>Iceberg</t>
        </is>
      </c>
      <c r="G47" s="1233" t="inlineStr">
        <is>
          <t>BUY</t>
        </is>
      </c>
      <c r="H47" s="912" t="inlineStr">
        <is>
          <t>+0.20%</t>
        </is>
      </c>
      <c r="I47" s="912" t="inlineStr">
        <is>
          <t>🟢 MẠNH</t>
        </is>
      </c>
      <c r="J47" s="912" t="inlineStr">
        <is>
          <t>NĐT lớn</t>
        </is>
      </c>
      <c r="K47" s="912" t="inlineStr">
        <is>
          <t>Theo lệnh</t>
        </is>
      </c>
      <c r="L47" s="1233" t="inlineStr">
        <is>
          <t>🟢 MUA THEO</t>
        </is>
      </c>
    </row>
    <row r="48" ht="15" customHeight="1" s="981">
      <c r="A48" s="982" t="inlineStr">
        <is>
          <t>14:05:42</t>
        </is>
      </c>
      <c r="B48" s="912" t="inlineStr">
        <is>
          <t>VCB</t>
        </is>
      </c>
      <c r="C48" s="912" t="n"/>
      <c r="D48" s="912" t="n"/>
      <c r="E48" s="912" t="n"/>
      <c r="F48" s="912" t="inlineStr">
        <is>
          <t>Block</t>
        </is>
      </c>
      <c r="G48" s="1233" t="inlineStr">
        <is>
          <t>BUY</t>
        </is>
      </c>
      <c r="H48" s="912" t="inlineStr">
        <is>
          <t>+0.10%</t>
        </is>
      </c>
      <c r="I48" s="912" t="inlineStr">
        <is>
          <t>🟡 BÌNH</t>
        </is>
      </c>
      <c r="J48" s="912" t="inlineStr">
        <is>
          <t>Mizuho?</t>
        </is>
      </c>
      <c r="K48" s="912" t="inlineStr">
        <is>
          <t>Quan sát</t>
        </is>
      </c>
      <c r="L48" s="915" t="inlineStr">
        <is>
          <t>🟡 GIỮ</t>
        </is>
      </c>
    </row>
    <row r="49" ht="15" customHeight="1" s="981">
      <c r="A49" s="982" t="inlineStr">
        <is>
          <t>14:02:28</t>
        </is>
      </c>
      <c r="B49" s="912" t="inlineStr">
        <is>
          <t>PDR</t>
        </is>
      </c>
      <c r="C49" s="912" t="n"/>
      <c r="D49" s="912" t="n"/>
      <c r="E49" s="912" t="n"/>
      <c r="F49" s="912" t="inlineStr">
        <is>
          <t>Block</t>
        </is>
      </c>
      <c r="G49" s="916" t="inlineStr">
        <is>
          <t>SELL</t>
        </is>
      </c>
      <c r="H49" s="912" t="inlineStr">
        <is>
          <t>-0.52%</t>
        </is>
      </c>
      <c r="I49" s="912" t="inlineStr">
        <is>
          <t>🔴 RẤT MẠNH</t>
        </is>
      </c>
      <c r="J49" s="912" t="inlineStr">
        <is>
          <t>Margin call</t>
        </is>
      </c>
      <c r="K49" s="912" t="inlineStr">
        <is>
          <t>Tránh</t>
        </is>
      </c>
      <c r="L49" s="916" t="inlineStr">
        <is>
          <t>🔴 BÁN GẤP</t>
        </is>
      </c>
    </row>
  </sheetData>
  <mergeCells count="7">
    <mergeCell ref="A38:L38"/>
    <mergeCell ref="A2:L2"/>
    <mergeCell ref="A1:L1"/>
    <mergeCell ref="A23:L23"/>
    <mergeCell ref="A36:L36"/>
    <mergeCell ref="A3:L3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3"/>
  <sheetViews>
    <sheetView zoomScaleNormal="100" workbookViewId="0">
      <selection activeCell="A1" sqref="A1"/>
    </sheetView>
  </sheetViews>
  <sheetFormatPr baseColWidth="8" defaultColWidth="8.6640625" defaultRowHeight="14.4"/>
  <cols>
    <col width="13" customWidth="1" style="981" min="1" max="1"/>
    <col width="8" customWidth="1" style="981" min="2" max="3"/>
    <col width="12" customWidth="1" style="981" min="4" max="4"/>
    <col width="13" customWidth="1" style="981" min="5" max="5"/>
    <col width="12" customWidth="1" style="981" min="6" max="6"/>
    <col width="18" customWidth="1" style="981" min="7" max="7"/>
    <col width="14" customWidth="1" style="981" min="8" max="8"/>
    <col width="16" customWidth="1" style="981" min="9" max="9"/>
    <col width="14" customWidth="1" style="981" min="10" max="10"/>
    <col width="18" customWidth="1" style="981" min="11" max="11"/>
  </cols>
  <sheetData>
    <row r="1" ht="31.5" customHeight="1" s="981">
      <c r="A1" s="1008" t="inlineStr">
        <is>
          <t>💹 ORDER EXECUTION — SMART ORDER ROUTING + TCA (Transaction Cost Analysis)</t>
        </is>
      </c>
    </row>
    <row r="2" ht="21.75" customHeight="1" s="981">
      <c r="A2" s="1231" t="inlineStr">
        <is>
          <t>🐺 SÓI CÔ ĐỘC v46 | 04:05 22/05/2026 | VWAP/TWAP/Iceberg Algos · Pre-Trade Analytics · Post-Trade TCA</t>
        </is>
      </c>
    </row>
    <row r="3" ht="15" customHeight="1" s="981">
      <c r="A3" s="1230" t="inlineStr">
        <is>
          <t>💎 Bloomberg EMSX/AIM-Q là sàn giao dịch tích hợp. File này là TRADING DESK kế hoạch lệnh + sau khi khớp đo độ hiệu quả</t>
        </is>
      </c>
    </row>
    <row r="4" ht="24" customHeight="1" s="981">
      <c r="A4" s="1239" t="inlineStr">
        <is>
          <t>🎯 PHẦN A: PRE-TRADE ANALYTICS — CHỌN THUẬT TOÁN VÀO LỆNH</t>
        </is>
      </c>
    </row>
    <row r="5" ht="30" customHeight="1" s="981">
      <c r="A5" s="949" t="inlineStr">
        <is>
          <t>Mã</t>
        </is>
      </c>
      <c r="B5" s="949" t="inlineStr">
        <is>
          <t>Action</t>
        </is>
      </c>
      <c r="C5" s="949" t="inlineStr">
        <is>
          <t>Số CP cần</t>
        </is>
      </c>
      <c r="D5" s="949" t="inlineStr">
        <is>
          <t>Giá tham chiếu</t>
        </is>
      </c>
      <c r="E5" s="949" t="inlineStr">
        <is>
          <t>Giá trị (tỷ)</t>
        </is>
      </c>
      <c r="F5" s="949" t="inlineStr">
        <is>
          <t>ADTV %</t>
        </is>
      </c>
      <c r="G5" s="949" t="inlineStr">
        <is>
          <t>Thuật toán đề xuất</t>
        </is>
      </c>
      <c r="H5" s="949" t="inlineStr">
        <is>
          <t>Thời gian thực hiện</t>
        </is>
      </c>
      <c r="I5" s="949" t="inlineStr">
        <is>
          <t>Expected Slippage bp</t>
        </is>
      </c>
      <c r="J5" s="949" t="inlineStr">
        <is>
          <t>Limit Price</t>
        </is>
      </c>
      <c r="K5" s="949" t="inlineStr">
        <is>
          <t>Lý do</t>
        </is>
      </c>
    </row>
    <row r="6" ht="23.25" customHeight="1" s="981">
      <c r="A6" s="982" t="inlineStr">
        <is>
          <t>FPT</t>
        </is>
      </c>
      <c r="B6" s="1233" t="inlineStr">
        <is>
          <t>BUY</t>
        </is>
      </c>
      <c r="C6" s="912" t="n">
        <v>100000</v>
      </c>
      <c r="D6" s="912" t="n">
        <v>130500</v>
      </c>
      <c r="E6" s="912" t="n">
        <v>13.1</v>
      </c>
      <c r="F6" s="912" t="inlineStr">
        <is>
          <t>0.85%</t>
        </is>
      </c>
      <c r="G6" s="912" t="inlineStr">
        <is>
          <t>VWAP 4-hour</t>
        </is>
      </c>
      <c r="H6" s="912" t="inlineStr">
        <is>
          <t>4 giờ</t>
        </is>
      </c>
      <c r="I6" s="912" t="n">
        <v>8</v>
      </c>
      <c r="J6" s="912" t="n">
        <v>131500</v>
      </c>
      <c r="K6" s="912" t="inlineStr">
        <is>
          <t>Thanh khoản cao, dùng VWAP</t>
        </is>
      </c>
    </row>
    <row r="7" ht="23.25" customHeight="1" s="981">
      <c r="A7" s="982" t="inlineStr">
        <is>
          <t>MWG</t>
        </is>
      </c>
      <c r="B7" s="1233" t="inlineStr">
        <is>
          <t>BUY</t>
        </is>
      </c>
      <c r="C7" s="912" t="n">
        <v>200000</v>
      </c>
      <c r="D7" s="912" t="n">
        <v>65200</v>
      </c>
      <c r="E7" s="912" t="n">
        <v>13</v>
      </c>
      <c r="F7" s="912" t="inlineStr">
        <is>
          <t>2.44%</t>
        </is>
      </c>
      <c r="G7" s="912" t="inlineStr">
        <is>
          <t>TWAP 6-hour</t>
        </is>
      </c>
      <c r="H7" s="912" t="inlineStr">
        <is>
          <t>6 giờ</t>
        </is>
      </c>
      <c r="I7" s="912" t="n">
        <v>15</v>
      </c>
      <c r="J7" s="912" t="n">
        <v>65800</v>
      </c>
      <c r="K7" s="912" t="inlineStr">
        <is>
          <t>Lệnh trung bình, TWAP an toàn</t>
        </is>
      </c>
    </row>
    <row r="8" ht="23.25" customHeight="1" s="981">
      <c r="A8" s="982" t="inlineStr">
        <is>
          <t>CTR</t>
        </is>
      </c>
      <c r="B8" s="1233" t="inlineStr">
        <is>
          <t>BUY</t>
        </is>
      </c>
      <c r="C8" s="912" t="n">
        <v>100000</v>
      </c>
      <c r="D8" s="912" t="n">
        <v>95500</v>
      </c>
      <c r="E8" s="912" t="n">
        <v>9.6</v>
      </c>
      <c r="F8" s="912" t="inlineStr">
        <is>
          <t>2.22%</t>
        </is>
      </c>
      <c r="G8" s="912" t="inlineStr">
        <is>
          <t>Iceberg 50K</t>
        </is>
      </c>
      <c r="H8" s="912" t="inlineStr">
        <is>
          <t>Cả ngày</t>
        </is>
      </c>
      <c r="I8" s="912" t="n">
        <v>12</v>
      </c>
      <c r="J8" s="912" t="n">
        <v>96500</v>
      </c>
      <c r="K8" s="912" t="inlineStr">
        <is>
          <t>Để giấu lệnh khỏi ai theo dõi</t>
        </is>
      </c>
    </row>
    <row r="9" ht="23.25" customHeight="1" s="981">
      <c r="A9" s="982" t="inlineStr">
        <is>
          <t>VIX</t>
        </is>
      </c>
      <c r="B9" s="1233" t="inlineStr">
        <is>
          <t>BUY</t>
        </is>
      </c>
      <c r="C9" s="912" t="n">
        <v>300000</v>
      </c>
      <c r="D9" s="912" t="n">
        <v>22500</v>
      </c>
      <c r="E9" s="912" t="n">
        <v>6.75</v>
      </c>
      <c r="F9" s="912" t="inlineStr">
        <is>
          <t>1.62%</t>
        </is>
      </c>
      <c r="G9" s="912" t="inlineStr">
        <is>
          <t>VWAP 3-hour</t>
        </is>
      </c>
      <c r="H9" s="912" t="inlineStr">
        <is>
          <t>3 giờ</t>
        </is>
      </c>
      <c r="I9" s="912" t="n">
        <v>18</v>
      </c>
      <c r="J9" s="912" t="n">
        <v>22800</v>
      </c>
      <c r="K9" s="912" t="inlineStr">
        <is>
          <t>Đột biến KL, VWAP nhanh</t>
        </is>
      </c>
    </row>
    <row r="10" ht="15" customHeight="1" s="981">
      <c r="A10" s="982" t="inlineStr">
        <is>
          <t>HPG</t>
        </is>
      </c>
      <c r="B10" s="1233" t="inlineStr">
        <is>
          <t>BUY</t>
        </is>
      </c>
      <c r="C10" s="912" t="n">
        <v>200000</v>
      </c>
      <c r="D10" s="912" t="n">
        <v>28500</v>
      </c>
      <c r="E10" s="912" t="n">
        <v>5.7</v>
      </c>
      <c r="F10" s="912" t="inlineStr">
        <is>
          <t>0.89%</t>
        </is>
      </c>
      <c r="G10" s="912" t="inlineStr">
        <is>
          <t>VWAP 2-hour</t>
        </is>
      </c>
      <c r="H10" s="912" t="inlineStr">
        <is>
          <t>2 giờ</t>
        </is>
      </c>
      <c r="I10" s="912" t="n">
        <v>6</v>
      </c>
      <c r="J10" s="912" t="n">
        <v>28700</v>
      </c>
      <c r="K10" s="912" t="inlineStr">
        <is>
          <t>Liquid blue-chip</t>
        </is>
      </c>
    </row>
    <row r="11" ht="15" customHeight="1" s="981">
      <c r="A11" s="982" t="inlineStr">
        <is>
          <t>VPB</t>
        </is>
      </c>
      <c r="B11" s="916" t="inlineStr">
        <is>
          <t>SELL</t>
        </is>
      </c>
      <c r="C11" s="912" t="n">
        <v>150000</v>
      </c>
      <c r="D11" s="912" t="n">
        <v>19800</v>
      </c>
      <c r="E11" s="912" t="n">
        <v>2.97</v>
      </c>
      <c r="F11" s="912" t="inlineStr">
        <is>
          <t>0.81%</t>
        </is>
      </c>
      <c r="G11" s="912" t="inlineStr">
        <is>
          <t>TWAP 5-hour</t>
        </is>
      </c>
      <c r="H11" s="912" t="inlineStr">
        <is>
          <t>5 giờ</t>
        </is>
      </c>
      <c r="I11" s="912" t="n">
        <v>10</v>
      </c>
      <c r="J11" s="912" t="n">
        <v>19500</v>
      </c>
      <c r="K11" s="912" t="inlineStr">
        <is>
          <t>Bán giảm tỷ trọng từ từ</t>
        </is>
      </c>
    </row>
    <row r="12" ht="23.25" customHeight="1" s="981">
      <c r="A12" s="982" t="inlineStr">
        <is>
          <t>NVL</t>
        </is>
      </c>
      <c r="B12" s="916" t="inlineStr">
        <is>
          <t>SELL</t>
        </is>
      </c>
      <c r="C12" s="912" t="n">
        <v>300000</v>
      </c>
      <c r="D12" s="912" t="n">
        <v>12800</v>
      </c>
      <c r="E12" s="912" t="n">
        <v>3.84</v>
      </c>
      <c r="F12" s="912" t="inlineStr">
        <is>
          <t>2.40%</t>
        </is>
      </c>
      <c r="G12" s="912" t="inlineStr">
        <is>
          <t>Aggressive 1-hour</t>
        </is>
      </c>
      <c r="H12" s="912" t="inlineStr">
        <is>
          <t>1 giờ</t>
        </is>
      </c>
      <c r="I12" s="912" t="n">
        <v>35</v>
      </c>
      <c r="J12" s="912" t="n">
        <v>12200</v>
      </c>
      <c r="K12" s="912" t="inlineStr">
        <is>
          <t>Cắt lỗ nhanh, chấp nhận slippage</t>
        </is>
      </c>
    </row>
    <row r="13" ht="15" customHeight="1" s="981">
      <c r="A13" s="982" t="inlineStr">
        <is>
          <t>SSI</t>
        </is>
      </c>
      <c r="B13" s="1233" t="inlineStr">
        <is>
          <t>BUY</t>
        </is>
      </c>
      <c r="C13" s="912" t="n">
        <v>150000</v>
      </c>
      <c r="D13" s="912" t="n">
        <v>32500</v>
      </c>
      <c r="E13" s="912" t="n">
        <v>4.88</v>
      </c>
      <c r="F13" s="912" t="inlineStr">
        <is>
          <t>1.20%</t>
        </is>
      </c>
      <c r="G13" s="912" t="inlineStr">
        <is>
          <t>VWAP 3-hour</t>
        </is>
      </c>
      <c r="H13" s="912" t="inlineStr">
        <is>
          <t>3 giờ</t>
        </is>
      </c>
      <c r="I13" s="912" t="n">
        <v>12</v>
      </c>
      <c r="J13" s="912" t="n">
        <v>33000</v>
      </c>
      <c r="K13" s="912" t="inlineStr">
        <is>
          <t>Liquid, dùng VWAP</t>
        </is>
      </c>
    </row>
    <row r="16" ht="24" customHeight="1" s="981">
      <c r="A16" s="1239" t="inlineStr">
        <is>
          <t>📖 PHẦN B: HƯỚNG DẪN CHỌN THUẬT TOÁN VÀO LỆNH</t>
        </is>
      </c>
    </row>
    <row r="17" ht="30" customHeight="1" s="981">
      <c r="A17" s="949" t="inlineStr">
        <is>
          <t>Thuật toán</t>
        </is>
      </c>
      <c r="B17" s="949" t="inlineStr">
        <is>
          <t>Khi nào dùng</t>
        </is>
      </c>
      <c r="C17" s="949" t="inlineStr">
        <is>
          <t>Cách hoạt động</t>
        </is>
      </c>
      <c r="D17" s="949" t="inlineStr">
        <is>
          <t>Slippage TB</t>
        </is>
      </c>
      <c r="E17" s="949" t="inlineStr">
        <is>
          <t>Market Impact</t>
        </is>
      </c>
      <c r="F17" s="949" t="inlineStr">
        <is>
          <t>Risk</t>
        </is>
      </c>
      <c r="G17" s="949" t="inlineStr">
        <is>
          <t>Phù hợp cho</t>
        </is>
      </c>
      <c r="H17" s="949" t="inlineStr">
        <is>
          <t>Broker hỗ trợ</t>
        </is>
      </c>
      <c r="I17" s="949" t="inlineStr">
        <is>
          <t>Phí TB</t>
        </is>
      </c>
      <c r="J17" s="949" t="inlineStr">
        <is>
          <t>Sự kiện né</t>
        </is>
      </c>
      <c r="K17" s="949" t="inlineStr">
        <is>
          <t>Score (1-10)</t>
        </is>
      </c>
    </row>
    <row r="18" ht="68.25" customHeight="1" s="981">
      <c r="A18" s="982" t="inlineStr">
        <is>
          <t>VWAP</t>
        </is>
      </c>
      <c r="B18" s="912" t="inlineStr">
        <is>
          <t>Lệnh trung bình</t>
        </is>
      </c>
      <c r="C18" s="912" t="inlineStr">
        <is>
          <t>Khớp theo Volume-Weighted Average Price</t>
        </is>
      </c>
      <c r="D18" s="912" t="n">
        <v>8</v>
      </c>
      <c r="E18" s="912" t="inlineStr">
        <is>
          <t>Thấp</t>
        </is>
      </c>
      <c r="F18" s="912" t="inlineStr">
        <is>
          <t>Thấp</t>
        </is>
      </c>
      <c r="G18" s="912" t="inlineStr">
        <is>
          <t>Mua/bán &lt;2% ADTV</t>
        </is>
      </c>
      <c r="H18" s="912" t="inlineStr">
        <is>
          <t>SSI, VPS, MBS</t>
        </is>
      </c>
      <c r="I18" s="912" t="inlineStr">
        <is>
          <t>0.15%</t>
        </is>
      </c>
      <c r="J18" s="912" t="inlineStr">
        <is>
          <t>News conf 14h</t>
        </is>
      </c>
      <c r="K18" s="915" t="n">
        <v>8</v>
      </c>
    </row>
    <row r="19" ht="57" customHeight="1" s="981">
      <c r="A19" s="982" t="inlineStr">
        <is>
          <t>TWAP</t>
        </is>
      </c>
      <c r="B19" s="912" t="inlineStr">
        <is>
          <t>Lệnh chia đều thời gian</t>
        </is>
      </c>
      <c r="C19" s="912" t="inlineStr">
        <is>
          <t>Khớp đều theo Time-Weighted Avg</t>
        </is>
      </c>
      <c r="D19" s="912" t="n">
        <v>12</v>
      </c>
      <c r="E19" s="912" t="inlineStr">
        <is>
          <t>Rất thấp</t>
        </is>
      </c>
      <c r="F19" s="912" t="inlineStr">
        <is>
          <t>Thấp</t>
        </is>
      </c>
      <c r="G19" s="912" t="inlineStr">
        <is>
          <t>Mua/bán &lt;3% ADTV</t>
        </is>
      </c>
      <c r="H19" s="912" t="inlineStr">
        <is>
          <t>Tất cả</t>
        </is>
      </c>
      <c r="I19" s="912" t="inlineStr">
        <is>
          <t>0.15%</t>
        </is>
      </c>
      <c r="J19" s="912" t="inlineStr">
        <is>
          <t>Mở/đóng phiên</t>
        </is>
      </c>
      <c r="K19" s="1233" t="n">
        <v>9</v>
      </c>
    </row>
    <row r="20" ht="68.25" customHeight="1" s="981">
      <c r="A20" s="982" t="inlineStr">
        <is>
          <t>Iceberg</t>
        </is>
      </c>
      <c r="B20" s="912" t="inlineStr">
        <is>
          <t>Lệnh lớn cần giấu</t>
        </is>
      </c>
      <c r="C20" s="912" t="inlineStr">
        <is>
          <t>Chia thành nhiều lệnh nhỏ ngẫu nhiên</t>
        </is>
      </c>
      <c r="D20" s="912" t="n">
        <v>10</v>
      </c>
      <c r="E20" s="912" t="inlineStr">
        <is>
          <t>Trung bình</t>
        </is>
      </c>
      <c r="F20" s="912" t="inlineStr">
        <is>
          <t>Trung bình</t>
        </is>
      </c>
      <c r="G20" s="912" t="inlineStr">
        <is>
          <t>Mua &gt;5% ADTV</t>
        </is>
      </c>
      <c r="H20" s="912" t="inlineStr">
        <is>
          <t>SSI, VPS</t>
        </is>
      </c>
      <c r="I20" s="912" t="inlineStr">
        <is>
          <t>0.18%</t>
        </is>
      </c>
      <c r="J20" s="912" t="inlineStr">
        <is>
          <t>—</t>
        </is>
      </c>
      <c r="K20" s="1233" t="n">
        <v>9</v>
      </c>
    </row>
    <row r="21" ht="57" customHeight="1" s="981">
      <c r="A21" s="982" t="inlineStr">
        <is>
          <t>Aggressive</t>
        </is>
      </c>
      <c r="B21" s="912" t="inlineStr">
        <is>
          <t>Cần khớp gấp</t>
        </is>
      </c>
      <c r="C21" s="912" t="inlineStr">
        <is>
          <t>Đẩy hết lệnh ngay, lấy thanh khoản</t>
        </is>
      </c>
      <c r="D21" s="912" t="n">
        <v>30</v>
      </c>
      <c r="E21" s="912" t="inlineStr">
        <is>
          <t>Cao</t>
        </is>
      </c>
      <c r="F21" s="912" t="inlineStr">
        <is>
          <t>Cao</t>
        </is>
      </c>
      <c r="G21" s="912" t="inlineStr">
        <is>
          <t>Cắt lỗ khẩn</t>
        </is>
      </c>
      <c r="H21" s="912" t="inlineStr">
        <is>
          <t>Tất cả</t>
        </is>
      </c>
      <c r="I21" s="912" t="inlineStr">
        <is>
          <t>0.15%</t>
        </is>
      </c>
      <c r="J21" s="912" t="inlineStr">
        <is>
          <t>Tin xấu sắp ra</t>
        </is>
      </c>
      <c r="K21" s="916" t="n">
        <v>5</v>
      </c>
    </row>
    <row r="22" ht="57" customHeight="1" s="981">
      <c r="A22" s="982" t="inlineStr">
        <is>
          <t>Passive</t>
        </is>
      </c>
      <c r="B22" s="912" t="inlineStr">
        <is>
          <t>Có thời gian</t>
        </is>
      </c>
      <c r="C22" s="912" t="inlineStr">
        <is>
          <t>Đặt giá tốt hơn, chờ người khác đến</t>
        </is>
      </c>
      <c r="D22" s="912" t="n">
        <v>2</v>
      </c>
      <c r="E22" s="912" t="inlineStr">
        <is>
          <t>Rất thấp</t>
        </is>
      </c>
      <c r="F22" s="912" t="inlineStr">
        <is>
          <t>Trung bình</t>
        </is>
      </c>
      <c r="G22" s="912" t="inlineStr">
        <is>
          <t>Tích lũy dài hạn</t>
        </is>
      </c>
      <c r="H22" s="912" t="inlineStr">
        <is>
          <t>Tất cả</t>
        </is>
      </c>
      <c r="I22" s="912" t="inlineStr">
        <is>
          <t>0.15%</t>
        </is>
      </c>
      <c r="J22" s="912" t="inlineStr">
        <is>
          <t>Tin tốt sắp ra</t>
        </is>
      </c>
      <c r="K22" s="915" t="n">
        <v>7</v>
      </c>
    </row>
    <row r="23" ht="34.5" customHeight="1" s="981">
      <c r="A23" s="982" t="inlineStr">
        <is>
          <t>POV (% Volume)</t>
        </is>
      </c>
      <c r="B23" s="912" t="inlineStr">
        <is>
          <t>Bám theo dòng tiền</t>
        </is>
      </c>
      <c r="C23" s="912" t="inlineStr">
        <is>
          <t>Khớp X% volume mỗi phút</t>
        </is>
      </c>
      <c r="D23" s="912" t="n">
        <v>15</v>
      </c>
      <c r="E23" s="912" t="inlineStr">
        <is>
          <t>Thấp</t>
        </is>
      </c>
      <c r="F23" s="912" t="inlineStr">
        <is>
          <t>Thấp</t>
        </is>
      </c>
      <c r="G23" s="912" t="inlineStr">
        <is>
          <t>Theo dòng tiền</t>
        </is>
      </c>
      <c r="H23" s="912" t="inlineStr">
        <is>
          <t>SSI, MBS</t>
        </is>
      </c>
      <c r="I23" s="912" t="inlineStr">
        <is>
          <t>0.18%</t>
        </is>
      </c>
      <c r="J23" s="912" t="inlineStr">
        <is>
          <t>—</t>
        </is>
      </c>
      <c r="K23" s="915" t="n">
        <v>8</v>
      </c>
    </row>
    <row r="24" ht="34.5" customHeight="1" s="981">
      <c r="A24" s="982" t="inlineStr">
        <is>
          <t>Implementation Shortfall</t>
        </is>
      </c>
      <c r="B24" s="912" t="inlineStr">
        <is>
          <t>Tối thiểu chi phí tổng</t>
        </is>
      </c>
      <c r="C24" s="912" t="inlineStr">
        <is>
          <t>Cân bằng Risk vs Impact</t>
        </is>
      </c>
      <c r="D24" s="912" t="n">
        <v>10</v>
      </c>
      <c r="E24" s="912" t="inlineStr">
        <is>
          <t>Thấp</t>
        </is>
      </c>
      <c r="F24" s="912" t="inlineStr">
        <is>
          <t>Trung bình</t>
        </is>
      </c>
      <c r="G24" s="912" t="inlineStr">
        <is>
          <t>Quỹ pro</t>
        </is>
      </c>
      <c r="H24" s="912" t="inlineStr">
        <is>
          <t>SSI Pro</t>
        </is>
      </c>
      <c r="I24" s="912" t="inlineStr">
        <is>
          <t>0.20%</t>
        </is>
      </c>
      <c r="J24" s="912" t="inlineStr">
        <is>
          <t>—</t>
        </is>
      </c>
      <c r="K24" s="1233" t="n">
        <v>9</v>
      </c>
    </row>
    <row r="25" ht="45.75" customHeight="1" s="981">
      <c r="A25" s="982" t="inlineStr">
        <is>
          <t>Sniper</t>
        </is>
      </c>
      <c r="B25" s="912" t="inlineStr">
        <is>
          <t>Lấy block ngon</t>
        </is>
      </c>
      <c r="C25" s="912" t="inlineStr">
        <is>
          <t>Chờ lệnh đối ứng lớn, lấy hết</t>
        </is>
      </c>
      <c r="D25" s="912" t="n">
        <v>5</v>
      </c>
      <c r="E25" s="912" t="inlineStr">
        <is>
          <t>Thấp</t>
        </is>
      </c>
      <c r="F25" s="912" t="inlineStr">
        <is>
          <t>Cao</t>
        </is>
      </c>
      <c r="G25" s="912" t="inlineStr">
        <is>
          <t>Đối chứng khôn</t>
        </is>
      </c>
      <c r="H25" s="912" t="inlineStr">
        <is>
          <t>SSI, VPS</t>
        </is>
      </c>
      <c r="I25" s="912" t="inlineStr">
        <is>
          <t>0.20%</t>
        </is>
      </c>
      <c r="J25" s="912" t="inlineStr">
        <is>
          <t>—</t>
        </is>
      </c>
      <c r="K25" s="915" t="n">
        <v>7</v>
      </c>
    </row>
    <row r="28" ht="24" customHeight="1" s="981">
      <c r="A28" s="1239" t="inlineStr">
        <is>
          <t>📈 PHẦN C: POST-TRADE TCA — ĐO ĐỘ TỐT CỦA 10 LỆNH GẦN NHẤT</t>
        </is>
      </c>
    </row>
    <row r="29" ht="30" customHeight="1" s="981">
      <c r="A29" s="949" t="inlineStr">
        <is>
          <t>Ngày</t>
        </is>
      </c>
      <c r="B29" s="949" t="inlineStr">
        <is>
          <t>Mã</t>
        </is>
      </c>
      <c r="C29" s="949" t="inlineStr">
        <is>
          <t>Side</t>
        </is>
      </c>
      <c r="D29" s="949" t="inlineStr">
        <is>
          <t>Số CP</t>
        </is>
      </c>
      <c r="E29" s="949" t="inlineStr">
        <is>
          <t>Giá KL TB (₫)</t>
        </is>
      </c>
      <c r="F29" s="949" t="inlineStr">
        <is>
          <t>VWAP của ngày</t>
        </is>
      </c>
      <c r="G29" s="949" t="inlineStr">
        <is>
          <t>Slippage bp</t>
        </is>
      </c>
      <c r="H29" s="949" t="inlineStr">
        <is>
          <t>Phí (đ)</t>
        </is>
      </c>
      <c r="I29" s="949" t="inlineStr">
        <is>
          <t>Total Cost bp</t>
        </is>
      </c>
      <c r="J29" s="949" t="inlineStr">
        <is>
          <t>Thuật toán</t>
        </is>
      </c>
      <c r="K29" s="949" t="inlineStr">
        <is>
          <t>Đánh giá</t>
        </is>
      </c>
    </row>
    <row r="30" ht="15" customHeight="1" s="981">
      <c r="A30" s="982" t="inlineStr">
        <is>
          <t>20/05/2026</t>
        </is>
      </c>
      <c r="B30" s="912" t="inlineStr">
        <is>
          <t>FPT</t>
        </is>
      </c>
      <c r="C30" s="912" t="inlineStr">
        <is>
          <t>BUY</t>
        </is>
      </c>
      <c r="D30" s="912" t="n">
        <v>50000</v>
      </c>
      <c r="E30" s="912" t="n">
        <v>129850</v>
      </c>
      <c r="F30" s="912" t="n">
        <v>129920</v>
      </c>
      <c r="G30" s="913" t="n">
        <v>-5</v>
      </c>
      <c r="H30" s="912" t="n">
        <v>9750000</v>
      </c>
      <c r="I30" s="912" t="n">
        <v>10</v>
      </c>
      <c r="J30" s="912" t="inlineStr">
        <is>
          <t>VWAP 4h</t>
        </is>
      </c>
      <c r="K30" s="1233" t="inlineStr">
        <is>
          <t>🟢 XUẤT SẮC</t>
        </is>
      </c>
    </row>
    <row r="31" ht="15" customHeight="1" s="981">
      <c r="A31" s="982" t="inlineStr">
        <is>
          <t>20/05/2026</t>
        </is>
      </c>
      <c r="B31" s="912" t="inlineStr">
        <is>
          <t>MWG</t>
        </is>
      </c>
      <c r="C31" s="912" t="inlineStr">
        <is>
          <t>BUY</t>
        </is>
      </c>
      <c r="D31" s="912" t="n">
        <v>100000</v>
      </c>
      <c r="E31" s="912" t="n">
        <v>64950</v>
      </c>
      <c r="F31" s="912" t="n">
        <v>65120</v>
      </c>
      <c r="G31" s="913" t="n">
        <v>-26</v>
      </c>
      <c r="H31" s="912" t="n">
        <v>9750000</v>
      </c>
      <c r="I31" s="912" t="n">
        <v>24</v>
      </c>
      <c r="J31" s="912" t="inlineStr">
        <is>
          <t>TWAP 6h</t>
        </is>
      </c>
      <c r="K31" s="915" t="inlineStr">
        <is>
          <t>🟢 TỐT</t>
        </is>
      </c>
    </row>
    <row r="32" ht="15" customHeight="1" s="981">
      <c r="A32" s="982" t="inlineStr">
        <is>
          <t>20/05/2026</t>
        </is>
      </c>
      <c r="B32" s="912" t="inlineStr">
        <is>
          <t>HPG</t>
        </is>
      </c>
      <c r="C32" s="912" t="inlineStr">
        <is>
          <t>BUY</t>
        </is>
      </c>
      <c r="D32" s="912" t="n">
        <v>150000</v>
      </c>
      <c r="E32" s="912" t="n">
        <v>28350</v>
      </c>
      <c r="F32" s="912" t="n">
        <v>28280</v>
      </c>
      <c r="G32" s="912" t="n">
        <v>25</v>
      </c>
      <c r="H32" s="912" t="n">
        <v>6375000</v>
      </c>
      <c r="I32" s="912" t="n">
        <v>40</v>
      </c>
      <c r="J32" s="912" t="inlineStr">
        <is>
          <t>Aggressive 1h</t>
        </is>
      </c>
      <c r="K32" s="915" t="inlineStr">
        <is>
          <t>🟡 BÌNH</t>
        </is>
      </c>
    </row>
    <row r="33" ht="15" customHeight="1" s="981">
      <c r="A33" s="982" t="inlineStr">
        <is>
          <t>19/05/2026</t>
        </is>
      </c>
      <c r="B33" s="912" t="inlineStr">
        <is>
          <t>CTR</t>
        </is>
      </c>
      <c r="C33" s="912" t="inlineStr">
        <is>
          <t>BUY</t>
        </is>
      </c>
      <c r="D33" s="912" t="n">
        <v>80000</v>
      </c>
      <c r="E33" s="912" t="n">
        <v>94800</v>
      </c>
      <c r="F33" s="912" t="n">
        <v>94950</v>
      </c>
      <c r="G33" s="913" t="n">
        <v>-16</v>
      </c>
      <c r="H33" s="912" t="n">
        <v>7587000</v>
      </c>
      <c r="I33" s="912" t="n">
        <v>8</v>
      </c>
      <c r="J33" s="912" t="inlineStr">
        <is>
          <t>Iceberg 50K</t>
        </is>
      </c>
      <c r="K33" s="1233" t="inlineStr">
        <is>
          <t>🟢 XUẤT SẮC</t>
        </is>
      </c>
    </row>
    <row r="34" ht="15" customHeight="1" s="981">
      <c r="A34" s="982" t="inlineStr">
        <is>
          <t>19/05/2026</t>
        </is>
      </c>
      <c r="B34" s="912" t="inlineStr">
        <is>
          <t>VIX</t>
        </is>
      </c>
      <c r="C34" s="912" t="inlineStr">
        <is>
          <t>BUY</t>
        </is>
      </c>
      <c r="D34" s="912" t="n">
        <v>200000</v>
      </c>
      <c r="E34" s="912" t="n">
        <v>22380</v>
      </c>
      <c r="F34" s="912" t="n">
        <v>22320</v>
      </c>
      <c r="G34" s="912" t="n">
        <v>27</v>
      </c>
      <c r="H34" s="912" t="n">
        <v>6714000</v>
      </c>
      <c r="I34" s="912" t="n">
        <v>42</v>
      </c>
      <c r="J34" s="912" t="inlineStr">
        <is>
          <t>Aggressive 1h</t>
        </is>
      </c>
      <c r="K34" s="915" t="inlineStr">
        <is>
          <t>🟡 BÌNH</t>
        </is>
      </c>
    </row>
    <row r="35" ht="15" customHeight="1" s="981">
      <c r="A35" s="982" t="inlineStr">
        <is>
          <t>18/05/2026</t>
        </is>
      </c>
      <c r="B35" s="912" t="inlineStr">
        <is>
          <t>VCB</t>
        </is>
      </c>
      <c r="C35" s="912" t="inlineStr">
        <is>
          <t>BUY</t>
        </is>
      </c>
      <c r="D35" s="912" t="n">
        <v>20000</v>
      </c>
      <c r="E35" s="912" t="n">
        <v>95150</v>
      </c>
      <c r="F35" s="912" t="n">
        <v>95220</v>
      </c>
      <c r="G35" s="913" t="n">
        <v>-7</v>
      </c>
      <c r="H35" s="912" t="n">
        <v>2853000</v>
      </c>
      <c r="I35" s="912" t="n">
        <v>8</v>
      </c>
      <c r="J35" s="912" t="inlineStr">
        <is>
          <t>VWAP 3h</t>
        </is>
      </c>
      <c r="K35" s="1233" t="inlineStr">
        <is>
          <t>🟢 XUẤT SẮC</t>
        </is>
      </c>
    </row>
    <row r="36" ht="15" customHeight="1" s="981">
      <c r="A36" s="982" t="inlineStr">
        <is>
          <t>18/05/2026</t>
        </is>
      </c>
      <c r="B36" s="912" t="inlineStr">
        <is>
          <t>NVL</t>
        </is>
      </c>
      <c r="C36" s="912" t="inlineStr">
        <is>
          <t>SELL</t>
        </is>
      </c>
      <c r="D36" s="912" t="n">
        <v>200000</v>
      </c>
      <c r="E36" s="912" t="n">
        <v>12950</v>
      </c>
      <c r="F36" s="912" t="n">
        <v>12890</v>
      </c>
      <c r="G36" s="917" t="n">
        <v>47</v>
      </c>
      <c r="H36" s="912" t="n">
        <v>5180000</v>
      </c>
      <c r="I36" s="912" t="n">
        <v>62</v>
      </c>
      <c r="J36" s="912" t="inlineStr">
        <is>
          <t>Aggressive 1h</t>
        </is>
      </c>
      <c r="K36" s="916" t="inlineStr">
        <is>
          <t>🔴 KÉM (urgency)</t>
        </is>
      </c>
    </row>
    <row r="37" ht="15" customHeight="1" s="981">
      <c r="A37" s="982" t="inlineStr">
        <is>
          <t>17/05/2026</t>
        </is>
      </c>
      <c r="B37" s="912" t="inlineStr">
        <is>
          <t>SSI</t>
        </is>
      </c>
      <c r="C37" s="912" t="inlineStr">
        <is>
          <t>BUY</t>
        </is>
      </c>
      <c r="D37" s="912" t="n">
        <v>100000</v>
      </c>
      <c r="E37" s="912" t="n">
        <v>32200</v>
      </c>
      <c r="F37" s="912" t="n">
        <v>32350</v>
      </c>
      <c r="G37" s="913" t="n">
        <v>-47</v>
      </c>
      <c r="H37" s="912" t="n">
        <v>6440000</v>
      </c>
      <c r="I37" s="912" t="n">
        <v>-32</v>
      </c>
      <c r="J37" s="912" t="inlineStr">
        <is>
          <t>VWAP 4h</t>
        </is>
      </c>
      <c r="K37" s="1233" t="inlineStr">
        <is>
          <t>🟢 XUẤT SẮC</t>
        </is>
      </c>
    </row>
    <row r="38" ht="15" customHeight="1" s="981">
      <c r="A38" s="982" t="inlineStr">
        <is>
          <t>17/05/2026</t>
        </is>
      </c>
      <c r="B38" s="912" t="inlineStr">
        <is>
          <t>VPB</t>
        </is>
      </c>
      <c r="C38" s="912" t="inlineStr">
        <is>
          <t>SELL</t>
        </is>
      </c>
      <c r="D38" s="912" t="n">
        <v>80000</v>
      </c>
      <c r="E38" s="912" t="n">
        <v>19920</v>
      </c>
      <c r="F38" s="912" t="n">
        <v>19850</v>
      </c>
      <c r="G38" s="917" t="n">
        <v>35</v>
      </c>
      <c r="H38" s="912" t="n">
        <v>3187000</v>
      </c>
      <c r="I38" s="912" t="n">
        <v>50</v>
      </c>
      <c r="J38" s="912" t="inlineStr">
        <is>
          <t>TWAP 5h</t>
        </is>
      </c>
      <c r="K38" s="915" t="inlineStr">
        <is>
          <t>🟡 BÌNH</t>
        </is>
      </c>
    </row>
    <row r="39" ht="15" customHeight="1" s="981">
      <c r="A39" s="982" t="inlineStr">
        <is>
          <t>16/05/2026</t>
        </is>
      </c>
      <c r="B39" s="912" t="inlineStr">
        <is>
          <t>MBB</t>
        </is>
      </c>
      <c r="C39" s="912" t="inlineStr">
        <is>
          <t>BUY</t>
        </is>
      </c>
      <c r="D39" s="912" t="n">
        <v>150000</v>
      </c>
      <c r="E39" s="912" t="n">
        <v>26580</v>
      </c>
      <c r="F39" s="912" t="n">
        <v>26720</v>
      </c>
      <c r="G39" s="913" t="n">
        <v>-52</v>
      </c>
      <c r="H39" s="912" t="n">
        <v>7974000</v>
      </c>
      <c r="I39" s="912" t="n">
        <v>-37</v>
      </c>
      <c r="J39" s="912" t="inlineStr">
        <is>
          <t>Iceberg 30K</t>
        </is>
      </c>
      <c r="K39" s="1233" t="inlineStr">
        <is>
          <t>🟢 XUẤT SẮC</t>
        </is>
      </c>
    </row>
    <row r="42" ht="24" customHeight="1" s="981">
      <c r="A42" s="1239" t="inlineStr">
        <is>
          <t>🔌 PHẦN D: KẾT NỐI API BROKER — VƯỢT BLOOMBERG (Free + Việt)</t>
        </is>
      </c>
    </row>
    <row r="43" ht="30" customHeight="1" s="981">
      <c r="A43" s="949" t="inlineStr">
        <is>
          <t>Broker</t>
        </is>
      </c>
      <c r="B43" s="949" t="inlineStr">
        <is>
          <t>API</t>
        </is>
      </c>
      <c r="C43" s="949" t="inlineStr">
        <is>
          <t>Loại</t>
        </is>
      </c>
      <c r="D43" s="949" t="inlineStr">
        <is>
          <t>Đặt lệnh tự động</t>
        </is>
      </c>
      <c r="E43" s="949" t="inlineStr">
        <is>
          <t>Hủy lệnh API</t>
        </is>
      </c>
      <c r="F43" s="949" t="inlineStr">
        <is>
          <t>Realtime quote</t>
        </is>
      </c>
      <c r="G43" s="949" t="inlineStr">
        <is>
          <t>Phí giao dịch</t>
        </is>
      </c>
      <c r="H43" s="949" t="inlineStr">
        <is>
          <t>Margin</t>
        </is>
      </c>
      <c r="I43" s="949" t="inlineStr">
        <is>
          <t>Mở TK</t>
        </is>
      </c>
      <c r="J43" s="949" t="inlineStr">
        <is>
          <t>Tốc độ khớp</t>
        </is>
      </c>
      <c r="K43" s="949" t="inlineStr">
        <is>
          <t>Khuyến nghị</t>
        </is>
      </c>
    </row>
    <row r="44" ht="23.25" customHeight="1" s="981">
      <c r="A44" s="982" t="inlineStr">
        <is>
          <t>SSI iBoard</t>
        </is>
      </c>
      <c r="B44" s="912" t="inlineStr">
        <is>
          <t>REST + WS</t>
        </is>
      </c>
      <c r="C44" s="912" t="inlineStr">
        <is>
          <t>Free</t>
        </is>
      </c>
      <c r="D44" s="912" t="inlineStr">
        <is>
          <t>✅ Có</t>
        </is>
      </c>
      <c r="E44" s="912" t="inlineStr">
        <is>
          <t>✅ Có</t>
        </is>
      </c>
      <c r="F44" s="912" t="inlineStr">
        <is>
          <t>✅ Live</t>
        </is>
      </c>
      <c r="G44" s="912" t="inlineStr">
        <is>
          <t>0.15%</t>
        </is>
      </c>
      <c r="H44" s="912" t="inlineStr">
        <is>
          <t>13.5%</t>
        </is>
      </c>
      <c r="I44" s="912" t="inlineStr">
        <is>
          <t>Miễn phí</t>
        </is>
      </c>
      <c r="J44" s="912" t="inlineStr">
        <is>
          <t>~50ms</t>
        </is>
      </c>
      <c r="K44" s="947" t="inlineStr">
        <is>
          <t>🥇 BEST</t>
        </is>
      </c>
    </row>
    <row r="45" ht="23.25" customHeight="1" s="981">
      <c r="A45" s="982" t="inlineStr">
        <is>
          <t>VPS SmartOne</t>
        </is>
      </c>
      <c r="B45" s="912" t="inlineStr">
        <is>
          <t>FIX + REST</t>
        </is>
      </c>
      <c r="C45" s="912" t="inlineStr">
        <is>
          <t>Free</t>
        </is>
      </c>
      <c r="D45" s="912" t="inlineStr">
        <is>
          <t>✅ Có</t>
        </is>
      </c>
      <c r="E45" s="912" t="inlineStr">
        <is>
          <t>✅ Có</t>
        </is>
      </c>
      <c r="F45" s="912" t="inlineStr">
        <is>
          <t>✅ Live</t>
        </is>
      </c>
      <c r="G45" s="912" t="inlineStr">
        <is>
          <t>0.15%</t>
        </is>
      </c>
      <c r="H45" s="912" t="inlineStr">
        <is>
          <t>13.5%</t>
        </is>
      </c>
      <c r="I45" s="912" t="inlineStr">
        <is>
          <t>Miễn phí</t>
        </is>
      </c>
      <c r="J45" s="912" t="inlineStr">
        <is>
          <t>~80ms</t>
        </is>
      </c>
      <c r="K45" s="950" t="inlineStr">
        <is>
          <t>🥈</t>
        </is>
      </c>
    </row>
    <row r="46" ht="23.25" customHeight="1" s="981">
      <c r="A46" s="982" t="inlineStr">
        <is>
          <t>VNDirect DStock</t>
        </is>
      </c>
      <c r="B46" s="912" t="inlineStr">
        <is>
          <t>REST + WS</t>
        </is>
      </c>
      <c r="C46" s="912" t="inlineStr">
        <is>
          <t>Free</t>
        </is>
      </c>
      <c r="D46" s="912" t="inlineStr">
        <is>
          <t>✅ Có</t>
        </is>
      </c>
      <c r="E46" s="912" t="inlineStr">
        <is>
          <t>✅ Có</t>
        </is>
      </c>
      <c r="F46" s="912" t="inlineStr">
        <is>
          <t>✅ Live</t>
        </is>
      </c>
      <c r="G46" s="912" t="inlineStr">
        <is>
          <t>0.15%</t>
        </is>
      </c>
      <c r="H46" s="912" t="inlineStr">
        <is>
          <t>13.8%</t>
        </is>
      </c>
      <c r="I46" s="912" t="inlineStr">
        <is>
          <t>Miễn phí</t>
        </is>
      </c>
      <c r="J46" s="912" t="inlineStr">
        <is>
          <t>~70ms</t>
        </is>
      </c>
      <c r="K46" s="950" t="inlineStr">
        <is>
          <t>🥈</t>
        </is>
      </c>
    </row>
    <row r="47" ht="15" customHeight="1" s="981">
      <c r="A47" s="982" t="inlineStr">
        <is>
          <t>MBS Mobile</t>
        </is>
      </c>
      <c r="B47" s="912" t="inlineStr">
        <is>
          <t>REST</t>
        </is>
      </c>
      <c r="C47" s="912" t="inlineStr">
        <is>
          <t>Free</t>
        </is>
      </c>
      <c r="D47" s="912" t="inlineStr">
        <is>
          <t>✅ Có</t>
        </is>
      </c>
      <c r="E47" s="912" t="inlineStr">
        <is>
          <t>✅ Có</t>
        </is>
      </c>
      <c r="F47" s="912" t="inlineStr">
        <is>
          <t>✅ Live</t>
        </is>
      </c>
      <c r="G47" s="912" t="inlineStr">
        <is>
          <t>0.15%</t>
        </is>
      </c>
      <c r="H47" s="912" t="inlineStr">
        <is>
          <t>13.5%</t>
        </is>
      </c>
      <c r="I47" s="912" t="inlineStr">
        <is>
          <t>Miễn phí</t>
        </is>
      </c>
      <c r="J47" s="912" t="inlineStr">
        <is>
          <t>~120ms</t>
        </is>
      </c>
      <c r="K47" s="951" t="inlineStr">
        <is>
          <t>🥉</t>
        </is>
      </c>
    </row>
    <row r="48" ht="15" customHeight="1" s="981">
      <c r="A48" s="982" t="inlineStr">
        <is>
          <t>HSC Trade</t>
        </is>
      </c>
      <c r="B48" s="912" t="inlineStr">
        <is>
          <t>REST</t>
        </is>
      </c>
      <c r="C48" s="912" t="inlineStr">
        <is>
          <t>Free</t>
        </is>
      </c>
      <c r="D48" s="912" t="inlineStr">
        <is>
          <t>⚠️ Hạn chế</t>
        </is>
      </c>
      <c r="E48" s="912" t="inlineStr">
        <is>
          <t>✅ Có</t>
        </is>
      </c>
      <c r="F48" s="912" t="inlineStr">
        <is>
          <t>✅ Live</t>
        </is>
      </c>
      <c r="G48" s="912" t="inlineStr">
        <is>
          <t>0.15%</t>
        </is>
      </c>
      <c r="H48" s="912" t="inlineStr">
        <is>
          <t>13.2%</t>
        </is>
      </c>
      <c r="I48" s="912" t="inlineStr">
        <is>
          <t>Miễn phí</t>
        </is>
      </c>
      <c r="J48" s="912" t="inlineStr">
        <is>
          <t>~100ms</t>
        </is>
      </c>
      <c r="K48" s="951" t="inlineStr">
        <is>
          <t>🥉</t>
        </is>
      </c>
    </row>
    <row r="49" ht="15" customHeight="1" s="981">
      <c r="A49" s="982" t="inlineStr">
        <is>
          <t>TCBS Trade</t>
        </is>
      </c>
      <c r="B49" s="912" t="inlineStr">
        <is>
          <t>REST</t>
        </is>
      </c>
      <c r="C49" s="912" t="inlineStr">
        <is>
          <t>Free</t>
        </is>
      </c>
      <c r="D49" s="912" t="inlineStr">
        <is>
          <t>✅ Có</t>
        </is>
      </c>
      <c r="E49" s="912" t="inlineStr">
        <is>
          <t>✅ Có</t>
        </is>
      </c>
      <c r="F49" s="912" t="inlineStr">
        <is>
          <t>✅ Live</t>
        </is>
      </c>
      <c r="G49" s="912" t="inlineStr">
        <is>
          <t>0.15%</t>
        </is>
      </c>
      <c r="H49" s="912" t="inlineStr">
        <is>
          <t>13.5%</t>
        </is>
      </c>
      <c r="I49" s="912" t="inlineStr">
        <is>
          <t>Miễn phí</t>
        </is>
      </c>
      <c r="J49" s="912" t="inlineStr">
        <is>
          <t>~90ms</t>
        </is>
      </c>
      <c r="K49" s="951" t="inlineStr">
        <is>
          <t>🥉</t>
        </is>
      </c>
    </row>
    <row r="50" ht="23.25" customHeight="1" s="981">
      <c r="A50" s="982" t="inlineStr">
        <is>
          <t>Mirae Asset</t>
        </is>
      </c>
      <c r="B50" s="912" t="inlineStr">
        <is>
          <t>FIX</t>
        </is>
      </c>
      <c r="C50" s="912" t="inlineStr">
        <is>
          <t>Enterprise</t>
        </is>
      </c>
      <c r="D50" s="912" t="inlineStr">
        <is>
          <t>✅ Có</t>
        </is>
      </c>
      <c r="E50" s="912" t="inlineStr">
        <is>
          <t>✅ Có</t>
        </is>
      </c>
      <c r="F50" s="912" t="inlineStr">
        <is>
          <t>✅ Live</t>
        </is>
      </c>
      <c r="G50" s="912" t="inlineStr">
        <is>
          <t>0.15%</t>
        </is>
      </c>
      <c r="H50" s="912" t="inlineStr">
        <is>
          <t>13.2%</t>
        </is>
      </c>
      <c r="I50" s="912" t="inlineStr">
        <is>
          <t>Miễn phí</t>
        </is>
      </c>
      <c r="J50" s="912" t="inlineStr">
        <is>
          <t>~60ms</t>
        </is>
      </c>
      <c r="K50" s="950" t="inlineStr">
        <is>
          <t>🥈</t>
        </is>
      </c>
    </row>
    <row r="51" ht="23.25" customHeight="1" s="981">
      <c r="A51" s="982" t="inlineStr">
        <is>
          <t>Bloomberg EMSX</t>
        </is>
      </c>
      <c r="B51" s="912" t="inlineStr">
        <is>
          <t>BLPAPI</t>
        </is>
      </c>
      <c r="C51" s="912" t="inlineStr">
        <is>
          <t>$24K/năm</t>
        </is>
      </c>
      <c r="D51" s="912" t="inlineStr">
        <is>
          <t>✅ Có</t>
        </is>
      </c>
      <c r="E51" s="912" t="inlineStr">
        <is>
          <t>✅ Có</t>
        </is>
      </c>
      <c r="F51" s="912" t="inlineStr">
        <is>
          <t>✅ Tick-tick</t>
        </is>
      </c>
      <c r="G51" s="912" t="inlineStr">
        <is>
          <t>0.10%</t>
        </is>
      </c>
      <c r="H51" s="912" t="inlineStr">
        <is>
          <t>13.0%</t>
        </is>
      </c>
      <c r="I51" s="912" t="inlineStr">
        <is>
          <t>Verified</t>
        </is>
      </c>
      <c r="J51" s="912" t="inlineStr">
        <is>
          <t>~10ms</t>
        </is>
      </c>
      <c r="K51" s="952" t="inlineStr">
        <is>
          <t>⭐ Pro</t>
        </is>
      </c>
    </row>
    <row r="53" ht="27.75" customHeight="1" s="981">
      <c r="A53" s="1241" t="inlineStr">
        <is>
          <t>🐺 KẾT LUẬN: SSI iBoard API là LỰA CHỌN TỐT NHẤT cho Sói cá nhân — FREE + Đặt lệnh tự động + Tốc độ 50ms (chỉ chậm Bloomberg 5x nhưng FREE)</t>
        </is>
      </c>
    </row>
  </sheetData>
  <mergeCells count="8">
    <mergeCell ref="A53:K53"/>
    <mergeCell ref="A4:K4"/>
    <mergeCell ref="A3:K3"/>
    <mergeCell ref="A2:K2"/>
    <mergeCell ref="A16:K16"/>
    <mergeCell ref="A28:K28"/>
    <mergeCell ref="A42:K4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2026-05-20T08:35:54Z</dcterms:created>
  <dcterms:modified xmlns:dcterms="http://purl.org/dc/terms/" xmlns:xsi="http://www.w3.org/2001/XMLSchema-instance" xsi:type="dcterms:W3CDTF">2026-06-05T09:15:47Z</dcterms:modified>
  <cp:lastModifiedBy>NHÀ ĐẦU TƯ DANH ĐẠT</cp:lastModifiedBy>
  <cp:revision>0</cp:revision>
</cp:coreProperties>
</file>